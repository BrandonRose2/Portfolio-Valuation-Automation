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Input Map" sheetId="3" state="visible" r:id="rId5"/>
    <sheet name="T-12 Code Map" sheetId="4" state="visible" r:id="rId6"/>
    <sheet name="Rent Roll Rules" sheetId="5" state="visible" r:id="rId7"/>
    <sheet name="Sources" sheetId="6" state="visible" r:id="rId8"/>
    <sheet name="Open Questions" sheetId="7" state="visible" r:id="rId9"/>
  </sheets>
  <definedNames>
    <definedName function="false" hidden="true" localSheetId="2" name="_xlnm._FilterDatabase" vbProcedure="false">'Input Map'!$A$4:$J$103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<sst xmlns="http://schemas.openxmlformats.org/spreadsheetml/2006/main" count="1320" uniqueCount="882">
  <si>
    <t xml:space="preserve">GPC Underwriting Model Template v4: Input Map</t>
  </si>
  <si>
    <t xml:space="preserve">Where every input cell in the template gets its value, with the rules from Marc and Abraham built in. Prepared Oct 9, 2026 from the Cambridge Court deal files.</t>
  </si>
  <si>
    <t xml:space="preserve">How to read this workbook</t>
  </si>
  <si>
    <t xml:space="preserve">Input Map</t>
  </si>
  <si>
    <t xml:space="preserve">One row per input cell in the TEMPLATE (cell addresses are for 'GPC Underwriting Model Template v4.xlsx'; the Cambridge Court version moves some rows by one). Columns say which source feeds it, where in that source to look, the rule to apply, and the Cambridge Court value as a worked example.</t>
  </si>
  <si>
    <t xml:space="preserve">T-12 Code Map</t>
  </si>
  <si>
    <t xml:space="preserve">The model reads the T-12 through a code column: each GL line on the seller's T-12 is tagged with one of the model's row codes (GPI, VC, WS, INS…), and Scenario 0 column E sums by code. This tab is that dictionary, with every coded Cambridge GL line as an example. This is the single biggest automation task.</t>
  </si>
  <si>
    <t xml:space="preserve">Rent Roll Rules</t>
  </si>
  <si>
    <t xml:space="preserve">How to turn the seller's unit-by-unit rent roll into the template's 'Rent Roll' unit-set table (one row per bed/bath × AMI/S8 combination), including Abraham's rules on subsidy lines, AMI tagging, unit codes and rent limits.</t>
  </si>
  <si>
    <t xml:space="preserve">Sources</t>
  </si>
  <si>
    <t xml:space="preserve">Every document or system the model draws on, what it contains, and how the AI should get it.</t>
  </si>
  <si>
    <t xml:space="preserve">Open Questions</t>
  </si>
  <si>
    <t xml:space="preserve">Things to confirm with Abraham before the automation is trusted.</t>
  </si>
  <si>
    <t xml:space="preserve">Source colour key</t>
  </si>
  <si>
    <t xml:space="preserve">OM</t>
  </si>
  <si>
    <t xml:space="preserve">T-12</t>
  </si>
  <si>
    <t xml:space="preserve">Rent Roll</t>
  </si>
  <si>
    <t xml:space="preserve">Seller Payroll</t>
  </si>
  <si>
    <t xml:space="preserve">Turnover Report</t>
  </si>
  <si>
    <t xml:space="preserve">Rent &amp; Income Matrix</t>
  </si>
  <si>
    <t xml:space="preserve">CoStar</t>
  </si>
  <si>
    <t xml:space="preserve">HUD / TCAC</t>
  </si>
  <si>
    <t xml:space="preserve">CapEx Report</t>
  </si>
  <si>
    <t xml:space="preserve">Lender / Insurance Quote</t>
  </si>
  <si>
    <t xml:space="preserve">Assumption (Abraham)</t>
  </si>
  <si>
    <t xml:space="preserve">Fixed / Structural</t>
  </si>
  <si>
    <t xml:space="preserve">Automation type</t>
  </si>
  <si>
    <t xml:space="preserve">Extract</t>
  </si>
  <si>
    <t xml:space="preserve">Read a value straight off a document (OM, rent roll, payroll).</t>
  </si>
  <si>
    <t xml:space="preserve">Map</t>
  </si>
  <si>
    <t xml:space="preserve">Classify source lines into model categories, then sum (T-12 codes, rent roll unit sets).</t>
  </si>
  <si>
    <t xml:space="preserve">Lookup</t>
  </si>
  <si>
    <t xml:space="preserve">Pull from an outside table by county / ZIP / bedroom (HUD, TCAC, CoStar).</t>
  </si>
  <si>
    <t xml:space="preserve">Default</t>
  </si>
  <si>
    <t xml:space="preserve">House assumption with a standard value; AI fills the default, a person can override.</t>
  </si>
  <si>
    <t xml:space="preserve">Decision</t>
  </si>
  <si>
    <t xml:space="preserve">Needs Abraham or Marc to choose; AI should leave the default and flag it.</t>
  </si>
  <si>
    <t xml:space="preserve">Leave formula</t>
  </si>
  <si>
    <t xml:space="preserve">Template already calculates it. Do not overwrite.</t>
  </si>
  <si>
    <t xml:space="preserve">Summary by source</t>
  </si>
  <si>
    <t xml:space="preserve">Counts update from the Input Map tab.</t>
  </si>
  <si>
    <t xml:space="preserve">Source</t>
  </si>
  <si>
    <t xml:space="preserve">Input rows</t>
  </si>
  <si>
    <t xml:space="preserve">Automation</t>
  </si>
  <si>
    <t xml:space="preserve">Total rows</t>
  </si>
  <si>
    <t xml:space="preserve">Rows match a source (incl. combined sources like 'OM + Rent Roll' counted under the first)</t>
  </si>
  <si>
    <t xml:space="preserve">Template cell → source → rule. Filter on 'Source' or 'Automation' to see each workstream.</t>
  </si>
  <si>
    <t xml:space="preserve">#</t>
  </si>
  <si>
    <t xml:space="preserve">Sheet</t>
  </si>
  <si>
    <t xml:space="preserve">Cell</t>
  </si>
  <si>
    <t xml:space="preserve">Field</t>
  </si>
  <si>
    <t xml:space="preserve">Where to find it</t>
  </si>
  <si>
    <t xml:space="preserve">Rule / transform</t>
  </si>
  <si>
    <t xml:space="preserve">Cambridge Court example</t>
  </si>
  <si>
    <t xml:space="preserve">Notes / flags</t>
  </si>
  <si>
    <t xml:space="preserve">Dashboard</t>
  </si>
  <si>
    <t xml:space="preserve">D9</t>
  </si>
  <si>
    <t xml:space="preserve">Broker</t>
  </si>
  <si>
    <t xml:space="preserve">Cover page 'Exclusively presented by'</t>
  </si>
  <si>
    <t xml:space="preserve">Brokerage name.</t>
  </si>
  <si>
    <t xml:space="preserve">Mogharebi</t>
  </si>
  <si>
    <t xml:space="preserve">Blank in template; Cambridge version added it.</t>
  </si>
  <si>
    <t xml:space="preserve">E9</t>
  </si>
  <si>
    <t xml:space="preserve">County</t>
  </si>
  <si>
    <t xml:space="preserve">Market overview / address; county lookup by ZIP</t>
  </si>
  <si>
    <t xml:space="preserve">County name. Drives LIHTC, HOME and tax lookups.</t>
  </si>
  <si>
    <t xml:space="preserve">San Joaquin</t>
  </si>
  <si>
    <t xml:space="preserve">E10</t>
  </si>
  <si>
    <t xml:space="preserve">Investment Name</t>
  </si>
  <si>
    <t xml:space="preserve">Cover page / Executive Summary</t>
  </si>
  <si>
    <t xml:space="preserve">Property name as marketed.</t>
  </si>
  <si>
    <t xml:space="preserve">Cambridge Court Apartments</t>
  </si>
  <si>
    <t xml:space="preserve">E11</t>
  </si>
  <si>
    <t xml:space="preserve">Address</t>
  </si>
  <si>
    <t xml:space="preserve">Cover page; Investment Summary 'Address'</t>
  </si>
  <si>
    <t xml:space="preserve">Street address only.</t>
  </si>
  <si>
    <t xml:space="preserve">6507 Danny Drive</t>
  </si>
  <si>
    <t xml:space="preserve">E12</t>
  </si>
  <si>
    <t xml:space="preserve">City</t>
  </si>
  <si>
    <t xml:space="preserve">Investment Summary 'City, State Zip'</t>
  </si>
  <si>
    <t xml:space="preserve">Split from City, State Zip.</t>
  </si>
  <si>
    <t xml:space="preserve">Stockton</t>
  </si>
  <si>
    <t xml:space="preserve">E13</t>
  </si>
  <si>
    <t xml:space="preserve">State</t>
  </si>
  <si>
    <t xml:space="preserve">2-letter state.</t>
  </si>
  <si>
    <t xml:space="preserve">CA</t>
  </si>
  <si>
    <t xml:space="preserve">E14</t>
  </si>
  <si>
    <t xml:space="preserve">Zipcode</t>
  </si>
  <si>
    <t xml:space="preserve">5-digit ZIP. Also drives the SAFMR lookup.</t>
  </si>
  <si>
    <t xml:space="preserve">95210</t>
  </si>
  <si>
    <t xml:space="preserve">E15</t>
  </si>
  <si>
    <t xml:space="preserve">Property Type</t>
  </si>
  <si>
    <t xml:space="preserve">Cover line (e.g. '132 UNITS | STOCKTON, CA | LIHTC')</t>
  </si>
  <si>
    <t xml:space="preserve">LIHTC / LIHTC + HOME / Section 8 / Market.</t>
  </si>
  <si>
    <t xml:space="preserve">LIHTC</t>
  </si>
  <si>
    <t xml:space="preserve">If HOME program present, note it: changes the rent-limit rule.</t>
  </si>
  <si>
    <t xml:space="preserve">E16</t>
  </si>
  <si>
    <t xml:space="preserve">Units</t>
  </si>
  <si>
    <t xml:space="preserve">OM + Rent Roll</t>
  </si>
  <si>
    <t xml:space="preserve">Investment Summary 'Units'; count of units on rent roll</t>
  </si>
  <si>
    <t xml:space="preserve">Use OM figure; must equal rent roll unit count. Stop and flag if they differ.</t>
  </si>
  <si>
    <t xml:space="preserve">132</t>
  </si>
  <si>
    <t xml:space="preserve">E17</t>
  </si>
  <si>
    <t xml:space="preserve">Buildings</t>
  </si>
  <si>
    <t xml:space="preserve">Investment Summary 'Number of Buildings' / 'Number of Stories'</t>
  </si>
  <si>
    <t xml:space="preserve">Text, e.g. '11 (2-story)'.</t>
  </si>
  <si>
    <t xml:space="preserve">11 (2-story)</t>
  </si>
  <si>
    <t xml:space="preserve">E18</t>
  </si>
  <si>
    <t xml:space="preserve">Year Built</t>
  </si>
  <si>
    <t xml:space="preserve">Investment Summary 'Year Built'</t>
  </si>
  <si>
    <t xml:space="preserve">Year only.</t>
  </si>
  <si>
    <t xml:space="preserve">1996</t>
  </si>
  <si>
    <t xml:space="preserve">Not the same as placed-in-service date (see E19).</t>
  </si>
  <si>
    <t xml:space="preserve">E19</t>
  </si>
  <si>
    <t xml:space="preserve">Initial TCCP End Date</t>
  </si>
  <si>
    <t xml:space="preserve">OM / Regulatory agreement</t>
  </si>
  <si>
    <t xml:space="preserve">OM 'Affordable Housing Summary' table; else TCAC project lookup by CTCAC # (Rent &amp; Income Matrix shows CA-1994-216)</t>
  </si>
  <si>
    <t xml:space="preserve">Abraham: placed-in-service date is not the build year. CBRE OMs almost always show it; otherwise find it elsewhere. Initial compliance period = placed-in-service + 15 yrs.</t>
  </si>
  <si>
    <t xml:space="preserve">2035 (CA relabeled this 'City of Stockton Affordability Covenant Ends')</t>
  </si>
  <si>
    <t xml:space="preserve">Cambridge model repurposed this row. Confirm with Abraham which date belongs here.</t>
  </si>
  <si>
    <t xml:space="preserve">E20</t>
  </si>
  <si>
    <t xml:space="preserve">Final Year of LIHTC Restrictions</t>
  </si>
  <si>
    <t xml:space="preserve">OM 'Affordable Housing Summary' expiration (TCAC regulatory agreement)</t>
  </si>
  <si>
    <t xml:space="preserve">Year the longest affordability restriction ends.</t>
  </si>
  <si>
    <t xml:space="preserve">2051</t>
  </si>
  <si>
    <t xml:space="preserve">E25</t>
  </si>
  <si>
    <t xml:space="preserve">TTM Occupancy (month / year)</t>
  </si>
  <si>
    <t xml:space="preserve">Rent Roll / T-12</t>
  </si>
  <si>
    <t xml:space="preserve">Rent roll occupied ÷ total units; label with the T-12 end month</t>
  </si>
  <si>
    <t xml:space="preserve">Update the label text to the month used.</t>
  </si>
  <si>
    <t xml:space="preserve">99% (label 'Dec 2025')</t>
  </si>
  <si>
    <t xml:space="preserve">OM says 99.2%; rent roll shows 128 of 132 occupied once staff units excluded.</t>
  </si>
  <si>
    <t xml:space="preserve">E26</t>
  </si>
  <si>
    <t xml:space="preserve">TTM NOI (month / year)</t>
  </si>
  <si>
    <t xml:space="preserve">T-12 'NET OPERATING INCOME' total column</t>
  </si>
  <si>
    <t xml:space="preserve">Link to the pasted T-12 total rather than typing it.</t>
  </si>
  <si>
    <t xml:space="preserve">$986,818.73 (Feb 2026)</t>
  </si>
  <si>
    <t xml:space="preserve">CA uses ='T-12'!N137.</t>
  </si>
  <si>
    <t xml:space="preserve">E29</t>
  </si>
  <si>
    <t xml:space="preserve">Asking Price</t>
  </si>
  <si>
    <t xml:space="preserve">OM / Broker</t>
  </si>
  <si>
    <t xml:space="preserve">OM 'Offering' field</t>
  </si>
  <si>
    <t xml:space="preserve">If OM says 'Unpriced', use broker price guidance and flag.</t>
  </si>
  <si>
    <t xml:space="preserve">$16,000,000</t>
  </si>
  <si>
    <t xml:space="preserve">Cambridge OM is unpriced; $16M came from outside the OM.</t>
  </si>
  <si>
    <t xml:space="preserve">E32</t>
  </si>
  <si>
    <t xml:space="preserve">Purchase Price</t>
  </si>
  <si>
    <t xml:space="preserve">Granite Park offer price</t>
  </si>
  <si>
    <t xml:space="preserve">Template defaults to =E29. Overwrite with the offer.</t>
  </si>
  <si>
    <t xml:space="preserve">$15,500,000</t>
  </si>
  <si>
    <t xml:space="preserve">D34</t>
  </si>
  <si>
    <t xml:space="preserve">Closing Costs (% of price)</t>
  </si>
  <si>
    <t xml:space="preserve">House standard</t>
  </si>
  <si>
    <t xml:space="preserve">Default 2%.</t>
  </si>
  <si>
    <t xml:space="preserve">2%</t>
  </si>
  <si>
    <t xml:space="preserve">D35</t>
  </si>
  <si>
    <t xml:space="preserve">Broker Fees (% of price)</t>
  </si>
  <si>
    <t xml:space="preserve">Default 0%.</t>
  </si>
  <si>
    <t xml:space="preserve">0%</t>
  </si>
  <si>
    <t xml:space="preserve">D36</t>
  </si>
  <si>
    <t xml:space="preserve">Rehabilitation Costs ($ / unit)</t>
  </si>
  <si>
    <t xml:space="preserve">Seller / lender capital needs report (Berkadia CAP-I for Cambridge)</t>
  </si>
  <si>
    <t xml:space="preserve">Total rehab budget ÷ units, rounded.</t>
  </si>
  <si>
    <t xml:space="preserve">$10,000 / unit (CapEx total $1,318,200)</t>
  </si>
  <si>
    <t xml:space="preserve">Rehab money is raised in Sources &amp; Uses but CapEx rows in every scenario are $0. Ask Abraham whether it should be spent in Year 1.</t>
  </si>
  <si>
    <t xml:space="preserve">E37</t>
  </si>
  <si>
    <t xml:space="preserve">Legal Fees</t>
  </si>
  <si>
    <t xml:space="preserve">Default $35,000.</t>
  </si>
  <si>
    <t xml:space="preserve">$35,000</t>
  </si>
  <si>
    <t xml:space="preserve">E38</t>
  </si>
  <si>
    <t xml:space="preserve">Developer Fees</t>
  </si>
  <si>
    <t xml:space="preserve">Default $100,000.</t>
  </si>
  <si>
    <t xml:space="preserve">$100,000</t>
  </si>
  <si>
    <t xml:space="preserve">E39</t>
  </si>
  <si>
    <t xml:space="preserve">Due Diligence Fees</t>
  </si>
  <si>
    <t xml:space="preserve">Default $25,000.</t>
  </si>
  <si>
    <t xml:space="preserve">$25,000</t>
  </si>
  <si>
    <t xml:space="preserve">E40</t>
  </si>
  <si>
    <t xml:space="preserve">Taxes / Title Insurance</t>
  </si>
  <si>
    <t xml:space="preserve">Title quote if available</t>
  </si>
  <si>
    <t xml:space="preserve">Default $0.</t>
  </si>
  <si>
    <t xml:space="preserve">$0</t>
  </si>
  <si>
    <t xml:space="preserve">D43</t>
  </si>
  <si>
    <t xml:space="preserve">GP Equity Investment %</t>
  </si>
  <si>
    <t xml:space="preserve">Granite Park partnership terms</t>
  </si>
  <si>
    <t xml:space="preserve">LP % = 1 − GP %.</t>
  </si>
  <si>
    <t xml:space="preserve">10%</t>
  </si>
  <si>
    <t xml:space="preserve">Conflicts with waterfall split (25% / 75%) and J58. Confirm one number.</t>
  </si>
  <si>
    <t xml:space="preserve">E49</t>
  </si>
  <si>
    <t xml:space="preserve">Loan to Value</t>
  </si>
  <si>
    <t xml:space="preserve">Lender term sheet</t>
  </si>
  <si>
    <t xml:space="preserve">Default 65% of purchase price.</t>
  </si>
  <si>
    <t xml:space="preserve">65%</t>
  </si>
  <si>
    <t xml:space="preserve">OM offers assumable debt instead (see E50).</t>
  </si>
  <si>
    <t xml:space="preserve">E50</t>
  </si>
  <si>
    <t xml:space="preserve">Interest Rate</t>
  </si>
  <si>
    <t xml:space="preserve">Lender term sheet; OM 'Existing Debt' block for assumable loan</t>
  </si>
  <si>
    <t xml:space="preserve">New loan: quote. Assumable option: OM rate (Cambridge 5.09%, $8.4M balance, 1% fee).</t>
  </si>
  <si>
    <t xml:space="preserve">5.5%</t>
  </si>
  <si>
    <t xml:space="preserve">Model ignores the 5.09% assumable loan. Worth a scenario.</t>
  </si>
  <si>
    <t xml:space="preserve">E55</t>
  </si>
  <si>
    <t xml:space="preserve">Loan Term (years)</t>
  </si>
  <si>
    <t xml:space="preserve">Default 30 (amortization).</t>
  </si>
  <si>
    <t xml:space="preserve">30</t>
  </si>
  <si>
    <t xml:space="preserve">E56</t>
  </si>
  <si>
    <t xml:space="preserve">Interest Only Period (years)</t>
  </si>
  <si>
    <t xml:space="preserve">Default 8.</t>
  </si>
  <si>
    <t xml:space="preserve">8</t>
  </si>
  <si>
    <t xml:space="preserve">J49</t>
  </si>
  <si>
    <t xml:space="preserve">Entry Date</t>
  </si>
  <si>
    <t xml:space="preserve">Expected closing date</t>
  </si>
  <si>
    <t xml:space="preserve">Month-end date.</t>
  </si>
  <si>
    <t xml:space="preserve">2026-07-31</t>
  </si>
  <si>
    <t xml:space="preserve">J50</t>
  </si>
  <si>
    <t xml:space="preserve">Investment Period (months)</t>
  </si>
  <si>
    <t xml:space="preserve">Hold period</t>
  </si>
  <si>
    <t xml:space="preserve">Default 60.</t>
  </si>
  <si>
    <t xml:space="preserve">60</t>
  </si>
  <si>
    <t xml:space="preserve">J54</t>
  </si>
  <si>
    <t xml:space="preserve">Cap Rate at Exit</t>
  </si>
  <si>
    <t xml:space="preserve">Informed by OM Sales Comparables and CoStar sale comps</t>
  </si>
  <si>
    <t xml:space="preserve">Default 6.0%. Sanity-check against OM comp average.</t>
  </si>
  <si>
    <t xml:space="preserve">6.0%</t>
  </si>
  <si>
    <t xml:space="preserve">Cambridge OM comps average 6.15% (market-rate assets).</t>
  </si>
  <si>
    <t xml:space="preserve">J55</t>
  </si>
  <si>
    <t xml:space="preserve">Broker Commission at exit</t>
  </si>
  <si>
    <t xml:space="preserve">Default 1.5%.</t>
  </si>
  <si>
    <t xml:space="preserve">1.5%</t>
  </si>
  <si>
    <t xml:space="preserve">J58</t>
  </si>
  <si>
    <t xml:space="preserve">GP Proceeds share</t>
  </si>
  <si>
    <t xml:space="preserve">Partnership Terms Tier I split</t>
  </si>
  <si>
    <t xml:space="preserve">Should equal 'Partnership Terms + Fees'!G8.</t>
  </si>
  <si>
    <t xml:space="preserve">25%</t>
  </si>
  <si>
    <t xml:space="preserve">See D43 conflict.</t>
  </si>
  <si>
    <t xml:space="preserve">P10</t>
  </si>
  <si>
    <t xml:space="preserve">Vacancy</t>
  </si>
  <si>
    <t xml:space="preserve">Check against rent roll vacancy and T-12 vacancy loss</t>
  </si>
  <si>
    <t xml:space="preserve">Default; LIHTC with waitlist usually 3%.</t>
  </si>
  <si>
    <t xml:space="preserve">3% (template 5%)</t>
  </si>
  <si>
    <t xml:space="preserve">P11</t>
  </si>
  <si>
    <t xml:space="preserve">Rent Increase</t>
  </si>
  <si>
    <t xml:space="preserve">Annual LIHTC limit growth / market</t>
  </si>
  <si>
    <t xml:space="preserve">Default 3%.</t>
  </si>
  <si>
    <t xml:space="preserve">3%</t>
  </si>
  <si>
    <t xml:space="preserve">P12</t>
  </si>
  <si>
    <t xml:space="preserve">Utility Expense growth</t>
  </si>
  <si>
    <t xml:space="preserve">P14</t>
  </si>
  <si>
    <t xml:space="preserve">Other Income growth</t>
  </si>
  <si>
    <t xml:space="preserve">Default 2.5%.</t>
  </si>
  <si>
    <t xml:space="preserve">2.5%</t>
  </si>
  <si>
    <t xml:space="preserve">P15</t>
  </si>
  <si>
    <t xml:space="preserve">Inflation Increase</t>
  </si>
  <si>
    <t xml:space="preserve">Default 3%. Also grows every T-12-based Year-1 line.</t>
  </si>
  <si>
    <t xml:space="preserve">P16</t>
  </si>
  <si>
    <t xml:space="preserve">Insurance Increase</t>
  </si>
  <si>
    <t xml:space="preserve">Default 20%.</t>
  </si>
  <si>
    <t xml:space="preserve">20%</t>
  </si>
  <si>
    <t xml:space="preserve">Check: scenario insurance rows grow at 3%, not this rate.</t>
  </si>
  <si>
    <t xml:space="preserve">O13</t>
  </si>
  <si>
    <t xml:space="preserve">Move Outs Per Year</t>
  </si>
  <si>
    <t xml:space="preserve">Turnover Report / Rent Roll</t>
  </si>
  <si>
    <t xml:space="preserve">Seller 'Unit Turnover' report (count of turnovers in last 12 months), or move-ins in T-12 window on rent roll</t>
  </si>
  <si>
    <t xml:space="preserve">Count of turnovers.</t>
  </si>
  <si>
    <t xml:space="preserve">18 (turnover report shows 19)</t>
  </si>
  <si>
    <t xml:space="preserve">Blank in template. CA uses =RR!AE2 (move-ins in the T-12 window).</t>
  </si>
  <si>
    <t xml:space="preserve">O14</t>
  </si>
  <si>
    <t xml:space="preserve">Other Income (Year 1 base)</t>
  </si>
  <si>
    <t xml:space="preserve">T-12 lines tagged OI</t>
  </si>
  <si>
    <t xml:space="preserve">Link to Scenario 0 T12 Other Income: ='Scenario 0'!$E$11</t>
  </si>
  <si>
    <t xml:space="preserve">$34,566</t>
  </si>
  <si>
    <t xml:space="preserve">P20</t>
  </si>
  <si>
    <t xml:space="preserve">Bad Debt (Year 1 $)</t>
  </si>
  <si>
    <t xml:space="preserve">T-12 lines tagged BAD</t>
  </si>
  <si>
    <t xml:space="preserve">Link to Scenario 0 T12 Bad Debt: ='Scenario 0'!$E$17</t>
  </si>
  <si>
    <t xml:space="preserve">$28,457</t>
  </si>
  <si>
    <t xml:space="preserve">N20</t>
  </si>
  <si>
    <t xml:space="preserve">Bad Debt Expense growth</t>
  </si>
  <si>
    <t xml:space="preserve">Default 1.5%. Year-1 $ comes from T-12 (code BAD).</t>
  </si>
  <si>
    <t xml:space="preserve">U20</t>
  </si>
  <si>
    <t xml:space="preserve">In-House R&amp;M ($ / unit)</t>
  </si>
  <si>
    <t xml:space="preserve">Default.</t>
  </si>
  <si>
    <t xml:space="preserve">$150 (template $0)</t>
  </si>
  <si>
    <t xml:space="preserve">O21</t>
  </si>
  <si>
    <t xml:space="preserve">Replacement Reserves ($ / unit)</t>
  </si>
  <si>
    <t xml:space="preserve">Lender requirement; OM proforma reserve line</t>
  </si>
  <si>
    <t xml:space="preserve">Default $300–$461 per unit.</t>
  </si>
  <si>
    <t xml:space="preserve">$461 (template $300)</t>
  </si>
  <si>
    <t xml:space="preserve">OM proforma uses $450 current / $461 Year-1.</t>
  </si>
  <si>
    <t xml:space="preserve">P22</t>
  </si>
  <si>
    <t xml:space="preserve">Compliance Fee ($ / yr)</t>
  </si>
  <si>
    <t xml:space="preserve">TCAC / agency monitoring fee; regulatory agreement</t>
  </si>
  <si>
    <t xml:space="preserve">Annual compliance monitoring fee.</t>
  </si>
  <si>
    <t xml:space="preserve">$15,000</t>
  </si>
  <si>
    <t xml:space="preserve">U21</t>
  </si>
  <si>
    <t xml:space="preserve">Turnover cost ($ / move-out)</t>
  </si>
  <si>
    <t xml:space="preserve">Default $700.</t>
  </si>
  <si>
    <t xml:space="preserve">$700</t>
  </si>
  <si>
    <t xml:space="preserve">V23</t>
  </si>
  <si>
    <t xml:space="preserve">Turnover Supplies / Year</t>
  </si>
  <si>
    <t xml:space="preserve">Default $3,600.</t>
  </si>
  <si>
    <t xml:space="preserve">$3,600</t>
  </si>
  <si>
    <t xml:space="preserve">V24</t>
  </si>
  <si>
    <t xml:space="preserve">Supplies / Unit / Year</t>
  </si>
  <si>
    <t xml:space="preserve">$300 (template $150)</t>
  </si>
  <si>
    <t xml:space="preserve">V25</t>
  </si>
  <si>
    <t xml:space="preserve">Supplies Overage Multiplier</t>
  </si>
  <si>
    <t xml:space="preserve">Default 1.2.</t>
  </si>
  <si>
    <t xml:space="preserve">1.2</t>
  </si>
  <si>
    <t xml:space="preserve">U26</t>
  </si>
  <si>
    <t xml:space="preserve">Appliance/Electrical ($ per 6 units)</t>
  </si>
  <si>
    <t xml:space="preserve">Default $175.</t>
  </si>
  <si>
    <t xml:space="preserve">$175</t>
  </si>
  <si>
    <t xml:space="preserve">V27</t>
  </si>
  <si>
    <t xml:space="preserve">HVAC &amp; Plumbing (Year 1)</t>
  </si>
  <si>
    <t xml:space="preserve">T-12 lines tagged HP</t>
  </si>
  <si>
    <t xml:space="preserve">CA formula: T-12 HP total × (1+inflation). Template has a hard 0; replace with formula.</t>
  </si>
  <si>
    <t xml:space="preserve">$16,619</t>
  </si>
  <si>
    <t xml:space="preserve">U28</t>
  </si>
  <si>
    <t xml:space="preserve">Rent Concessions ($ / unit)</t>
  </si>
  <si>
    <t xml:space="preserve">T-12 lines tagged CONC</t>
  </si>
  <si>
    <t xml:space="preserve">Default 0 unless concessions ongoing.</t>
  </si>
  <si>
    <t xml:space="preserve">P26</t>
  </si>
  <si>
    <t xml:space="preserve">Hours per Week</t>
  </si>
  <si>
    <t xml:space="preserve">40.</t>
  </si>
  <si>
    <t xml:space="preserve">40</t>
  </si>
  <si>
    <t xml:space="preserve">P27</t>
  </si>
  <si>
    <t xml:space="preserve">Weeks per Year</t>
  </si>
  <si>
    <t xml:space="preserve">52.</t>
  </si>
  <si>
    <t xml:space="preserve">52</t>
  </si>
  <si>
    <t xml:space="preserve">M31:M36</t>
  </si>
  <si>
    <t xml:space="preserve">Include? (Yes/No) per position</t>
  </si>
  <si>
    <t xml:space="preserve">Seller 'Payroll Schedule' positions</t>
  </si>
  <si>
    <t xml:space="preserve">Yes if the position exists (or Granite Park will staff it).</t>
  </si>
  <si>
    <t xml:space="preserve">Regional Yes, PM Yes, Asst Yes, Bonus No, Maint Yes, Maint Asst Yes</t>
  </si>
  <si>
    <t xml:space="preserve">O31</t>
  </si>
  <si>
    <t xml:space="preserve">Regional Manager ($ / month)</t>
  </si>
  <si>
    <t xml:space="preserve">Default $1,200/month.</t>
  </si>
  <si>
    <t xml:space="preserve">$1,200</t>
  </si>
  <si>
    <t xml:space="preserve">N32</t>
  </si>
  <si>
    <t xml:space="preserve">Property Manager hourly</t>
  </si>
  <si>
    <t xml:space="preserve">Payroll Schedule 'Resident Manager' salary/hr</t>
  </si>
  <si>
    <t xml:space="preserve">Hourly rate.</t>
  </si>
  <si>
    <t xml:space="preserve">$31.00</t>
  </si>
  <si>
    <t xml:space="preserve">CA =Payroll!E9.</t>
  </si>
  <si>
    <t xml:space="preserve">N33</t>
  </si>
  <si>
    <t xml:space="preserve">Assistant PM hourly</t>
  </si>
  <si>
    <t xml:space="preserve">Payroll Schedule 'Assistant Manager'</t>
  </si>
  <si>
    <t xml:space="preserve">Rate × (hours / 40). Cambridge: $22.14 × 25/40.</t>
  </si>
  <si>
    <t xml:space="preserve">$13.84</t>
  </si>
  <si>
    <t xml:space="preserve">N34</t>
  </si>
  <si>
    <t xml:space="preserve">Commissions / Bonuses hourly</t>
  </si>
  <si>
    <t xml:space="preserve">Payroll Schedule 'Other - Bonus'</t>
  </si>
  <si>
    <t xml:space="preserve">Usually 'No'.</t>
  </si>
  <si>
    <t xml:space="preserve">N35</t>
  </si>
  <si>
    <t xml:space="preserve">Maintenance hourly</t>
  </si>
  <si>
    <t xml:space="preserve">Payroll Schedule 'Maintenance Super'</t>
  </si>
  <si>
    <t xml:space="preserve">$29.00</t>
  </si>
  <si>
    <t xml:space="preserve">N36</t>
  </si>
  <si>
    <t xml:space="preserve">Maintenance Assistant hourly</t>
  </si>
  <si>
    <t xml:space="preserve">Payroll Schedule 'Maintenance Staff'</t>
  </si>
  <si>
    <t xml:space="preserve">Rate × (hours / 40). Cambridge: $21.42 × 20/40.</t>
  </si>
  <si>
    <t xml:space="preserve">$10.71</t>
  </si>
  <si>
    <t xml:space="preserve">N37</t>
  </si>
  <si>
    <t xml:space="preserve">Labor Increase %</t>
  </si>
  <si>
    <t xml:space="preserve">P41</t>
  </si>
  <si>
    <t xml:space="preserve">Management Fee (% of net rental income)</t>
  </si>
  <si>
    <t xml:space="preserve">Granite Park / ApartmentCorp fee</t>
  </si>
  <si>
    <t xml:space="preserve">Default 5%.</t>
  </si>
  <si>
    <t xml:space="preserve">5%</t>
  </si>
  <si>
    <t xml:space="preserve">OM uses 4%; T-12 actual ≈ 4.87%.</t>
  </si>
  <si>
    <t xml:space="preserve">P42</t>
  </si>
  <si>
    <t xml:space="preserve">Legal Expense</t>
  </si>
  <si>
    <t xml:space="preserve">Default $6,000.</t>
  </si>
  <si>
    <t xml:space="preserve">$6,000</t>
  </si>
  <si>
    <t xml:space="preserve">O43</t>
  </si>
  <si>
    <t xml:space="preserve">Office Expense ($ / unit)</t>
  </si>
  <si>
    <t xml:space="preserve">Default $150.</t>
  </si>
  <si>
    <t xml:space="preserve">$150</t>
  </si>
  <si>
    <t xml:space="preserve">P44</t>
  </si>
  <si>
    <t xml:space="preserve">Travel Cost</t>
  </si>
  <si>
    <t xml:space="preserve">P45</t>
  </si>
  <si>
    <t xml:space="preserve">Audit Expense</t>
  </si>
  <si>
    <t xml:space="preserve">Default $6,500.</t>
  </si>
  <si>
    <t xml:space="preserve">$6,500</t>
  </si>
  <si>
    <t xml:space="preserve">P46:P48</t>
  </si>
  <si>
    <t xml:space="preserve">Advertising / Training / Bank Charges</t>
  </si>
  <si>
    <t xml:space="preserve">T-12 lines tagged ADV / TRAIN / BANK</t>
  </si>
  <si>
    <t xml:space="preserve">Use CA formula: T-12 total × (1+inflation). Template has hard values.</t>
  </si>
  <si>
    <t xml:space="preserve">$5,536 / $3,006 / $103</t>
  </si>
  <si>
    <t xml:space="preserve">P49</t>
  </si>
  <si>
    <t xml:space="preserve">Bookkeeping</t>
  </si>
  <si>
    <t xml:space="preserve">Default $2,000.</t>
  </si>
  <si>
    <t xml:space="preserve">$2,000</t>
  </si>
  <si>
    <t xml:space="preserve">P50:P52</t>
  </si>
  <si>
    <t xml:space="preserve">Payroll Service / Manager Unit / Misc Admin</t>
  </si>
  <si>
    <t xml:space="preserve">T-12 lines tagged PAYSERV / UNIT / MISCAD</t>
  </si>
  <si>
    <t xml:space="preserve">T-12 total × (1+inflation). Manager Unit = rent-free staff units (enter as positive cost).</t>
  </si>
  <si>
    <t xml:space="preserve">$0 / $32,457 / $0</t>
  </si>
  <si>
    <t xml:space="preserve">Employee units are an economic loss, not payroll.</t>
  </si>
  <si>
    <t xml:space="preserve">V10:V15</t>
  </si>
  <si>
    <t xml:space="preserve">Utilities (Electric, Vacant Electric, Water &amp; Sewer, Gas, Cable, Trash)</t>
  </si>
  <si>
    <t xml:space="preserve">T-12 lines tagged ELEC / VAC / WS / GAS / CABLE / TRASH</t>
  </si>
  <si>
    <t xml:space="preserve">T-12 total × (1+inflation). Add the Cambridge formula: =SUMIF('Scenario 0'!$C:$C,Dashboard!$R:$R,'Scenario 0'!$E:$E)*(1+$P$15)</t>
  </si>
  <si>
    <t xml:space="preserve">W&amp;S $174,116; Trash $79,697</t>
  </si>
  <si>
    <t xml:space="preserve">Blank in the template; the Cambridge version added these formulas.</t>
  </si>
  <si>
    <t xml:space="preserve">V31:V38</t>
  </si>
  <si>
    <t xml:space="preserve">Contracts (Landscaping, Fire, Security, Pest, Misc, Elevator, Snow, Misc O&amp;M)</t>
  </si>
  <si>
    <t xml:space="preserve">T-12 lines tagged LAND / FIRE / SEC / PEST / CON / ELEV / SNOW / MISCOP</t>
  </si>
  <si>
    <t xml:space="preserve">T-12 total × (1+inflation), same SUMIF formula as utilities.</t>
  </si>
  <si>
    <t xml:space="preserve">Landscaping $51,799</t>
  </si>
  <si>
    <t xml:space="preserve">U41</t>
  </si>
  <si>
    <t xml:space="preserve">Market Value (% of price)</t>
  </si>
  <si>
    <t xml:space="preserve">Default 100%.</t>
  </si>
  <si>
    <t xml:space="preserve">1.00</t>
  </si>
  <si>
    <t xml:space="preserve">Template cell is blank; must be filled.</t>
  </si>
  <si>
    <t xml:space="preserve">U42</t>
  </si>
  <si>
    <t xml:space="preserve">Taxable Value (%)</t>
  </si>
  <si>
    <t xml:space="preserve">OM tax footnote (welfare exemption)</t>
  </si>
  <si>
    <t xml:space="preserve">100% welfare exemption → near 0%; else 100%.</t>
  </si>
  <si>
    <t xml:space="preserve">1%</t>
  </si>
  <si>
    <t xml:space="preserve">Cambridge: 100% welfare exemption.</t>
  </si>
  <si>
    <t xml:space="preserve">U43</t>
  </si>
  <si>
    <t xml:space="preserve">Property Tax Rate (mill rate)</t>
  </si>
  <si>
    <t xml:space="preserve">County tax rate (county assessor); OM tax note</t>
  </si>
  <si>
    <t xml:space="preserve">Rate per $100 / mills as template expects.</t>
  </si>
  <si>
    <t xml:space="preserve">0.391</t>
  </si>
  <si>
    <t xml:space="preserve">OM: tax = direct assessments $5,667 + non-profit fee $11,088.</t>
  </si>
  <si>
    <t xml:space="preserve">U48</t>
  </si>
  <si>
    <t xml:space="preserve">Property &amp; Liability Insurance ($ / unit)</t>
  </si>
  <si>
    <t xml:space="preserve">Insurance broker quote; else OM proforma; T-12 as floor</t>
  </si>
  <si>
    <t xml:space="preserve">Use quote ÷ units.</t>
  </si>
  <si>
    <t xml:space="preserve">$1,061 (=$140,000 / 132)</t>
  </si>
  <si>
    <t xml:space="preserve">T-12 actual $103,482; OM proforma $850/unit.</t>
  </si>
  <si>
    <t xml:space="preserve">U49</t>
  </si>
  <si>
    <t xml:space="preserve">Workers Comp (% of payroll)</t>
  </si>
  <si>
    <t xml:space="preserve">U50</t>
  </si>
  <si>
    <t xml:space="preserve">Health Insurance &amp; Benefits (% of payroll)</t>
  </si>
  <si>
    <t xml:space="preserve">U51</t>
  </si>
  <si>
    <t xml:space="preserve">Payroll Tax (% of payroll)</t>
  </si>
  <si>
    <t xml:space="preserve">Default 10%.</t>
  </si>
  <si>
    <t xml:space="preserve">Scenario 0</t>
  </si>
  <si>
    <t xml:space="preserve">E3</t>
  </si>
  <si>
    <t xml:space="preserve">First model year label</t>
  </si>
  <si>
    <t xml:space="preserve">T-12 end date</t>
  </si>
  <si>
    <t xml:space="preserve">Year of the T-12 period.</t>
  </si>
  <si>
    <t xml:space="preserve">2024</t>
  </si>
  <si>
    <t xml:space="preserve">E7:E76</t>
  </si>
  <si>
    <t xml:space="preserve">T12 column (every coded row)</t>
  </si>
  <si>
    <t xml:space="preserve">Seller T-12 'Summary' (12-month total) column</t>
  </si>
  <si>
    <t xml:space="preserve">Paste T-12; tag each GL line with a model code (see 'T-12 Code Map'); column E = SUMIF by code. Sign rule: VC, BAD, UNIT, CONC entered as positive costs (CA negates them).</t>
  </si>
  <si>
    <t xml:space="preserve">GPI $2,004,674; NOI $986,819</t>
  </si>
  <si>
    <t xml:space="preserve">Template has typed numbers from an older deal in E7, E8, E11. Replace with the SUMIF formula.</t>
  </si>
  <si>
    <t xml:space="preserve">F7</t>
  </si>
  <si>
    <t xml:space="preserve">Year 1 Gross Potential Income</t>
  </si>
  <si>
    <t xml:space="preserve">Unit Mix Scenario 0 total</t>
  </si>
  <si>
    <t xml:space="preserve">Leave formula (='Unit Mix'!N19 in CA).</t>
  </si>
  <si>
    <t xml:space="preserve">$2,080,368</t>
  </si>
  <si>
    <t xml:space="preserve">C13:C32</t>
  </si>
  <si>
    <t xml:space="preserve">Unit Types (bed x bath)</t>
  </si>
  <si>
    <t xml:space="preserve">Rent roll floorplan / unit code</t>
  </si>
  <si>
    <t xml:space="preserve">Decode the property's unit code to beds x baths (see Rent Roll Rules).</t>
  </si>
  <si>
    <t xml:space="preserve">2x1, 3x2, 4x2</t>
  </si>
  <si>
    <t xml:space="preserve">D13:D32</t>
  </si>
  <si>
    <t xml:space="preserve">AMI / S8 / Staff / Market</t>
  </si>
  <si>
    <t xml:space="preserve">Rent Roll + Rent &amp; Income Matrix</t>
  </si>
  <si>
    <t xml:space="preserve">Rent roll program / set-aside per unit; subsidy line present → S8 Voucher; employee unit → Staff</t>
  </si>
  <si>
    <t xml:space="preserve">One row per (unit type × program).</t>
  </si>
  <si>
    <t xml:space="preserve">50% AMI, 60% AMI, S8 Voucher, Staff</t>
  </si>
  <si>
    <t xml:space="preserve">E13:E32</t>
  </si>
  <si>
    <t xml:space="preserve"># of Units</t>
  </si>
  <si>
    <t xml:space="preserve">Count of units in each set</t>
  </si>
  <si>
    <t xml:space="preserve">Occupied + vacant; vacant units keep their set-aside.</t>
  </si>
  <si>
    <t xml:space="preserve">e.g. 2x1 50% AMI = 19</t>
  </si>
  <si>
    <t xml:space="preserve">F13:F32</t>
  </si>
  <si>
    <t xml:space="preserve">Avg. SF</t>
  </si>
  <si>
    <t xml:space="preserve">Rent Roll / OM</t>
  </si>
  <si>
    <t xml:space="preserve">Rent roll SQFT; OM unit mix</t>
  </si>
  <si>
    <t xml:space="preserve">Average SF of the set.</t>
  </si>
  <si>
    <t xml:space="preserve">998 / 1,198 / 1,454</t>
  </si>
  <si>
    <t xml:space="preserve">G13:G32</t>
  </si>
  <si>
    <t xml:space="preserve">Avg. Market Rent</t>
  </si>
  <si>
    <t xml:space="preserve">CoStar market rent by bedroom for the submarket</t>
  </si>
  <si>
    <t xml:space="preserve">Not from the rent roll's 'Market' column (that is the LIHTC max).</t>
  </si>
  <si>
    <t xml:space="preserve">$1,773 / $2,309 / $2,607</t>
  </si>
  <si>
    <t xml:space="preserve">H13:H32</t>
  </si>
  <si>
    <t xml:space="preserve">Avg. Resident Rent</t>
  </si>
  <si>
    <t xml:space="preserve">Tenant-portion charge line (RENT)</t>
  </si>
  <si>
    <t xml:space="preserve">Average of occupied units in the set.</t>
  </si>
  <si>
    <t xml:space="preserve">2x1 50%: $974</t>
  </si>
  <si>
    <t xml:space="preserve">I13:I32</t>
  </si>
  <si>
    <t xml:space="preserve">Avg. Subsidy</t>
  </si>
  <si>
    <t xml:space="preserve">Subsidy charge line (SUBSIDY / HAP)</t>
  </si>
  <si>
    <t xml:space="preserve">Sum ALL subsidy lines per unit before averaging (Abraham).</t>
  </si>
  <si>
    <t xml:space="preserve">2x1 S8: $762–$967</t>
  </si>
  <si>
    <t xml:space="preserve">K13:K32</t>
  </si>
  <si>
    <t xml:space="preserve">Avg. Utilities (utility allowance)</t>
  </si>
  <si>
    <t xml:space="preserve">Utility Allowance Breakdown (housing authority schedule)</t>
  </si>
  <si>
    <t xml:space="preserve">Total UA by bedroom.</t>
  </si>
  <si>
    <t xml:space="preserve">$146 / $183 / $224</t>
  </si>
  <si>
    <t xml:space="preserve">M13:M32</t>
  </si>
  <si>
    <t xml:space="preserve">Avg. Max LIHTC (gross)</t>
  </si>
  <si>
    <t xml:space="preserve">TCAC / HUD MTSP rent limits by county, bedrooms, AMI %</t>
  </si>
  <si>
    <t xml:space="preserve">If HOME also applies, use the LOWER of LIHTC and HOME limits (Abraham).</t>
  </si>
  <si>
    <t xml:space="preserve">2BR 50%: $1,177 (2025) → $1,216 (2026)</t>
  </si>
  <si>
    <t xml:space="preserve">Cambridge model replaced this column with 'current × 1.08'.</t>
  </si>
  <si>
    <t xml:space="preserve">O13:O32</t>
  </si>
  <si>
    <t xml:space="preserve">Avg. Max FMR / SAFMR</t>
  </si>
  <si>
    <t xml:space="preserve">HUD Small Area FMR by ZIP, or housing authority payment standard</t>
  </si>
  <si>
    <t xml:space="preserve">Use SAFMR for the ZIP when the PHA uses SAFMRs.</t>
  </si>
  <si>
    <t xml:space="preserve">2BR $1,550 (SAFMR 95210)</t>
  </si>
  <si>
    <t xml:space="preserve">Voucher units can rent up to this, above the LIHTC cap.</t>
  </si>
  <si>
    <t xml:space="preserve">Unit Mix</t>
  </si>
  <si>
    <t xml:space="preserve">AL1</t>
  </si>
  <si>
    <t xml:space="preserve">New Vouchers / Year (Scenario 4)</t>
  </si>
  <si>
    <t xml:space="preserve">Only in Cambridge version</t>
  </si>
  <si>
    <t xml:space="preserve">Number of 50% AMI units converted to vouchers per year.</t>
  </si>
  <si>
    <t xml:space="preserve">10</t>
  </si>
  <si>
    <t xml:space="preserve">Template has no Scenario 4.</t>
  </si>
  <si>
    <t xml:space="preserve">Partnership Terms + Fees</t>
  </si>
  <si>
    <t xml:space="preserve">C8:G12</t>
  </si>
  <si>
    <t xml:space="preserve">Waterfall hurdles, multiples, promotes, LP/GP splits</t>
  </si>
  <si>
    <t xml:space="preserve">Granite Park standard partnership terms</t>
  </si>
  <si>
    <t xml:space="preserve">Same for every deal unless Marc changes terms.</t>
  </si>
  <si>
    <t xml:space="preserve">Tier I 8% pref, 75/25 … Thereafter 58.5/41.5</t>
  </si>
  <si>
    <t xml:space="preserve">Op Ex per Unit</t>
  </si>
  <si>
    <t xml:space="preserve">D5, Q5</t>
  </si>
  <si>
    <t xml:space="preserve">Year counters</t>
  </si>
  <si>
    <t xml:space="preserve">Do not touch.</t>
  </si>
  <si>
    <t xml:space="preserve">1</t>
  </si>
  <si>
    <t xml:space="preserve">Waterfall Summary</t>
  </si>
  <si>
    <t xml:space="preserve">E20, E35</t>
  </si>
  <si>
    <t xml:space="preserve">Period counters</t>
  </si>
  <si>
    <t xml:space="preserve">Scenario 1–3</t>
  </si>
  <si>
    <t xml:space="preserve">—</t>
  </si>
  <si>
    <t xml:space="preserve">No direct inputs</t>
  </si>
  <si>
    <t xml:space="preserve">Driven by Unit Mix and Dashboard. Do not type into scenario sheets.</t>
  </si>
  <si>
    <t xml:space="preserve">Tag every T-12 GL line with one code. Scenario 0 column E = SUMIF(T-12 code column, code, T-12 12-month total).</t>
  </si>
  <si>
    <t xml:space="preserve">Code</t>
  </si>
  <si>
    <t xml:space="preserve">Model row (Scenario 0)</t>
  </si>
  <si>
    <t xml:space="preserve">Model line</t>
  </si>
  <si>
    <t xml:space="preserve">Sign in model</t>
  </si>
  <si>
    <t xml:space="preserve">What belongs here (keywords)</t>
  </si>
  <si>
    <t xml:space="preserve">Cambridge Court GL lines (12-mo total)</t>
  </si>
  <si>
    <t xml:space="preserve">GPI</t>
  </si>
  <si>
    <t xml:space="preserve">Row 7</t>
  </si>
  <si>
    <t xml:space="preserve">Gross Potential Income</t>
  </si>
  <si>
    <t xml:space="preserve">As shown</t>
  </si>
  <si>
    <t xml:space="preserve">Rental income, rental assistance / HAP, gain-loss to lease</t>
  </si>
  <si>
    <t xml:space="preserve">5120-0000 - Rental Income ($1,660,441); 5150-0000 - Rental Assistance ($215,801); 5221-0000 - Gain/(Loss) to Lease ($128,432)</t>
  </si>
  <si>
    <t xml:space="preserve">VC</t>
  </si>
  <si>
    <t xml:space="preserve">Row 8</t>
  </si>
  <si>
    <t xml:space="preserve">Vacancy Factor</t>
  </si>
  <si>
    <t xml:space="preserve">Enter as positive cost (negate T-12)</t>
  </si>
  <si>
    <t xml:space="preserve">Vacancy loss</t>
  </si>
  <si>
    <t xml:space="preserve">5220-0000 - Vacancies Apartment ($-18,698)</t>
  </si>
  <si>
    <t xml:space="preserve">OI</t>
  </si>
  <si>
    <t xml:space="preserve">Row 11</t>
  </si>
  <si>
    <t xml:space="preserve">Laundry and Other Income</t>
  </si>
  <si>
    <t xml:space="preserve">Fees, late/term fees, damages, interest income, laundry, misc income</t>
  </si>
  <si>
    <t xml:space="preserve">5330-0000 - Tenant Services ($360); 5332-0000 - Application Fees ($1,980); 5385-0000 - Late/Term Fees ($9,150); 5390-0000 - Miscellaneous Income ($-926); 5390-0002 - Damages ($16,971); 5410-0000 - Interest - Other ($5,719); 5410-0002 - Interest Earned - Operating ($1,155); 5493-0000 - Int on Replacement Reserve ($157)</t>
  </si>
  <si>
    <t xml:space="preserve">BAD</t>
  </si>
  <si>
    <t xml:space="preserve">Row 17</t>
  </si>
  <si>
    <t xml:space="preserve">Bad Debt</t>
  </si>
  <si>
    <t xml:space="preserve">Bad debt, write-offs</t>
  </si>
  <si>
    <t xml:space="preserve">6370-0000 - Bad Debt ($-13,676); 6370-0004 - Bad Debt - Miscellaneous ($-14,782)</t>
  </si>
  <si>
    <t xml:space="preserve">RES</t>
  </si>
  <si>
    <t xml:space="preserve">Row 20</t>
  </si>
  <si>
    <t xml:space="preserve">Replacement Reserves</t>
  </si>
  <si>
    <t xml:space="preserve">Not from T-12 (=Year 1)</t>
  </si>
  <si>
    <t xml:space="preserve">Replacement reserve deposits (Year 1 from Dashboard)</t>
  </si>
  <si>
    <t xml:space="preserve">— none on Cambridge T-12 —</t>
  </si>
  <si>
    <t xml:space="preserve">COM</t>
  </si>
  <si>
    <t xml:space="preserve">Row 21</t>
  </si>
  <si>
    <t xml:space="preserve">Compliance Fee</t>
  </si>
  <si>
    <t xml:space="preserve">Compliance / monitoring fees</t>
  </si>
  <si>
    <t xml:space="preserve">REG</t>
  </si>
  <si>
    <t xml:space="preserve">Row 24</t>
  </si>
  <si>
    <t xml:space="preserve">Regional Manager Salary</t>
  </si>
  <si>
    <t xml:space="preserve">Regional / supervisor payroll</t>
  </si>
  <si>
    <t xml:space="preserve">MAN</t>
  </si>
  <si>
    <t xml:space="preserve">Row 25</t>
  </si>
  <si>
    <t xml:space="preserve">Property Manager Salary</t>
  </si>
  <si>
    <t xml:space="preserve">Manager payroll</t>
  </si>
  <si>
    <t xml:space="preserve">6330-0000 - Managers Payroll ($74,012)</t>
  </si>
  <si>
    <t xml:space="preserve">ASS</t>
  </si>
  <si>
    <t xml:space="preserve">Row 26</t>
  </si>
  <si>
    <t xml:space="preserve">Assistant Manager (over 160 units)</t>
  </si>
  <si>
    <t xml:space="preserve">Office / assistant / leasing payroll</t>
  </si>
  <si>
    <t xml:space="preserve">6310-0000 - Office Payroll ($36,570)</t>
  </si>
  <si>
    <t xml:space="preserve">PAY</t>
  </si>
  <si>
    <t xml:space="preserve">Row 27</t>
  </si>
  <si>
    <t xml:space="preserve">Commissions/Bonuses</t>
  </si>
  <si>
    <t xml:space="preserve">Commissions, bonuses</t>
  </si>
  <si>
    <t xml:space="preserve">MAIT</t>
  </si>
  <si>
    <t xml:space="preserve">Row 28</t>
  </si>
  <si>
    <t xml:space="preserve">Maintenance Salary</t>
  </si>
  <si>
    <t xml:space="preserve">Maintenance payroll</t>
  </si>
  <si>
    <t xml:space="preserve">6539-0000 - Maintenance Payroll General ($24,198); 6540-0000 - Maintenance PayrollSuperintendent ($69,332)</t>
  </si>
  <si>
    <t xml:space="preserve">MGMT</t>
  </si>
  <si>
    <t xml:space="preserve">Row 31</t>
  </si>
  <si>
    <t xml:space="preserve">Management Fee</t>
  </si>
  <si>
    <t xml:space="preserve">Management fees</t>
  </si>
  <si>
    <t xml:space="preserve">6320-0000 - Management Fees ($96,449)</t>
  </si>
  <si>
    <t xml:space="preserve">LEGAL</t>
  </si>
  <si>
    <t xml:space="preserve">Row 32</t>
  </si>
  <si>
    <t xml:space="preserve">Legal, credit reports / screening</t>
  </si>
  <si>
    <t xml:space="preserve">6280-0000 - Credit Reports and Fees ($3,022); 6340-0000 - Legal Expense ($7,264)</t>
  </si>
  <si>
    <t xml:space="preserve">OFF</t>
  </si>
  <si>
    <t xml:space="preserve">Row 33</t>
  </si>
  <si>
    <t xml:space="preserve">Office Expense</t>
  </si>
  <si>
    <t xml:space="preserve">Office supplies, copier, postage, dues, software / transaction fees</t>
  </si>
  <si>
    <t xml:space="preserve">6311-0000 - Office Expenses ($12,413); 6312-0000 - Copy Machine ($2,982); 6313-0000 - Postage ($463); 6385-0000 - Dues and Memberships ($1,059); 6392-0001 - RP Transaction Fees ($1,389)</t>
  </si>
  <si>
    <t xml:space="preserve">TRAVEL</t>
  </si>
  <si>
    <t xml:space="preserve">Row 34</t>
  </si>
  <si>
    <t xml:space="preserve">Travel, mileage</t>
  </si>
  <si>
    <t xml:space="preserve">6316-0000 - Travel/Mileage ($4,937)</t>
  </si>
  <si>
    <t xml:space="preserve">AUD</t>
  </si>
  <si>
    <t xml:space="preserve">Row 35</t>
  </si>
  <si>
    <t xml:space="preserve">Audit, accounting</t>
  </si>
  <si>
    <t xml:space="preserve">ADV</t>
  </si>
  <si>
    <t xml:space="preserve">Row 36</t>
  </si>
  <si>
    <t xml:space="preserve">Advertising</t>
  </si>
  <si>
    <t xml:space="preserve">Advertising, marketing, resident supplies / events</t>
  </si>
  <si>
    <t xml:space="preserve">6212-0000 - Collateral Materials/Brand Identity ($1,761); 6290-0000 - Miscellaneous Renting Expense ($2,150); 6981-0000 - Resident Supplies ($1,464)</t>
  </si>
  <si>
    <t xml:space="preserve">TRAIN</t>
  </si>
  <si>
    <t xml:space="preserve">Row 37</t>
  </si>
  <si>
    <t xml:space="preserve">Training Charge</t>
  </si>
  <si>
    <t xml:space="preserve">Training</t>
  </si>
  <si>
    <t xml:space="preserve">6316-0003 - Training ($2,919)</t>
  </si>
  <si>
    <t xml:space="preserve">BANK</t>
  </si>
  <si>
    <t xml:space="preserve">Row 38</t>
  </si>
  <si>
    <t xml:space="preserve">Bank Charges</t>
  </si>
  <si>
    <t xml:space="preserve">Bank charges</t>
  </si>
  <si>
    <t xml:space="preserve">6392-0000 - Bank Charges ($100)</t>
  </si>
  <si>
    <t xml:space="preserve">BOOK</t>
  </si>
  <si>
    <t xml:space="preserve">Row 39</t>
  </si>
  <si>
    <t xml:space="preserve">PAYSERV</t>
  </si>
  <si>
    <t xml:space="preserve">Row 40</t>
  </si>
  <si>
    <t xml:space="preserve">Payroll Service</t>
  </si>
  <si>
    <t xml:space="preserve">Payroll processing service</t>
  </si>
  <si>
    <t xml:space="preserve">UNIT</t>
  </si>
  <si>
    <t xml:space="preserve">Row 41</t>
  </si>
  <si>
    <t xml:space="preserve">Manager Unit</t>
  </si>
  <si>
    <t xml:space="preserve">Rent-free employee units (economic loss)</t>
  </si>
  <si>
    <t xml:space="preserve">6330-0002 - Office Manager Rent Free Unit ($-15,756); 6539-0002 - Maintenance Staff Rent Free Unit ($-15,756)</t>
  </si>
  <si>
    <t xml:space="preserve">MISCAD</t>
  </si>
  <si>
    <t xml:space="preserve">Row 42</t>
  </si>
  <si>
    <t xml:space="preserve">Misc. Admin Expenses</t>
  </si>
  <si>
    <t xml:space="preserve">Other admin</t>
  </si>
  <si>
    <t xml:space="preserve">ELEC</t>
  </si>
  <si>
    <t xml:space="preserve">Row 45</t>
  </si>
  <si>
    <t xml:space="preserve">Electric</t>
  </si>
  <si>
    <t xml:space="preserve">Electricity (house, employee unit), utility billing / processing fees</t>
  </si>
  <si>
    <t xml:space="preserve">6430-0000 - Electricity Vacant ($-27); 6430-0001 - Employee Unit Utility ($2,310); 6450-0000 - Electricity ($7,375); 6456-0000 - Utility Late Fee ($688); 6454-0000 - Utility Processing ($3,514)</t>
  </si>
  <si>
    <t xml:space="preserve">VAC</t>
  </si>
  <si>
    <t xml:space="preserve">Row 46</t>
  </si>
  <si>
    <t xml:space="preserve">Electric - Vacant</t>
  </si>
  <si>
    <t xml:space="preserve">Vacant-unit electricity</t>
  </si>
  <si>
    <t xml:space="preserve">WS</t>
  </si>
  <si>
    <t xml:space="preserve">Row 47</t>
  </si>
  <si>
    <t xml:space="preserve">Water &amp; Sewer</t>
  </si>
  <si>
    <t xml:space="preserve">Water and sewer</t>
  </si>
  <si>
    <t xml:space="preserve">6451-0000 - Water and Sewer ($169,045)</t>
  </si>
  <si>
    <t xml:space="preserve">GAS</t>
  </si>
  <si>
    <t xml:space="preserve">Row 48</t>
  </si>
  <si>
    <t xml:space="preserve">Gas</t>
  </si>
  <si>
    <t xml:space="preserve">Natural gas</t>
  </si>
  <si>
    <t xml:space="preserve">6440-0000 - Gas/Oil Heat Vacant ($450); 6452-0000 - Natural Gas Heat ($-94)</t>
  </si>
  <si>
    <t xml:space="preserve">CABLE</t>
  </si>
  <si>
    <t xml:space="preserve">Row 49</t>
  </si>
  <si>
    <t xml:space="preserve">Cable</t>
  </si>
  <si>
    <t xml:space="preserve">Telephone, internet, cable</t>
  </si>
  <si>
    <t xml:space="preserve">6360-0000 - Telephone ($16,588)</t>
  </si>
  <si>
    <t xml:space="preserve">TRASH</t>
  </si>
  <si>
    <t xml:space="preserve">Row 50</t>
  </si>
  <si>
    <t xml:space="preserve">Trash/Garbage</t>
  </si>
  <si>
    <t xml:space="preserve">Rubbish removal, bulk trash</t>
  </si>
  <si>
    <t xml:space="preserve">6470-0000 - Rubbish Removal ($71,594); 6470-0001 - Rubbish Removal - Bulk ($5,781)</t>
  </si>
  <si>
    <t xml:space="preserve">RM</t>
  </si>
  <si>
    <t xml:space="preserve">Row 53</t>
  </si>
  <si>
    <t xml:space="preserve">In-House R&amp;M</t>
  </si>
  <si>
    <t xml:space="preserve">In-house repairs, windows</t>
  </si>
  <si>
    <t xml:space="preserve">6583-0000 - Window Expense ($2,114)</t>
  </si>
  <si>
    <t xml:space="preserve">TURN</t>
  </si>
  <si>
    <t xml:space="preserve">Row 54</t>
  </si>
  <si>
    <t xml:space="preserve">Turnover</t>
  </si>
  <si>
    <t xml:space="preserve">Cleaning, painting / decorating between tenants</t>
  </si>
  <si>
    <t xml:space="preserve">6532-0000 - Cleaning Contract ($4,900); 6561-0000 - Decorator Supplies ($7,307); 6562-0000 - Decorator Contract Services ($430)</t>
  </si>
  <si>
    <t xml:space="preserve">SUPP</t>
  </si>
  <si>
    <t xml:space="preserve">Row 55</t>
  </si>
  <si>
    <t xml:space="preserve">Supplies</t>
  </si>
  <si>
    <t xml:space="preserve">Maintenance supplies, uniforms</t>
  </si>
  <si>
    <t xml:space="preserve">6541-0000 - Maintenance Supplies ($54,055); 6552-0000 - Uniforms ($1,147)</t>
  </si>
  <si>
    <t xml:space="preserve">APP</t>
  </si>
  <si>
    <t xml:space="preserve">Row 56</t>
  </si>
  <si>
    <t xml:space="preserve">Appliance/Electrical</t>
  </si>
  <si>
    <t xml:space="preserve">Appliance / electrical repairs</t>
  </si>
  <si>
    <t xml:space="preserve">HP</t>
  </si>
  <si>
    <t xml:space="preserve">Row 57</t>
  </si>
  <si>
    <t xml:space="preserve">HVAC &amp; Plumbing</t>
  </si>
  <si>
    <t xml:space="preserve">HVAC, plumbing repairs; pool supplies</t>
  </si>
  <si>
    <t xml:space="preserve">6547-0000 - Repairs - Contract - HVAC ($2,955); 6548-0000 - Repairs - Contract - Plumbing ($12,394); 6991-0000 - Pool Supplies ($787)</t>
  </si>
  <si>
    <t xml:space="preserve">CONC</t>
  </si>
  <si>
    <t xml:space="preserve">Row 58</t>
  </si>
  <si>
    <t xml:space="preserve">Rent Concessions</t>
  </si>
  <si>
    <t xml:space="preserve">Free rent, concessions</t>
  </si>
  <si>
    <t xml:space="preserve">5218-0000 - Free Rent-Marketing Concession ($-488)</t>
  </si>
  <si>
    <t xml:space="preserve">LAND</t>
  </si>
  <si>
    <t xml:space="preserve">Row 61</t>
  </si>
  <si>
    <t xml:space="preserve">Landscaping/Grounds Contract</t>
  </si>
  <si>
    <t xml:space="preserve">Grounds contract, landscaping, grounds supplies</t>
  </si>
  <si>
    <t xml:space="preserve">6521-0000 - Grounds Supplies ($4,370); 6522-0000 - Grounds Contract ($43,483); 6522-0001 - Landscaping ($2,437)</t>
  </si>
  <si>
    <t xml:space="preserve">FIRE</t>
  </si>
  <si>
    <t xml:space="preserve">Row 62</t>
  </si>
  <si>
    <t xml:space="preserve">Fire &amp; Safety System</t>
  </si>
  <si>
    <t xml:space="preserve">Fire and life-safety</t>
  </si>
  <si>
    <t xml:space="preserve">6586-0000 - Fire and Safety Systems ($8,241)</t>
  </si>
  <si>
    <t xml:space="preserve">SEC</t>
  </si>
  <si>
    <t xml:space="preserve">Row 63</t>
  </si>
  <si>
    <t xml:space="preserve">Security</t>
  </si>
  <si>
    <t xml:space="preserve">Security, patrol, cameras</t>
  </si>
  <si>
    <t xml:space="preserve">6511-0000 - Security Contract and Repairs ($6,574)</t>
  </si>
  <si>
    <t xml:space="preserve">PEST</t>
  </si>
  <si>
    <t xml:space="preserve">Row 64</t>
  </si>
  <si>
    <t xml:space="preserve">Pest Control</t>
  </si>
  <si>
    <t xml:space="preserve">Exterminating</t>
  </si>
  <si>
    <t xml:space="preserve">6462-0000 - Exterminating Contract ($6,250)</t>
  </si>
  <si>
    <t xml:space="preserve">CON</t>
  </si>
  <si>
    <t xml:space="preserve">Row 65</t>
  </si>
  <si>
    <t xml:space="preserve">Misc. Contracts</t>
  </si>
  <si>
    <t xml:space="preserve">General repair contracts, pool contract</t>
  </si>
  <si>
    <t xml:space="preserve">6545-0000 - Repairs Contract General ($27,804); 6992-0000 - Pool Contract ($7,660)</t>
  </si>
  <si>
    <t xml:space="preserve">ELEV</t>
  </si>
  <si>
    <t xml:space="preserve">Row 66</t>
  </si>
  <si>
    <t xml:space="preserve">Elevator Costs</t>
  </si>
  <si>
    <t xml:space="preserve">Elevator</t>
  </si>
  <si>
    <t xml:space="preserve">SNOW</t>
  </si>
  <si>
    <t xml:space="preserve">Row 67</t>
  </si>
  <si>
    <t xml:space="preserve">Snow</t>
  </si>
  <si>
    <t xml:space="preserve">Snow removal</t>
  </si>
  <si>
    <t xml:space="preserve">MISCOP</t>
  </si>
  <si>
    <t xml:space="preserve">Row 68</t>
  </si>
  <si>
    <t xml:space="preserve">Misc. Operating &amp; Maint.</t>
  </si>
  <si>
    <t xml:space="preserve">Other operating</t>
  </si>
  <si>
    <t xml:space="preserve">RETAX</t>
  </si>
  <si>
    <t xml:space="preserve">Row 71</t>
  </si>
  <si>
    <t xml:space="preserve">Real Estate Taxes</t>
  </si>
  <si>
    <t xml:space="preserve">Real estate taxes, other taxes</t>
  </si>
  <si>
    <t xml:space="preserve">6710-0000 - Taxes Real Estate ($5,699); 6712-0000 - Taxes Other ($298)</t>
  </si>
  <si>
    <t xml:space="preserve">INS</t>
  </si>
  <si>
    <t xml:space="preserve">Row 72</t>
  </si>
  <si>
    <t xml:space="preserve">Property &amp; Liability Insurance</t>
  </si>
  <si>
    <t xml:space="preserve">Property / liability insurance, franchise tax, insurance consulting</t>
  </si>
  <si>
    <t xml:space="preserve">6720-0000 - Insurance Property ($102,614); 6720-0002 - Franchise Tax - Calif Pnps ($700); 6722-0000 - Insurance - Consultant ($168)</t>
  </si>
  <si>
    <t xml:space="preserve">WORKCOMP</t>
  </si>
  <si>
    <t xml:space="preserve">Row 73</t>
  </si>
  <si>
    <t xml:space="preserve">Workmens Comp</t>
  </si>
  <si>
    <t xml:space="preserve">Workers comp</t>
  </si>
  <si>
    <t xml:space="preserve">6724-0001 - Workers Comp. - Payroll Admin ($6,839); 6724-0002 - Workers Compensation-Payroll Maintenance ($6,313)</t>
  </si>
  <si>
    <t xml:space="preserve">HEALTH</t>
  </si>
  <si>
    <t xml:space="preserve">Row 74</t>
  </si>
  <si>
    <t xml:space="preserve">Health Insurance &amp; Other Benefits</t>
  </si>
  <si>
    <t xml:space="preserve">Health insurance and benefits</t>
  </si>
  <si>
    <t xml:space="preserve">6726-0001 - Health Ins. &amp; Benefits-Payroll Admin ($12,263); 6726-0002 - Health Ins. &amp; Benefits-Payroll Maint. ($9,472)</t>
  </si>
  <si>
    <t xml:space="preserve">PTAX</t>
  </si>
  <si>
    <t xml:space="preserve">Row 75</t>
  </si>
  <si>
    <t xml:space="preserve">Payroll Tax </t>
  </si>
  <si>
    <t xml:space="preserve">Payroll taxes</t>
  </si>
  <si>
    <t xml:space="preserve">6714-0001 - Taxes-Payroll Administrative ($9,040); 6714-0002 - Taxes-Payroll Maintenance ($7,598)</t>
  </si>
  <si>
    <t xml:space="preserve">MISCTAX</t>
  </si>
  <si>
    <t xml:space="preserve">Row 76</t>
  </si>
  <si>
    <t xml:space="preserve">Misc Taxes, Licenses,  Etc.</t>
  </si>
  <si>
    <t xml:space="preserve">Licenses, misc taxes</t>
  </si>
  <si>
    <t xml:space="preserve">Rules</t>
  </si>
  <si>
    <t xml:space="preserve">•</t>
  </si>
  <si>
    <t xml:space="preserve">Every GL line with a non-zero 12-month total must get exactly one code. Lines with no code are silently dropped from the model — the automation should list any untagged lines and stop.</t>
  </si>
  <si>
    <t xml:space="preserve">Check: sum of all coded income lines minus coded expense lines must equal the T-12's own NOI (Cambridge: $986,818.73).</t>
  </si>
  <si>
    <t xml:space="preserve">Header / subtotal rows (TOTAL RENTAL INCOME, TOTAL EXPENSES, NET OPERATING INCOME) are never coded.</t>
  </si>
  <si>
    <t xml:space="preserve">Different management systems use different GL numbers (Cambridge is RealPage OneSite 4-digit-dash-4). Match on account NAME first, number second, and keep a per-system lookup that grows with each deal.</t>
  </si>
  <si>
    <t xml:space="preserve">Paste the T-12 as its own tab named 'T-12' with the 12-month total in column N and the code in column O, as in the Cambridge version.</t>
  </si>
  <si>
    <t xml:space="preserve">Turning the seller's unit-by-unit rent roll into the template's unit-set table. Rules marked (Abraham) come from the Oct 8 sessions.</t>
  </si>
  <si>
    <t xml:space="preserve">Step</t>
  </si>
  <si>
    <t xml:space="preserve">Rule</t>
  </si>
  <si>
    <t xml:space="preserve">Cambridge example</t>
  </si>
  <si>
    <t xml:space="preserve">Paste the raw rent roll</t>
  </si>
  <si>
    <t xml:space="preserve">Paste the seller's rent roll detail as its own tab ('RR' in the Cambridge version). Keep all charge lines.</t>
  </si>
  <si>
    <t xml:space="preserve">OneSite 'RENT ROLL DETAIL', as of 02/28/2026, 132 units</t>
  </si>
  <si>
    <t xml:space="preserve">Combine charge lines per unit (Abraham)</t>
  </si>
  <si>
    <t xml:space="preserve">Each voucher tenant has at least two lines: tenant portion (RENT) and subsidy (SUBSIDY / HAP). Some units have more lines for other charges. Sum rent + subsidy for each unit to get total rent. Do not count other charges (pet, parking) as rent.</t>
  </si>
  <si>
    <t xml:space="preserve">One tenant pays ~$4, subsidy pays ~$1,100: total $1,104, all counted</t>
  </si>
  <si>
    <t xml:space="preserve">Decode the unit code (Abraham)</t>
  </si>
  <si>
    <t xml:space="preserve">Each property has its own internal unit-type code, and some codes embed the AMI level (e.g. '1D60' = 60% unit). Map each code to beds x baths, and to AMI if embedded. Keep a lookup per management system.</t>
  </si>
  <si>
    <t xml:space="preserve">Cambridge floorplan codes like 3608T215 → 2x1</t>
  </si>
  <si>
    <t xml:space="preserve">Tag each unit's program</t>
  </si>
  <si>
    <t xml:space="preserve">50% / 60% AMI (or 30/40/80%) from the set-aside; 'S8 Voucher' if a subsidy line exists; 'Staff' for employee units; 'Market' if unrestricted. 50% and 60% are most common; 80% shows up in places like Sacramento (Abraham).</t>
  </si>
  <si>
    <t xml:space="preserve">51 at 50%, 63 at 60%, 16 S8, 2 Staff</t>
  </si>
  <si>
    <t xml:space="preserve">Build unit sets</t>
  </si>
  <si>
    <t xml:space="preserve">One row per (unit type × program). Count units, average SF, average tenant rent, average subsidy.</t>
  </si>
  <si>
    <t xml:space="preserve">12 unit sets</t>
  </si>
  <si>
    <t xml:space="preserve">Utility allowance</t>
  </si>
  <si>
    <t xml:space="preserve">Pull the utility allowance by bedroom from the Rent &amp; Income Matrix / housing authority schedule. Net rent = gross limit − UA.</t>
  </si>
  <si>
    <t xml:space="preserve">2BR $146, 3BR $183, 4BR $224</t>
  </si>
  <si>
    <t xml:space="preserve">Max LIHTC rent</t>
  </si>
  <si>
    <t xml:space="preserve">Look up TCAC/HUD MTSP gross rent limits by county, bedroom count and AMI %. If the property also has HOME units, use the LOWER of LIHTC and HOME (high/low HOME) limits (Abraham). HOME limits are still missing from the Cambridge Rent &amp; Income Matrix ('need to add HOME limits').</t>
  </si>
  <si>
    <t xml:space="preserve">San Joaquin 2026: 2BR 50% $1,216, 60% $1,459</t>
  </si>
  <si>
    <t xml:space="preserve">Max voucher rent</t>
  </si>
  <si>
    <t xml:space="preserve">Look up HUD Small Area FMR for the ZIP (or the housing authority payment standard). Voucher units can be rented up to this, above the LIHTC cap. That gap is the voucher upside in Scenarios 1, 3 and 4.</t>
  </si>
  <si>
    <t xml:space="preserve">95210 SAFMR: 2BR $1,550, 3BR $2,160, 4BR $2,600</t>
  </si>
  <si>
    <t xml:space="preserve">Market rent</t>
  </si>
  <si>
    <t xml:space="preserve">CoStar market rent by bedroom for the submarket. Abraham: CoStar needs a login and has stricter access checks than RealPage / Yardi.</t>
  </si>
  <si>
    <t xml:space="preserve">2BR $1,773, 3BR $2,309, 4BR $2,607</t>
  </si>
  <si>
    <t xml:space="preserve">Placed-in-service date (Abraham)</t>
  </si>
  <si>
    <t xml:space="preserve">Not the build year. Usually in the OM (CBRE OMs almost always). If missing, look up by CTCAC number.</t>
  </si>
  <si>
    <t xml:space="preserve">OM / TCAC</t>
  </si>
  <si>
    <t xml:space="preserve">CTCAC # CA-1994-216, placed in service 11/18/1996</t>
  </si>
  <si>
    <t xml:space="preserve">Rent decreases for contract extensions (Abraham)</t>
  </si>
  <si>
    <t xml:space="preserve">Some properties cut rent in exchange for extending a HAP contract. Treat the subsidy as guaranteed income; flag any unit with a rent drop on the rent roll.</t>
  </si>
  <si>
    <t xml:space="preserve">Validate</t>
  </si>
  <si>
    <t xml:space="preserve">Unit-set counts must total the OM unit count; occupied + vacant must match the rent roll; total monthly rent must match the rent roll total.</t>
  </si>
  <si>
    <t xml:space="preserve">Rent $154,281 + Subsidy $19,083</t>
  </si>
  <si>
    <t xml:space="preserve">Every document or system the template draws on.</t>
  </si>
  <si>
    <t xml:space="preserve">What it gives the model</t>
  </si>
  <si>
    <t xml:space="preserve">How the AI gets it</t>
  </si>
  <si>
    <t xml:space="preserve">Cambridge file</t>
  </si>
  <si>
    <t xml:space="preserve">Property facts, affordability terms, asking price, existing debt, proforma, sales comps, tax notes</t>
  </si>
  <si>
    <t xml:space="preserve">Upload PDF; extract text (pdftotext) and tables</t>
  </si>
  <si>
    <t xml:space="preserve">OM 132 Stockton (Cambridge Court).pdf</t>
  </si>
  <si>
    <t xml:space="preserve">12 months of income and expenses by GL line (Scenario 0 column E)</t>
  </si>
  <si>
    <t xml:space="preserve">Seller request file / OneSite / Yardi export</t>
  </si>
  <si>
    <t xml:space="preserve">Cambridge 3-20-2026 Request.xls → T-12 tab</t>
  </si>
  <si>
    <t xml:space="preserve">Unit-by-unit rent, subsidy, status, SF, move-in dates</t>
  </si>
  <si>
    <t xml:space="preserve">Seller request file; or automated RealPage / Yardi login (Brandon already automates these)</t>
  </si>
  <si>
    <t xml:space="preserve">Request.xls → Rent Roll tab</t>
  </si>
  <si>
    <t xml:space="preserve">Positions, hourly rates, hours</t>
  </si>
  <si>
    <t xml:space="preserve">Seller request file</t>
  </si>
  <si>
    <t xml:space="preserve">Request.xls → Payroll Schedule tab</t>
  </si>
  <si>
    <t xml:space="preserve">Move-outs and days vacant in last 12 months</t>
  </si>
  <si>
    <t xml:space="preserve">Request.xls → Unit Turnover tab</t>
  </si>
  <si>
    <t xml:space="preserve">Utility allowances, LIHTC income and rent limits, set-aside counts</t>
  </si>
  <si>
    <t xml:space="preserve">Property compliance file</t>
  </si>
  <si>
    <t xml:space="preserve">Rent and Income Matrix tab (Cambridge model)</t>
  </si>
  <si>
    <t xml:space="preserve">Capital needs list and costs</t>
  </si>
  <si>
    <t xml:space="preserve">Seller / lender capital needs report</t>
  </si>
  <si>
    <t xml:space="preserve">Berkadia CAP-I (CapEx tab)</t>
  </si>
  <si>
    <t xml:space="preserve">Market rent by bedroom; sale comps; exit cap support</t>
  </si>
  <si>
    <t xml:space="preserve">CoStar login (stricter access than RealPage / Yardi)</t>
  </si>
  <si>
    <t xml:space="preserve">Market rents in RR column AR</t>
  </si>
  <si>
    <t xml:space="preserve">FMR, Small Area FMR, MTSP / LIHTC rent limits, HOME limits, compliance fees, county tax rate</t>
  </si>
  <si>
    <t xml:space="preserve">Public HUD / TCAC / county tables by county, ZIP, bedroom</t>
  </si>
  <si>
    <t xml:space="preserve">RR columns Z–AS</t>
  </si>
  <si>
    <t xml:space="preserve">Loan terms, reserves requirement, insurance premium</t>
  </si>
  <si>
    <t xml:space="preserve">Quote / term sheet</t>
  </si>
  <si>
    <t xml:space="preserve">Not in folder (model hardcodes $140,000 insurance)</t>
  </si>
  <si>
    <t xml:space="preserve">House standards and deal decisions</t>
  </si>
  <si>
    <t xml:space="preserve">Defaults in this map; Abraham / Marc override</t>
  </si>
  <si>
    <t xml:space="preserve">Open Questions for Abraham</t>
  </si>
  <si>
    <t xml:space="preserve">Answer these before the automation is trusted.</t>
  </si>
  <si>
    <t xml:space="preserve">Question</t>
  </si>
  <si>
    <t xml:space="preserve">Why it matters</t>
  </si>
  <si>
    <t xml:space="preserve">Answer</t>
  </si>
  <si>
    <t xml:space="preserve">Which properties use HOME limits, and where do the current HOME rent tables come from?</t>
  </si>
  <si>
    <t xml:space="preserve">Max LIHTC rent uses the lower of LIHTC and HOME.</t>
  </si>
  <si>
    <t xml:space="preserve">Is there a key for each management system's unit codes (OneSite, Yardi, others)?</t>
  </si>
  <si>
    <t xml:space="preserve">Needed to decode unit type and AMI.</t>
  </si>
  <si>
    <t xml:space="preserve">If the OM has no placed-in-service date, where should it come from?</t>
  </si>
  <si>
    <t xml:space="preserve">Dashboard E19.</t>
  </si>
  <si>
    <t xml:space="preserve">Does the AI pull market rents from CoStar, or only use the OM and seller files?</t>
  </si>
  <si>
    <t xml:space="preserve">Rent Roll column G and exit cap support.</t>
  </si>
  <si>
    <t xml:space="preserve">GP equity: 10% (Dashboard) or 25% (waterfall / GP Proceeds)?</t>
  </si>
  <si>
    <t xml:space="preserve">Changes every return number.</t>
  </si>
  <si>
    <t xml:space="preserve">Should the rehab budget be spent in the scenario cash flows?</t>
  </si>
  <si>
    <t xml:space="preserve">$1.32M raised, $0 spent in every scenario.</t>
  </si>
  <si>
    <t xml:space="preserve">Scenario 1 'Max Current Vouchers' returns the same numbers as Scenario 0. Is a formula missing?</t>
  </si>
  <si>
    <t xml:space="preserve">Scenario 1 shows no upside.</t>
  </si>
  <si>
    <t xml:space="preserve">Should the assumable 5.09% loan be modelled as an option?</t>
  </si>
  <si>
    <t xml:space="preserve">Model only uses a new 5.5% loan.</t>
  </si>
  <si>
    <t xml:space="preserve">Insurance: what quote is the $140,000 based on?</t>
  </si>
  <si>
    <t xml:space="preserve">Single biggest expense change vs T-12.</t>
  </si>
  <si>
    <t xml:space="preserve">Which assumptions are fixed house standards vs. chosen per deal?</t>
  </si>
  <si>
    <t xml:space="preserve">Decides which 'Default' rows the AI can fill without review.</t>
  </si>
  <si>
    <t xml:space="preserve">Who is Matt, and can we see what he built?</t>
  </si>
  <si>
    <t xml:space="preserve">Avoid repeating the 7-month attempt.</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</si>
</sst>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5"/>
      <color rgb="FF1F3A5F"/>
      <name val="Arial"/>
      <family val="0"/>
      <charset val="1"/>
    </font>
    <font>
      <i val="true"/>
      <sz val="9.5"/>
      <color rgb="FF555555"/>
      <name val="Arial"/>
      <family val="0"/>
      <charset val="1"/>
    </font>
    <font>
      <b val="true"/>
      <sz val="10"/>
      <color rgb="FF1F3A5F"/>
      <name val="Arial"/>
      <family val="0"/>
      <charset val="1"/>
    </font>
    <font>
      <sz val="10"/>
      <name val="Arial"/>
      <family val="0"/>
      <charset val="1"/>
    </font>
    <font>
      <b val="true"/>
      <sz val="10"/>
      <color rgb="FF000000"/>
      <name val="Arial"/>
      <family val="0"/>
      <charset val="1"/>
    </font>
    <font>
      <sz val="9.5"/>
      <name val="Arial"/>
      <family val="0"/>
      <charset val="1"/>
    </font>
    <font>
      <b val="true"/>
      <sz val="9.5"/>
      <name val="Arial"/>
      <family val="0"/>
      <charset val="1"/>
    </font>
    <font>
      <b val="true"/>
      <sz val="10"/>
      <color rgb="FFFFFFFF"/>
      <name val="Arial"/>
      <family val="0"/>
      <charset val="1"/>
    </font>
    <font>
      <b val="true"/>
      <sz val="11"/>
      <name val="Arial"/>
      <family val="0"/>
      <charset val="1"/>
    </font>
    <font>
      <i val="true"/>
      <sz val="8.5"/>
      <color rgb="FF777777"/>
      <name val="Arial"/>
      <family val="0"/>
      <charset val="1"/>
    </font>
    <font>
      <sz val="9.5"/>
      <color rgb="FF9C2A00"/>
      <name val="Arial"/>
      <family val="0"/>
      <charset val="1"/>
    </font>
    <font>
      <b val="true"/>
      <sz val="11"/>
      <color rgb="FF1F3A5F"/>
      <name val="Arial"/>
      <family val="0"/>
      <charset val="1"/>
    </font>
  </fonts>
  <fills count="13">
    <fill>
      <patternFill patternType="none"/>
    </fill>
    <fill>
      <patternFill patternType="gray125"/>
    </fill>
    <fill>
      <patternFill patternType="solid">
        <fgColor rgb="FFDCE9F7"/>
        <bgColor rgb="FFE4DFEC"/>
      </patternFill>
    </fill>
    <fill>
      <patternFill patternType="solid">
        <fgColor rgb="FFE2F0D9"/>
        <bgColor rgb="FFD9EAD3"/>
      </patternFill>
    </fill>
    <fill>
      <patternFill patternType="solid">
        <fgColor rgb="FFFFF2CC"/>
        <bgColor rgb="FFFCE4D6"/>
      </patternFill>
    </fill>
    <fill>
      <patternFill patternType="solid">
        <fgColor rgb="FFFCE4D6"/>
        <bgColor rgb="FFFFF2CC"/>
      </patternFill>
    </fill>
    <fill>
      <patternFill patternType="solid">
        <fgColor rgb="FFEDE2F6"/>
        <bgColor rgb="FFE4DFEC"/>
      </patternFill>
    </fill>
    <fill>
      <patternFill patternType="solid">
        <fgColor rgb="FFD9EAD3"/>
        <bgColor rgb="FFE2F0D9"/>
      </patternFill>
    </fill>
    <fill>
      <patternFill patternType="solid">
        <fgColor rgb="FFE4DFEC"/>
        <bgColor rgb="FFEDE2F6"/>
      </patternFill>
    </fill>
    <fill>
      <patternFill patternType="solid">
        <fgColor rgb="FFF8CBAD"/>
        <bgColor rgb="FFFCE4D6"/>
      </patternFill>
    </fill>
    <fill>
      <patternFill patternType="solid">
        <fgColor rgb="FFF2F2F2"/>
        <bgColor rgb="FFE2F0D9"/>
      </patternFill>
    </fill>
    <fill>
      <patternFill patternType="solid">
        <fgColor rgb="FFFFFFFF"/>
        <bgColor rgb="FFF2F2F2"/>
      </patternFill>
    </fill>
    <fill>
      <patternFill patternType="solid">
        <fgColor rgb="FF1F3A5F"/>
        <bgColor rgb="FF333333"/>
      </patternFill>
    </fill>
  </fills>
  <borders count="2">
    <border diagonalUp="false" diagonalDown="false">
      <left/>
      <right/>
      <top/>
      <bottom/>
      <diagonal/>
    </border>
    <border diagonalUp="false" diagonalDown="false">
      <left/>
      <right/>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9" fillId="10" borderId="0" xfId="0" applyFont="true" applyBorder="false" applyAlignment="false" applyProtection="false">
      <alignment horizontal="general" vertical="bottom" textRotation="0" wrapText="false" indent="0" shrinkToFit="false"/>
      <protection locked="true" hidden="false"/>
    </xf>
    <xf numFmtId="164" fontId="9" fillId="11"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12" borderId="0" xfId="0" applyFont="true" applyBorder="fals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DCE9F7"/>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EDE2F6"/>
          <bgColor rgb="FF000000"/>
        </patternFill>
      </fill>
    </dxf>
    <dxf>
      <fill>
        <patternFill patternType="solid">
          <fgColor rgb="FFF2F2F2"/>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9C2A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4DFEC"/>
      <rgbColor rgb="FF777777"/>
      <rgbColor rgb="FF9999FF"/>
      <rgbColor rgb="FF993366"/>
      <rgbColor rgb="FFFFF2CC"/>
      <rgbColor rgb="FFDCE9F7"/>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D9EAD3"/>
      <rgbColor rgb="FFE2F0D9"/>
      <rgbColor rgb="FFFCE4D6"/>
      <rgbColor rgb="FFEDE2F6"/>
      <rgbColor rgb="FFF2F2F2"/>
      <rgbColor rgb="FFCC99FF"/>
      <rgbColor rgb="FFF8CBAD"/>
      <rgbColor rgb="FF3366FF"/>
      <rgbColor rgb="FF33CCCC"/>
      <rgbColor rgb="FF99CC00"/>
      <rgbColor rgb="FFFFCC00"/>
      <rgbColor rgb="FFFF9900"/>
      <rgbColor rgb="FFFF6600"/>
      <rgbColor rgb="FF555555"/>
      <rgbColor rgb="FF969696"/>
      <rgbColor rgb="FF1F3A5F"/>
      <rgbColor rgb="FF339966"/>
      <rgbColor rgb="FF003300"/>
      <rgbColor rgb="FF333300"/>
      <rgbColor rgb="FF9C2A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35.05" hidden="false" customHeight="false" outlineLevel="0" collapsed="false">
      <c r="A5" s="3" t="s">
        <v>3</v>
      </c>
      <c r="B5" s="4" t="s">
        <v>4</v>
      </c>
    </row>
    <row r="6" customFormat="false" ht="35.05" hidden="false" customHeight="false" outlineLevel="0" collapsed="false">
      <c r="A6" s="3" t="s">
        <v>5</v>
      </c>
      <c r="B6" s="4" t="s">
        <v>6</v>
      </c>
    </row>
    <row r="7" customFormat="false" ht="23.85" hidden="false" customHeight="false" outlineLevel="0" collapsed="false">
      <c r="A7" s="3" t="s">
        <v>7</v>
      </c>
      <c r="B7" s="4" t="s">
        <v>8</v>
      </c>
    </row>
    <row r="8" customFormat="false" ht="15" hidden="false" customHeight="false" outlineLevel="0" collapsed="false">
      <c r="A8" s="3" t="s">
        <v>9</v>
      </c>
      <c r="B8" s="4" t="s">
        <v>10</v>
      </c>
    </row>
    <row r="9" customFormat="false" ht="15" hidden="false" customHeight="false" outlineLevel="0" collapsed="false">
      <c r="A9" s="3" t="s">
        <v>11</v>
      </c>
      <c r="B9" s="4" t="s">
        <v>12</v>
      </c>
    </row>
    <row r="10" customFormat="false" ht="15" hidden="false" customHeight="false" outlineLevel="0" collapsed="false">
      <c r="A10" s="5"/>
      <c r="B10" s="4"/>
    </row>
    <row r="11" customFormat="false" ht="15" hidden="false" customHeight="false" outlineLevel="0" collapsed="false">
      <c r="A11" s="3" t="s">
        <v>13</v>
      </c>
      <c r="B11" s="4"/>
    </row>
    <row r="12" customFormat="false" ht="15" hidden="false" customHeight="false" outlineLevel="0" collapsed="false">
      <c r="A12" s="6" t="s">
        <v>14</v>
      </c>
    </row>
    <row r="13" customFormat="false" ht="15" hidden="false" customHeight="false" outlineLevel="0" collapsed="false">
      <c r="A13" s="7" t="s">
        <v>15</v>
      </c>
    </row>
    <row r="14" customFormat="false" ht="15" hidden="false" customHeight="false" outlineLevel="0" collapsed="false">
      <c r="A14" s="8" t="s">
        <v>16</v>
      </c>
    </row>
    <row r="15" customFormat="false" ht="15" hidden="false" customHeight="false" outlineLevel="0" collapsed="false">
      <c r="A15" s="9" t="s">
        <v>17</v>
      </c>
    </row>
    <row r="16" customFormat="false" ht="15" hidden="false" customHeight="false" outlineLevel="0" collapsed="false">
      <c r="A16" s="9" t="s">
        <v>18</v>
      </c>
    </row>
    <row r="17" customFormat="false" ht="15" hidden="false" customHeight="false" outlineLevel="0" collapsed="false">
      <c r="A17" s="10" t="s">
        <v>19</v>
      </c>
    </row>
    <row r="18" customFormat="false" ht="15" hidden="false" customHeight="false" outlineLevel="0" collapsed="false">
      <c r="A18" s="11" t="s">
        <v>20</v>
      </c>
    </row>
    <row r="19" customFormat="false" ht="15" hidden="false" customHeight="false" outlineLevel="0" collapsed="false">
      <c r="A19" s="12" t="s">
        <v>21</v>
      </c>
    </row>
    <row r="20" customFormat="false" ht="15" hidden="false" customHeight="false" outlineLevel="0" collapsed="false">
      <c r="A20" s="9" t="s">
        <v>22</v>
      </c>
    </row>
    <row r="21" customFormat="false" ht="15" hidden="false" customHeight="false" outlineLevel="0" collapsed="false">
      <c r="A21" s="13" t="s">
        <v>23</v>
      </c>
    </row>
    <row r="22" customFormat="false" ht="15" hidden="false" customHeight="false" outlineLevel="0" collapsed="false">
      <c r="A22" s="14" t="s">
        <v>24</v>
      </c>
    </row>
    <row r="23" customFormat="false" ht="15" hidden="false" customHeight="false" outlineLevel="0" collapsed="false">
      <c r="A23" s="15" t="s">
        <v>25</v>
      </c>
    </row>
    <row r="25" customFormat="false" ht="15" hidden="false" customHeight="false" outlineLevel="0" collapsed="false">
      <c r="A25" s="3" t="s">
        <v>26</v>
      </c>
    </row>
    <row r="26" customFormat="false" ht="15" hidden="false" customHeight="false" outlineLevel="0" collapsed="false">
      <c r="A26" s="16" t="s">
        <v>27</v>
      </c>
      <c r="B26" s="17" t="s">
        <v>28</v>
      </c>
    </row>
    <row r="27" customFormat="false" ht="15" hidden="false" customHeight="false" outlineLevel="0" collapsed="false">
      <c r="A27" s="16" t="s">
        <v>29</v>
      </c>
      <c r="B27" s="17" t="s">
        <v>30</v>
      </c>
    </row>
    <row r="28" customFormat="false" ht="15" hidden="false" customHeight="false" outlineLevel="0" collapsed="false">
      <c r="A28" s="16" t="s">
        <v>31</v>
      </c>
      <c r="B28" s="17" t="s">
        <v>32</v>
      </c>
    </row>
    <row r="29" customFormat="false" ht="15" hidden="false" customHeight="false" outlineLevel="0" collapsed="false">
      <c r="A29" s="16" t="s">
        <v>33</v>
      </c>
      <c r="B29" s="17" t="s">
        <v>34</v>
      </c>
    </row>
    <row r="30" customFormat="false" ht="15" hidden="false" customHeight="false" outlineLevel="0" collapsed="false">
      <c r="A30" s="16" t="s">
        <v>35</v>
      </c>
      <c r="B30" s="17" t="s">
        <v>36</v>
      </c>
    </row>
    <row r="31" customFormat="false" ht="15" hidden="false" customHeight="false" outlineLevel="0" collapsed="false">
      <c r="A31" s="16" t="s">
        <v>37</v>
      </c>
      <c r="B31" s="17"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18"/>
    <col collapsed="false" customWidth="true" hidden="false" outlineLevel="0" max="4" min="4" style="0" width="12"/>
  </cols>
  <sheetData>
    <row r="1" customFormat="false" ht="18.55" hidden="false" customHeight="false" outlineLevel="0" collapsed="false">
      <c r="A1" s="1" t="s">
        <v>39</v>
      </c>
    </row>
    <row r="2" customFormat="false" ht="15" hidden="false" customHeight="false" outlineLevel="0" collapsed="false">
      <c r="A2" s="2" t="s">
        <v>40</v>
      </c>
    </row>
    <row r="4" customFormat="false" ht="30" hidden="false" customHeight="true" outlineLevel="0" collapsed="false">
      <c r="A4" s="18" t="s">
        <v>41</v>
      </c>
      <c r="B4" s="18" t="s">
        <v>42</v>
      </c>
      <c r="C4" s="18" t="s">
        <v>43</v>
      </c>
      <c r="D4" s="18" t="s">
        <v>42</v>
      </c>
    </row>
    <row r="5" customFormat="false" ht="15" hidden="false" customHeight="false" outlineLevel="0" collapsed="false">
      <c r="A5" s="19" t="s">
        <v>14</v>
      </c>
      <c r="B5" s="19" t="n">
        <f aca="false">COUNTIF('Input Map'!$E$5:$E$103,"OM*")</f>
        <v>15</v>
      </c>
      <c r="C5" s="17" t="s">
        <v>27</v>
      </c>
      <c r="D5" s="17" t="n">
        <f aca="false">COUNTIF('Input Map'!$H$5:$H$103,"Extract")</f>
        <v>23</v>
      </c>
    </row>
    <row r="6" customFormat="false" ht="15" hidden="false" customHeight="false" outlineLevel="0" collapsed="false">
      <c r="A6" s="20" t="s">
        <v>15</v>
      </c>
      <c r="B6" s="20" t="n">
        <f aca="false">COUNTIF('Input Map'!$E$5:$E$103,"T-12*")</f>
        <v>11</v>
      </c>
      <c r="C6" s="17" t="s">
        <v>29</v>
      </c>
      <c r="D6" s="17" t="n">
        <f aca="false">COUNTIF('Input Map'!$H$5:$H$103,"Map")</f>
        <v>14</v>
      </c>
    </row>
    <row r="7" customFormat="false" ht="15" hidden="false" customHeight="false" outlineLevel="0" collapsed="false">
      <c r="A7" s="21" t="s">
        <v>16</v>
      </c>
      <c r="B7" s="21" t="n">
        <f aca="false">COUNTIF('Input Map'!$E$5:$E$103,"Rent Roll*")</f>
        <v>8</v>
      </c>
      <c r="C7" s="17" t="s">
        <v>31</v>
      </c>
      <c r="D7" s="17" t="n">
        <f aca="false">COUNTIF('Input Map'!$H$5:$H$103,"Lookup")</f>
        <v>6</v>
      </c>
    </row>
    <row r="8" customFormat="false" ht="15" hidden="false" customHeight="false" outlineLevel="0" collapsed="false">
      <c r="A8" s="22" t="s">
        <v>17</v>
      </c>
      <c r="B8" s="22" t="n">
        <f aca="false">COUNTIF('Input Map'!$E$5:$E$103,"Seller Payroll*")</f>
        <v>6</v>
      </c>
      <c r="C8" s="17" t="s">
        <v>33</v>
      </c>
      <c r="D8" s="17" t="n">
        <f aca="false">COUNTIF('Input Map'!$H$5:$H$103,"Default")</f>
        <v>40</v>
      </c>
    </row>
    <row r="9" customFormat="false" ht="15" hidden="false" customHeight="false" outlineLevel="0" collapsed="false">
      <c r="A9" s="22" t="s">
        <v>18</v>
      </c>
      <c r="B9" s="22" t="n">
        <f aca="false">COUNTIF('Input Map'!$E$5:$E$103,"Turnover Report*")</f>
        <v>1</v>
      </c>
      <c r="C9" s="17" t="s">
        <v>35</v>
      </c>
      <c r="D9" s="17" t="n">
        <f aca="false">COUNTIF('Input Map'!$H$5:$H$103,"Decision")</f>
        <v>10</v>
      </c>
    </row>
    <row r="10" customFormat="false" ht="15" hidden="false" customHeight="false" outlineLevel="0" collapsed="false">
      <c r="A10" s="23" t="s">
        <v>19</v>
      </c>
      <c r="B10" s="23" t="n">
        <f aca="false">COUNTIF('Input Map'!$E$5:$E$103,"Rent &amp; Income Matrix*")</f>
        <v>1</v>
      </c>
      <c r="C10" s="17" t="s">
        <v>37</v>
      </c>
      <c r="D10" s="17" t="n">
        <f aca="false">COUNTIF('Input Map'!$H$5:$H$103,"Leave formula")</f>
        <v>6</v>
      </c>
    </row>
    <row r="11" customFormat="false" ht="15" hidden="false" customHeight="false" outlineLevel="0" collapsed="false">
      <c r="A11" s="24" t="s">
        <v>20</v>
      </c>
      <c r="B11" s="24" t="n">
        <f aca="false">COUNTIF('Input Map'!$E$5:$E$103,"CoStar*")</f>
        <v>1</v>
      </c>
    </row>
    <row r="12" customFormat="false" ht="15" hidden="false" customHeight="false" outlineLevel="0" collapsed="false">
      <c r="A12" s="25" t="s">
        <v>21</v>
      </c>
      <c r="B12" s="25" t="n">
        <f aca="false">COUNTIF('Input Map'!$E$5:$E$103,"HUD / TCAC*")</f>
        <v>4</v>
      </c>
    </row>
    <row r="13" customFormat="false" ht="15" hidden="false" customHeight="false" outlineLevel="0" collapsed="false">
      <c r="A13" s="22" t="s">
        <v>22</v>
      </c>
      <c r="B13" s="22" t="n">
        <f aca="false">COUNTIF('Input Map'!$E$5:$E$103,"CapEx Report*")</f>
        <v>1</v>
      </c>
    </row>
    <row r="14" customFormat="false" ht="15" hidden="false" customHeight="false" outlineLevel="0" collapsed="false">
      <c r="A14" s="26" t="s">
        <v>23</v>
      </c>
      <c r="B14" s="26" t="n">
        <f aca="false">COUNTIF('Input Map'!$E$5:$E$103,"Lender / Insurance Quote*")</f>
        <v>6</v>
      </c>
    </row>
    <row r="15" customFormat="false" ht="15" hidden="false" customHeight="false" outlineLevel="0" collapsed="false">
      <c r="A15" s="27" t="s">
        <v>24</v>
      </c>
      <c r="B15" s="27" t="n">
        <f aca="false">COUNTIF('Input Map'!$E$5:$E$103,"Assumption (Abraham)*")</f>
        <v>40</v>
      </c>
    </row>
    <row r="16" customFormat="false" ht="15" hidden="false" customHeight="false" outlineLevel="0" collapsed="false">
      <c r="A16" s="28" t="s">
        <v>25</v>
      </c>
      <c r="B16" s="28" t="n">
        <f aca="false">COUNTIF('Input Map'!$E$5:$E$103,"Fixed / Structural*")</f>
        <v>5</v>
      </c>
    </row>
    <row r="17" customFormat="false" ht="15" hidden="false" customHeight="false" outlineLevel="0" collapsed="false">
      <c r="A17" s="29" t="s">
        <v>44</v>
      </c>
      <c r="B17" s="29" t="n">
        <f aca="false">COUNTA('Input Map'!$A$5:$A$103)</f>
        <v>99</v>
      </c>
    </row>
    <row r="18" customFormat="false" ht="15" hidden="false" customHeight="false" outlineLevel="0" collapsed="false">
      <c r="A18" s="30"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8"/>
    <col collapsed="false" customWidth="true" hidden="false" outlineLevel="0" max="4" min="4" style="0" width="30"/>
    <col collapsed="false" customWidth="true" hidden="false" outlineLevel="0" max="5" min="5" style="0" width="18"/>
    <col collapsed="false" customWidth="true" hidden="false" outlineLevel="0" max="6" min="6" style="0" width="38"/>
    <col collapsed="false" customWidth="true" hidden="false" outlineLevel="0" max="7" min="7" style="0" width="52"/>
    <col collapsed="false" customWidth="true" hidden="false" outlineLevel="0" max="8" min="8" style="0" width="12"/>
    <col collapsed="false" customWidth="true" hidden="false" outlineLevel="0" max="9" min="9" style="0" width="22"/>
    <col collapsed="false" customWidth="true" hidden="false" outlineLevel="0" max="10" min="10" style="0" width="40"/>
  </cols>
  <sheetData>
    <row r="1" customFormat="false" ht="18.55" hidden="false" customHeight="false" outlineLevel="0" collapsed="false">
      <c r="A1" s="1" t="s">
        <v>3</v>
      </c>
    </row>
    <row r="2" customFormat="false" ht="15" hidden="false" customHeight="false" outlineLevel="0" collapsed="false">
      <c r="A2" s="2" t="s">
        <v>46</v>
      </c>
    </row>
    <row r="4" customFormat="false" ht="30" hidden="false" customHeight="true" outlineLevel="0" collapsed="false">
      <c r="A4" s="18" t="s">
        <v>47</v>
      </c>
      <c r="B4" s="18" t="s">
        <v>48</v>
      </c>
      <c r="C4" s="18" t="s">
        <v>49</v>
      </c>
      <c r="D4" s="18" t="s">
        <v>50</v>
      </c>
      <c r="E4" s="18" t="s">
        <v>41</v>
      </c>
      <c r="F4" s="18" t="s">
        <v>51</v>
      </c>
      <c r="G4" s="18" t="s">
        <v>52</v>
      </c>
      <c r="H4" s="18" t="s">
        <v>43</v>
      </c>
      <c r="I4" s="18" t="s">
        <v>53</v>
      </c>
      <c r="J4" s="18" t="s">
        <v>54</v>
      </c>
    </row>
    <row r="5" customFormat="false" ht="15" hidden="false" customHeight="false" outlineLevel="0" collapsed="false">
      <c r="A5" s="31" t="n">
        <v>1</v>
      </c>
      <c r="B5" s="31" t="s">
        <v>55</v>
      </c>
      <c r="C5" s="31" t="s">
        <v>56</v>
      </c>
      <c r="D5" s="31" t="s">
        <v>57</v>
      </c>
      <c r="E5" s="19" t="s">
        <v>14</v>
      </c>
      <c r="F5" s="31" t="s">
        <v>58</v>
      </c>
      <c r="G5" s="31" t="s">
        <v>59</v>
      </c>
      <c r="H5" s="31" t="s">
        <v>27</v>
      </c>
      <c r="I5" s="31" t="s">
        <v>60</v>
      </c>
      <c r="J5" s="32" t="s">
        <v>61</v>
      </c>
    </row>
    <row r="6" customFormat="false" ht="23.85" hidden="false" customHeight="false" outlineLevel="0" collapsed="false">
      <c r="A6" s="31" t="n">
        <v>2</v>
      </c>
      <c r="B6" s="31" t="s">
        <v>55</v>
      </c>
      <c r="C6" s="31" t="s">
        <v>62</v>
      </c>
      <c r="D6" s="31" t="s">
        <v>63</v>
      </c>
      <c r="E6" s="19" t="s">
        <v>14</v>
      </c>
      <c r="F6" s="31" t="s">
        <v>64</v>
      </c>
      <c r="G6" s="31" t="s">
        <v>65</v>
      </c>
      <c r="H6" s="31" t="s">
        <v>27</v>
      </c>
      <c r="I6" s="31" t="s">
        <v>66</v>
      </c>
      <c r="J6" s="32" t="s">
        <v>61</v>
      </c>
    </row>
    <row r="7" customFormat="false" ht="23.85" hidden="false" customHeight="false" outlineLevel="0" collapsed="false">
      <c r="A7" s="31" t="n">
        <v>3</v>
      </c>
      <c r="B7" s="31" t="s">
        <v>55</v>
      </c>
      <c r="C7" s="31" t="s">
        <v>67</v>
      </c>
      <c r="D7" s="31" t="s">
        <v>68</v>
      </c>
      <c r="E7" s="19" t="s">
        <v>14</v>
      </c>
      <c r="F7" s="31" t="s">
        <v>69</v>
      </c>
      <c r="G7" s="31" t="s">
        <v>70</v>
      </c>
      <c r="H7" s="31" t="s">
        <v>27</v>
      </c>
      <c r="I7" s="31" t="s">
        <v>71</v>
      </c>
      <c r="J7" s="31"/>
    </row>
    <row r="8" customFormat="false" ht="15" hidden="false" customHeight="false" outlineLevel="0" collapsed="false">
      <c r="A8" s="31" t="n">
        <v>4</v>
      </c>
      <c r="B8" s="31" t="s">
        <v>55</v>
      </c>
      <c r="C8" s="31" t="s">
        <v>72</v>
      </c>
      <c r="D8" s="31" t="s">
        <v>73</v>
      </c>
      <c r="E8" s="19" t="s">
        <v>14</v>
      </c>
      <c r="F8" s="31" t="s">
        <v>74</v>
      </c>
      <c r="G8" s="31" t="s">
        <v>75</v>
      </c>
      <c r="H8" s="31" t="s">
        <v>27</v>
      </c>
      <c r="I8" s="31" t="s">
        <v>76</v>
      </c>
      <c r="J8" s="31"/>
    </row>
    <row r="9" customFormat="false" ht="15" hidden="false" customHeight="false" outlineLevel="0" collapsed="false">
      <c r="A9" s="31" t="n">
        <v>5</v>
      </c>
      <c r="B9" s="31" t="s">
        <v>55</v>
      </c>
      <c r="C9" s="31" t="s">
        <v>77</v>
      </c>
      <c r="D9" s="31" t="s">
        <v>78</v>
      </c>
      <c r="E9" s="19" t="s">
        <v>14</v>
      </c>
      <c r="F9" s="31" t="s">
        <v>79</v>
      </c>
      <c r="G9" s="31" t="s">
        <v>80</v>
      </c>
      <c r="H9" s="31" t="s">
        <v>27</v>
      </c>
      <c r="I9" s="31" t="s">
        <v>81</v>
      </c>
      <c r="J9" s="31"/>
    </row>
    <row r="10" customFormat="false" ht="15" hidden="false" customHeight="false" outlineLevel="0" collapsed="false">
      <c r="A10" s="31" t="n">
        <v>6</v>
      </c>
      <c r="B10" s="31" t="s">
        <v>55</v>
      </c>
      <c r="C10" s="31" t="s">
        <v>82</v>
      </c>
      <c r="D10" s="31" t="s">
        <v>83</v>
      </c>
      <c r="E10" s="19" t="s">
        <v>14</v>
      </c>
      <c r="F10" s="31" t="s">
        <v>79</v>
      </c>
      <c r="G10" s="31" t="s">
        <v>84</v>
      </c>
      <c r="H10" s="31" t="s">
        <v>27</v>
      </c>
      <c r="I10" s="31" t="s">
        <v>85</v>
      </c>
      <c r="J10" s="31"/>
    </row>
    <row r="11" customFormat="false" ht="15" hidden="false" customHeight="false" outlineLevel="0" collapsed="false">
      <c r="A11" s="31" t="n">
        <v>7</v>
      </c>
      <c r="B11" s="31" t="s">
        <v>55</v>
      </c>
      <c r="C11" s="31" t="s">
        <v>86</v>
      </c>
      <c r="D11" s="31" t="s">
        <v>87</v>
      </c>
      <c r="E11" s="19" t="s">
        <v>14</v>
      </c>
      <c r="F11" s="31" t="s">
        <v>79</v>
      </c>
      <c r="G11" s="31" t="s">
        <v>88</v>
      </c>
      <c r="H11" s="31" t="s">
        <v>27</v>
      </c>
      <c r="I11" s="31" t="s">
        <v>89</v>
      </c>
      <c r="J11" s="31"/>
    </row>
    <row r="12" customFormat="false" ht="23.85" hidden="false" customHeight="false" outlineLevel="0" collapsed="false">
      <c r="A12" s="31" t="n">
        <v>8</v>
      </c>
      <c r="B12" s="31" t="s">
        <v>55</v>
      </c>
      <c r="C12" s="31" t="s">
        <v>90</v>
      </c>
      <c r="D12" s="31" t="s">
        <v>91</v>
      </c>
      <c r="E12" s="19" t="s">
        <v>14</v>
      </c>
      <c r="F12" s="31" t="s">
        <v>92</v>
      </c>
      <c r="G12" s="31" t="s">
        <v>93</v>
      </c>
      <c r="H12" s="31" t="s">
        <v>27</v>
      </c>
      <c r="I12" s="31" t="s">
        <v>94</v>
      </c>
      <c r="J12" s="32" t="s">
        <v>95</v>
      </c>
    </row>
    <row r="13" customFormat="false" ht="23.85" hidden="false" customHeight="false" outlineLevel="0" collapsed="false">
      <c r="A13" s="31" t="n">
        <v>9</v>
      </c>
      <c r="B13" s="31" t="s">
        <v>55</v>
      </c>
      <c r="C13" s="31" t="s">
        <v>96</v>
      </c>
      <c r="D13" s="31" t="s">
        <v>97</v>
      </c>
      <c r="E13" s="19" t="s">
        <v>98</v>
      </c>
      <c r="F13" s="31" t="s">
        <v>99</v>
      </c>
      <c r="G13" s="31" t="s">
        <v>100</v>
      </c>
      <c r="H13" s="31" t="s">
        <v>27</v>
      </c>
      <c r="I13" s="31" t="s">
        <v>101</v>
      </c>
      <c r="J13" s="31"/>
    </row>
    <row r="14" customFormat="false" ht="23.85" hidden="false" customHeight="false" outlineLevel="0" collapsed="false">
      <c r="A14" s="31" t="n">
        <v>10</v>
      </c>
      <c r="B14" s="31" t="s">
        <v>55</v>
      </c>
      <c r="C14" s="31" t="s">
        <v>102</v>
      </c>
      <c r="D14" s="31" t="s">
        <v>103</v>
      </c>
      <c r="E14" s="19" t="s">
        <v>14</v>
      </c>
      <c r="F14" s="31" t="s">
        <v>104</v>
      </c>
      <c r="G14" s="31" t="s">
        <v>105</v>
      </c>
      <c r="H14" s="31" t="s">
        <v>27</v>
      </c>
      <c r="I14" s="31" t="s">
        <v>106</v>
      </c>
      <c r="J14" s="31"/>
    </row>
    <row r="15" customFormat="false" ht="23.85" hidden="false" customHeight="false" outlineLevel="0" collapsed="false">
      <c r="A15" s="31" t="n">
        <v>11</v>
      </c>
      <c r="B15" s="31" t="s">
        <v>55</v>
      </c>
      <c r="C15" s="31" t="s">
        <v>107</v>
      </c>
      <c r="D15" s="31" t="s">
        <v>108</v>
      </c>
      <c r="E15" s="19" t="s">
        <v>14</v>
      </c>
      <c r="F15" s="31" t="s">
        <v>109</v>
      </c>
      <c r="G15" s="31" t="s">
        <v>110</v>
      </c>
      <c r="H15" s="31" t="s">
        <v>27</v>
      </c>
      <c r="I15" s="31" t="s">
        <v>111</v>
      </c>
      <c r="J15" s="32" t="s">
        <v>112</v>
      </c>
    </row>
    <row r="16" customFormat="false" ht="46.25" hidden="false" customHeight="false" outlineLevel="0" collapsed="false">
      <c r="A16" s="31" t="n">
        <v>12</v>
      </c>
      <c r="B16" s="31" t="s">
        <v>55</v>
      </c>
      <c r="C16" s="31" t="s">
        <v>113</v>
      </c>
      <c r="D16" s="31" t="s">
        <v>114</v>
      </c>
      <c r="E16" s="19" t="s">
        <v>115</v>
      </c>
      <c r="F16" s="31" t="s">
        <v>116</v>
      </c>
      <c r="G16" s="31" t="s">
        <v>117</v>
      </c>
      <c r="H16" s="31" t="s">
        <v>27</v>
      </c>
      <c r="I16" s="31" t="s">
        <v>118</v>
      </c>
      <c r="J16" s="32" t="s">
        <v>119</v>
      </c>
    </row>
    <row r="17" customFormat="false" ht="23.85" hidden="false" customHeight="false" outlineLevel="0" collapsed="false">
      <c r="A17" s="31" t="n">
        <v>13</v>
      </c>
      <c r="B17" s="31" t="s">
        <v>55</v>
      </c>
      <c r="C17" s="31" t="s">
        <v>120</v>
      </c>
      <c r="D17" s="31" t="s">
        <v>121</v>
      </c>
      <c r="E17" s="19" t="s">
        <v>115</v>
      </c>
      <c r="F17" s="31" t="s">
        <v>122</v>
      </c>
      <c r="G17" s="31" t="s">
        <v>123</v>
      </c>
      <c r="H17" s="31" t="s">
        <v>27</v>
      </c>
      <c r="I17" s="31" t="s">
        <v>124</v>
      </c>
      <c r="J17" s="31"/>
    </row>
    <row r="18" customFormat="false" ht="23.85" hidden="false" customHeight="false" outlineLevel="0" collapsed="false">
      <c r="A18" s="31" t="n">
        <v>14</v>
      </c>
      <c r="B18" s="31" t="s">
        <v>55</v>
      </c>
      <c r="C18" s="31" t="s">
        <v>125</v>
      </c>
      <c r="D18" s="31" t="s">
        <v>126</v>
      </c>
      <c r="E18" s="21" t="s">
        <v>127</v>
      </c>
      <c r="F18" s="31" t="s">
        <v>128</v>
      </c>
      <c r="G18" s="31" t="s">
        <v>129</v>
      </c>
      <c r="H18" s="31" t="s">
        <v>27</v>
      </c>
      <c r="I18" s="31" t="s">
        <v>130</v>
      </c>
      <c r="J18" s="32" t="s">
        <v>131</v>
      </c>
    </row>
    <row r="19" customFormat="false" ht="23.85" hidden="false" customHeight="false" outlineLevel="0" collapsed="false">
      <c r="A19" s="31" t="n">
        <v>15</v>
      </c>
      <c r="B19" s="31" t="s">
        <v>55</v>
      </c>
      <c r="C19" s="31" t="s">
        <v>132</v>
      </c>
      <c r="D19" s="31" t="s">
        <v>133</v>
      </c>
      <c r="E19" s="20" t="s">
        <v>15</v>
      </c>
      <c r="F19" s="31" t="s">
        <v>134</v>
      </c>
      <c r="G19" s="31" t="s">
        <v>135</v>
      </c>
      <c r="H19" s="31" t="s">
        <v>27</v>
      </c>
      <c r="I19" s="31" t="s">
        <v>136</v>
      </c>
      <c r="J19" s="32" t="s">
        <v>137</v>
      </c>
    </row>
    <row r="20" customFormat="false" ht="23.85" hidden="false" customHeight="false" outlineLevel="0" collapsed="false">
      <c r="A20" s="31" t="n">
        <v>16</v>
      </c>
      <c r="B20" s="31" t="s">
        <v>55</v>
      </c>
      <c r="C20" s="31" t="s">
        <v>138</v>
      </c>
      <c r="D20" s="31" t="s">
        <v>139</v>
      </c>
      <c r="E20" s="19" t="s">
        <v>140</v>
      </c>
      <c r="F20" s="31" t="s">
        <v>141</v>
      </c>
      <c r="G20" s="31" t="s">
        <v>142</v>
      </c>
      <c r="H20" s="31" t="s">
        <v>35</v>
      </c>
      <c r="I20" s="31" t="s">
        <v>143</v>
      </c>
      <c r="J20" s="32" t="s">
        <v>144</v>
      </c>
    </row>
    <row r="21" customFormat="false" ht="23.85" hidden="false" customHeight="false" outlineLevel="0" collapsed="false">
      <c r="A21" s="31" t="n">
        <v>17</v>
      </c>
      <c r="B21" s="31" t="s">
        <v>55</v>
      </c>
      <c r="C21" s="31" t="s">
        <v>145</v>
      </c>
      <c r="D21" s="31" t="s">
        <v>146</v>
      </c>
      <c r="E21" s="27" t="s">
        <v>24</v>
      </c>
      <c r="F21" s="31" t="s">
        <v>147</v>
      </c>
      <c r="G21" s="31" t="s">
        <v>148</v>
      </c>
      <c r="H21" s="31" t="s">
        <v>35</v>
      </c>
      <c r="I21" s="31" t="s">
        <v>149</v>
      </c>
      <c r="J21" s="31"/>
    </row>
    <row r="22" customFormat="false" ht="23.85" hidden="false" customHeight="false" outlineLevel="0" collapsed="false">
      <c r="A22" s="31" t="n">
        <v>18</v>
      </c>
      <c r="B22" s="31" t="s">
        <v>55</v>
      </c>
      <c r="C22" s="31" t="s">
        <v>150</v>
      </c>
      <c r="D22" s="31" t="s">
        <v>151</v>
      </c>
      <c r="E22" s="27" t="s">
        <v>24</v>
      </c>
      <c r="F22" s="31" t="s">
        <v>152</v>
      </c>
      <c r="G22" s="31" t="s">
        <v>153</v>
      </c>
      <c r="H22" s="31" t="s">
        <v>33</v>
      </c>
      <c r="I22" s="31" t="s">
        <v>154</v>
      </c>
      <c r="J22" s="31"/>
    </row>
    <row r="23" customFormat="false" ht="23.85" hidden="false" customHeight="false" outlineLevel="0" collapsed="false">
      <c r="A23" s="31" t="n">
        <v>19</v>
      </c>
      <c r="B23" s="31" t="s">
        <v>55</v>
      </c>
      <c r="C23" s="31" t="s">
        <v>155</v>
      </c>
      <c r="D23" s="31" t="s">
        <v>156</v>
      </c>
      <c r="E23" s="27" t="s">
        <v>24</v>
      </c>
      <c r="F23" s="31" t="s">
        <v>152</v>
      </c>
      <c r="G23" s="31" t="s">
        <v>157</v>
      </c>
      <c r="H23" s="31" t="s">
        <v>33</v>
      </c>
      <c r="I23" s="31" t="s">
        <v>158</v>
      </c>
      <c r="J23" s="31"/>
    </row>
    <row r="24" customFormat="false" ht="35.05" hidden="false" customHeight="false" outlineLevel="0" collapsed="false">
      <c r="A24" s="31" t="n">
        <v>20</v>
      </c>
      <c r="B24" s="31" t="s">
        <v>55</v>
      </c>
      <c r="C24" s="31" t="s">
        <v>159</v>
      </c>
      <c r="D24" s="31" t="s">
        <v>160</v>
      </c>
      <c r="E24" s="22" t="s">
        <v>22</v>
      </c>
      <c r="F24" s="31" t="s">
        <v>161</v>
      </c>
      <c r="G24" s="31" t="s">
        <v>162</v>
      </c>
      <c r="H24" s="31" t="s">
        <v>27</v>
      </c>
      <c r="I24" s="31" t="s">
        <v>163</v>
      </c>
      <c r="J24" s="32" t="s">
        <v>164</v>
      </c>
    </row>
    <row r="25" customFormat="false" ht="23.85" hidden="false" customHeight="false" outlineLevel="0" collapsed="false">
      <c r="A25" s="31" t="n">
        <v>21</v>
      </c>
      <c r="B25" s="31" t="s">
        <v>55</v>
      </c>
      <c r="C25" s="31" t="s">
        <v>165</v>
      </c>
      <c r="D25" s="31" t="s">
        <v>166</v>
      </c>
      <c r="E25" s="27" t="s">
        <v>24</v>
      </c>
      <c r="F25" s="31" t="s">
        <v>152</v>
      </c>
      <c r="G25" s="31" t="s">
        <v>167</v>
      </c>
      <c r="H25" s="31" t="s">
        <v>33</v>
      </c>
      <c r="I25" s="31" t="s">
        <v>168</v>
      </c>
      <c r="J25" s="31"/>
    </row>
    <row r="26" customFormat="false" ht="23.85" hidden="false" customHeight="false" outlineLevel="0" collapsed="false">
      <c r="A26" s="31" t="n">
        <v>22</v>
      </c>
      <c r="B26" s="31" t="s">
        <v>55</v>
      </c>
      <c r="C26" s="31" t="s">
        <v>169</v>
      </c>
      <c r="D26" s="31" t="s">
        <v>170</v>
      </c>
      <c r="E26" s="27" t="s">
        <v>24</v>
      </c>
      <c r="F26" s="31" t="s">
        <v>152</v>
      </c>
      <c r="G26" s="31" t="s">
        <v>171</v>
      </c>
      <c r="H26" s="31" t="s">
        <v>33</v>
      </c>
      <c r="I26" s="31" t="s">
        <v>172</v>
      </c>
      <c r="J26" s="31"/>
    </row>
    <row r="27" customFormat="false" ht="23.85" hidden="false" customHeight="false" outlineLevel="0" collapsed="false">
      <c r="A27" s="31" t="n">
        <v>23</v>
      </c>
      <c r="B27" s="31" t="s">
        <v>55</v>
      </c>
      <c r="C27" s="31" t="s">
        <v>173</v>
      </c>
      <c r="D27" s="31" t="s">
        <v>174</v>
      </c>
      <c r="E27" s="27" t="s">
        <v>24</v>
      </c>
      <c r="F27" s="31" t="s">
        <v>152</v>
      </c>
      <c r="G27" s="31" t="s">
        <v>175</v>
      </c>
      <c r="H27" s="31" t="s">
        <v>33</v>
      </c>
      <c r="I27" s="31" t="s">
        <v>176</v>
      </c>
      <c r="J27" s="31"/>
    </row>
    <row r="28" customFormat="false" ht="23.85" hidden="false" customHeight="false" outlineLevel="0" collapsed="false">
      <c r="A28" s="31" t="n">
        <v>24</v>
      </c>
      <c r="B28" s="31" t="s">
        <v>55</v>
      </c>
      <c r="C28" s="31" t="s">
        <v>177</v>
      </c>
      <c r="D28" s="31" t="s">
        <v>178</v>
      </c>
      <c r="E28" s="27" t="s">
        <v>24</v>
      </c>
      <c r="F28" s="31" t="s">
        <v>179</v>
      </c>
      <c r="G28" s="31" t="s">
        <v>180</v>
      </c>
      <c r="H28" s="31" t="s">
        <v>33</v>
      </c>
      <c r="I28" s="31" t="s">
        <v>181</v>
      </c>
      <c r="J28" s="31"/>
    </row>
    <row r="29" customFormat="false" ht="23.85" hidden="false" customHeight="false" outlineLevel="0" collapsed="false">
      <c r="A29" s="31" t="n">
        <v>25</v>
      </c>
      <c r="B29" s="31" t="s">
        <v>55</v>
      </c>
      <c r="C29" s="31" t="s">
        <v>182</v>
      </c>
      <c r="D29" s="31" t="s">
        <v>183</v>
      </c>
      <c r="E29" s="27" t="s">
        <v>24</v>
      </c>
      <c r="F29" s="31" t="s">
        <v>184</v>
      </c>
      <c r="G29" s="31" t="s">
        <v>185</v>
      </c>
      <c r="H29" s="31" t="s">
        <v>35</v>
      </c>
      <c r="I29" s="31" t="s">
        <v>186</v>
      </c>
      <c r="J29" s="32" t="s">
        <v>187</v>
      </c>
    </row>
    <row r="30" customFormat="false" ht="23.85" hidden="false" customHeight="false" outlineLevel="0" collapsed="false">
      <c r="A30" s="31" t="n">
        <v>26</v>
      </c>
      <c r="B30" s="31" t="s">
        <v>55</v>
      </c>
      <c r="C30" s="31" t="s">
        <v>188</v>
      </c>
      <c r="D30" s="31" t="s">
        <v>189</v>
      </c>
      <c r="E30" s="26" t="s">
        <v>23</v>
      </c>
      <c r="F30" s="31" t="s">
        <v>190</v>
      </c>
      <c r="G30" s="31" t="s">
        <v>191</v>
      </c>
      <c r="H30" s="31" t="s">
        <v>33</v>
      </c>
      <c r="I30" s="31" t="s">
        <v>192</v>
      </c>
      <c r="J30" s="32" t="s">
        <v>193</v>
      </c>
    </row>
    <row r="31" customFormat="false" ht="23.85" hidden="false" customHeight="false" outlineLevel="0" collapsed="false">
      <c r="A31" s="31" t="n">
        <v>27</v>
      </c>
      <c r="B31" s="31" t="s">
        <v>55</v>
      </c>
      <c r="C31" s="31" t="s">
        <v>194</v>
      </c>
      <c r="D31" s="31" t="s">
        <v>195</v>
      </c>
      <c r="E31" s="26" t="s">
        <v>23</v>
      </c>
      <c r="F31" s="31" t="s">
        <v>196</v>
      </c>
      <c r="G31" s="31" t="s">
        <v>197</v>
      </c>
      <c r="H31" s="31" t="s">
        <v>35</v>
      </c>
      <c r="I31" s="31" t="s">
        <v>198</v>
      </c>
      <c r="J31" s="32" t="s">
        <v>199</v>
      </c>
    </row>
    <row r="32" customFormat="false" ht="23.85" hidden="false" customHeight="false" outlineLevel="0" collapsed="false">
      <c r="A32" s="31" t="n">
        <v>28</v>
      </c>
      <c r="B32" s="31" t="s">
        <v>55</v>
      </c>
      <c r="C32" s="31" t="s">
        <v>200</v>
      </c>
      <c r="D32" s="31" t="s">
        <v>201</v>
      </c>
      <c r="E32" s="26" t="s">
        <v>23</v>
      </c>
      <c r="F32" s="31" t="s">
        <v>190</v>
      </c>
      <c r="G32" s="31" t="s">
        <v>202</v>
      </c>
      <c r="H32" s="31" t="s">
        <v>33</v>
      </c>
      <c r="I32" s="31" t="s">
        <v>203</v>
      </c>
      <c r="J32" s="31"/>
    </row>
    <row r="33" customFormat="false" ht="23.85" hidden="false" customHeight="false" outlineLevel="0" collapsed="false">
      <c r="A33" s="31" t="n">
        <v>29</v>
      </c>
      <c r="B33" s="31" t="s">
        <v>55</v>
      </c>
      <c r="C33" s="31" t="s">
        <v>204</v>
      </c>
      <c r="D33" s="31" t="s">
        <v>205</v>
      </c>
      <c r="E33" s="26" t="s">
        <v>23</v>
      </c>
      <c r="F33" s="31" t="s">
        <v>190</v>
      </c>
      <c r="G33" s="31" t="s">
        <v>206</v>
      </c>
      <c r="H33" s="31" t="s">
        <v>33</v>
      </c>
      <c r="I33" s="31" t="s">
        <v>207</v>
      </c>
      <c r="J33" s="31"/>
    </row>
    <row r="34" customFormat="false" ht="23.85" hidden="false" customHeight="false" outlineLevel="0" collapsed="false">
      <c r="A34" s="31" t="n">
        <v>30</v>
      </c>
      <c r="B34" s="31" t="s">
        <v>55</v>
      </c>
      <c r="C34" s="31" t="s">
        <v>208</v>
      </c>
      <c r="D34" s="31" t="s">
        <v>209</v>
      </c>
      <c r="E34" s="27" t="s">
        <v>24</v>
      </c>
      <c r="F34" s="31" t="s">
        <v>210</v>
      </c>
      <c r="G34" s="31" t="s">
        <v>211</v>
      </c>
      <c r="H34" s="31" t="s">
        <v>35</v>
      </c>
      <c r="I34" s="31" t="s">
        <v>212</v>
      </c>
      <c r="J34" s="31"/>
    </row>
    <row r="35" customFormat="false" ht="23.85" hidden="false" customHeight="false" outlineLevel="0" collapsed="false">
      <c r="A35" s="31" t="n">
        <v>31</v>
      </c>
      <c r="B35" s="31" t="s">
        <v>55</v>
      </c>
      <c r="C35" s="31" t="s">
        <v>213</v>
      </c>
      <c r="D35" s="31" t="s">
        <v>214</v>
      </c>
      <c r="E35" s="27" t="s">
        <v>24</v>
      </c>
      <c r="F35" s="31" t="s">
        <v>215</v>
      </c>
      <c r="G35" s="31" t="s">
        <v>216</v>
      </c>
      <c r="H35" s="31" t="s">
        <v>33</v>
      </c>
      <c r="I35" s="31" t="s">
        <v>217</v>
      </c>
      <c r="J35" s="31"/>
    </row>
    <row r="36" customFormat="false" ht="23.85" hidden="false" customHeight="false" outlineLevel="0" collapsed="false">
      <c r="A36" s="31" t="n">
        <v>32</v>
      </c>
      <c r="B36" s="31" t="s">
        <v>55</v>
      </c>
      <c r="C36" s="31" t="s">
        <v>218</v>
      </c>
      <c r="D36" s="31" t="s">
        <v>219</v>
      </c>
      <c r="E36" s="27" t="s">
        <v>24</v>
      </c>
      <c r="F36" s="31" t="s">
        <v>220</v>
      </c>
      <c r="G36" s="31" t="s">
        <v>221</v>
      </c>
      <c r="H36" s="31" t="s">
        <v>35</v>
      </c>
      <c r="I36" s="31" t="s">
        <v>222</v>
      </c>
      <c r="J36" s="32" t="s">
        <v>223</v>
      </c>
    </row>
    <row r="37" customFormat="false" ht="23.85" hidden="false" customHeight="false" outlineLevel="0" collapsed="false">
      <c r="A37" s="31" t="n">
        <v>33</v>
      </c>
      <c r="B37" s="31" t="s">
        <v>55</v>
      </c>
      <c r="C37" s="31" t="s">
        <v>224</v>
      </c>
      <c r="D37" s="31" t="s">
        <v>225</v>
      </c>
      <c r="E37" s="27" t="s">
        <v>24</v>
      </c>
      <c r="F37" s="31" t="s">
        <v>152</v>
      </c>
      <c r="G37" s="31" t="s">
        <v>226</v>
      </c>
      <c r="H37" s="31" t="s">
        <v>33</v>
      </c>
      <c r="I37" s="31" t="s">
        <v>227</v>
      </c>
      <c r="J37" s="31"/>
    </row>
    <row r="38" customFormat="false" ht="23.85" hidden="false" customHeight="false" outlineLevel="0" collapsed="false">
      <c r="A38" s="31" t="n">
        <v>34</v>
      </c>
      <c r="B38" s="31" t="s">
        <v>55</v>
      </c>
      <c r="C38" s="31" t="s">
        <v>228</v>
      </c>
      <c r="D38" s="31" t="s">
        <v>229</v>
      </c>
      <c r="E38" s="27" t="s">
        <v>24</v>
      </c>
      <c r="F38" s="31" t="s">
        <v>230</v>
      </c>
      <c r="G38" s="31" t="s">
        <v>231</v>
      </c>
      <c r="H38" s="31" t="s">
        <v>33</v>
      </c>
      <c r="I38" s="31" t="s">
        <v>232</v>
      </c>
      <c r="J38" s="32" t="s">
        <v>233</v>
      </c>
    </row>
    <row r="39" customFormat="false" ht="23.85" hidden="false" customHeight="false" outlineLevel="0" collapsed="false">
      <c r="A39" s="31" t="n">
        <v>35</v>
      </c>
      <c r="B39" s="31" t="s">
        <v>55</v>
      </c>
      <c r="C39" s="31" t="s">
        <v>234</v>
      </c>
      <c r="D39" s="31" t="s">
        <v>235</v>
      </c>
      <c r="E39" s="27" t="s">
        <v>24</v>
      </c>
      <c r="F39" s="31" t="s">
        <v>236</v>
      </c>
      <c r="G39" s="31" t="s">
        <v>237</v>
      </c>
      <c r="H39" s="31" t="s">
        <v>33</v>
      </c>
      <c r="I39" s="31" t="s">
        <v>238</v>
      </c>
      <c r="J39" s="31"/>
    </row>
    <row r="40" customFormat="false" ht="23.85" hidden="false" customHeight="false" outlineLevel="0" collapsed="false">
      <c r="A40" s="31" t="n">
        <v>36</v>
      </c>
      <c r="B40" s="31" t="s">
        <v>55</v>
      </c>
      <c r="C40" s="31" t="s">
        <v>239</v>
      </c>
      <c r="D40" s="31" t="s">
        <v>240</v>
      </c>
      <c r="E40" s="27" t="s">
        <v>24</v>
      </c>
      <c r="F40" s="31" t="s">
        <v>241</v>
      </c>
      <c r="G40" s="31" t="s">
        <v>242</v>
      </c>
      <c r="H40" s="31" t="s">
        <v>33</v>
      </c>
      <c r="I40" s="31" t="s">
        <v>243</v>
      </c>
      <c r="J40" s="31"/>
    </row>
    <row r="41" customFormat="false" ht="23.85" hidden="false" customHeight="false" outlineLevel="0" collapsed="false">
      <c r="A41" s="31" t="n">
        <v>37</v>
      </c>
      <c r="B41" s="31" t="s">
        <v>55</v>
      </c>
      <c r="C41" s="31" t="s">
        <v>244</v>
      </c>
      <c r="D41" s="31" t="s">
        <v>245</v>
      </c>
      <c r="E41" s="27" t="s">
        <v>24</v>
      </c>
      <c r="F41" s="31"/>
      <c r="G41" s="31" t="s">
        <v>242</v>
      </c>
      <c r="H41" s="31" t="s">
        <v>33</v>
      </c>
      <c r="I41" s="31" t="s">
        <v>243</v>
      </c>
      <c r="J41" s="31"/>
    </row>
    <row r="42" customFormat="false" ht="23.85" hidden="false" customHeight="false" outlineLevel="0" collapsed="false">
      <c r="A42" s="31" t="n">
        <v>38</v>
      </c>
      <c r="B42" s="31" t="s">
        <v>55</v>
      </c>
      <c r="C42" s="31" t="s">
        <v>246</v>
      </c>
      <c r="D42" s="31" t="s">
        <v>247</v>
      </c>
      <c r="E42" s="27" t="s">
        <v>24</v>
      </c>
      <c r="F42" s="31"/>
      <c r="G42" s="31" t="s">
        <v>248</v>
      </c>
      <c r="H42" s="31" t="s">
        <v>33</v>
      </c>
      <c r="I42" s="31" t="s">
        <v>249</v>
      </c>
      <c r="J42" s="31"/>
    </row>
    <row r="43" customFormat="false" ht="23.85" hidden="false" customHeight="false" outlineLevel="0" collapsed="false">
      <c r="A43" s="31" t="n">
        <v>39</v>
      </c>
      <c r="B43" s="31" t="s">
        <v>55</v>
      </c>
      <c r="C43" s="31" t="s">
        <v>250</v>
      </c>
      <c r="D43" s="31" t="s">
        <v>251</v>
      </c>
      <c r="E43" s="27" t="s">
        <v>24</v>
      </c>
      <c r="F43" s="31"/>
      <c r="G43" s="31" t="s">
        <v>252</v>
      </c>
      <c r="H43" s="31" t="s">
        <v>33</v>
      </c>
      <c r="I43" s="31" t="s">
        <v>243</v>
      </c>
      <c r="J43" s="31"/>
    </row>
    <row r="44" customFormat="false" ht="23.85" hidden="false" customHeight="false" outlineLevel="0" collapsed="false">
      <c r="A44" s="31" t="n">
        <v>40</v>
      </c>
      <c r="B44" s="31" t="s">
        <v>55</v>
      </c>
      <c r="C44" s="31" t="s">
        <v>253</v>
      </c>
      <c r="D44" s="31" t="s">
        <v>254</v>
      </c>
      <c r="E44" s="27" t="s">
        <v>24</v>
      </c>
      <c r="F44" s="31"/>
      <c r="G44" s="31" t="s">
        <v>255</v>
      </c>
      <c r="H44" s="31" t="s">
        <v>33</v>
      </c>
      <c r="I44" s="31" t="s">
        <v>256</v>
      </c>
      <c r="J44" s="32" t="s">
        <v>257</v>
      </c>
    </row>
    <row r="45" customFormat="false" ht="35.05" hidden="false" customHeight="false" outlineLevel="0" collapsed="false">
      <c r="A45" s="31" t="n">
        <v>41</v>
      </c>
      <c r="B45" s="31" t="s">
        <v>55</v>
      </c>
      <c r="C45" s="31" t="s">
        <v>258</v>
      </c>
      <c r="D45" s="31" t="s">
        <v>259</v>
      </c>
      <c r="E45" s="22" t="s">
        <v>260</v>
      </c>
      <c r="F45" s="31" t="s">
        <v>261</v>
      </c>
      <c r="G45" s="31" t="s">
        <v>262</v>
      </c>
      <c r="H45" s="31" t="s">
        <v>27</v>
      </c>
      <c r="I45" s="31" t="s">
        <v>263</v>
      </c>
      <c r="J45" s="32" t="s">
        <v>264</v>
      </c>
    </row>
    <row r="46" customFormat="false" ht="15" hidden="false" customHeight="false" outlineLevel="0" collapsed="false">
      <c r="A46" s="31" t="n">
        <v>42</v>
      </c>
      <c r="B46" s="31" t="s">
        <v>55</v>
      </c>
      <c r="C46" s="31" t="s">
        <v>265</v>
      </c>
      <c r="D46" s="31" t="s">
        <v>266</v>
      </c>
      <c r="E46" s="20" t="s">
        <v>15</v>
      </c>
      <c r="F46" s="31" t="s">
        <v>267</v>
      </c>
      <c r="G46" s="31" t="s">
        <v>268</v>
      </c>
      <c r="H46" s="31" t="s">
        <v>29</v>
      </c>
      <c r="I46" s="31" t="s">
        <v>269</v>
      </c>
      <c r="J46" s="32" t="s">
        <v>61</v>
      </c>
    </row>
    <row r="47" customFormat="false" ht="15" hidden="false" customHeight="false" outlineLevel="0" collapsed="false">
      <c r="A47" s="31" t="n">
        <v>43</v>
      </c>
      <c r="B47" s="31" t="s">
        <v>55</v>
      </c>
      <c r="C47" s="31" t="s">
        <v>270</v>
      </c>
      <c r="D47" s="31" t="s">
        <v>271</v>
      </c>
      <c r="E47" s="20" t="s">
        <v>15</v>
      </c>
      <c r="F47" s="31" t="s">
        <v>272</v>
      </c>
      <c r="G47" s="31" t="s">
        <v>273</v>
      </c>
      <c r="H47" s="31" t="s">
        <v>29</v>
      </c>
      <c r="I47" s="31" t="s">
        <v>274</v>
      </c>
      <c r="J47" s="32" t="s">
        <v>61</v>
      </c>
    </row>
    <row r="48" customFormat="false" ht="23.85" hidden="false" customHeight="false" outlineLevel="0" collapsed="false">
      <c r="A48" s="31" t="n">
        <v>44</v>
      </c>
      <c r="B48" s="31" t="s">
        <v>55</v>
      </c>
      <c r="C48" s="31" t="s">
        <v>275</v>
      </c>
      <c r="D48" s="31" t="s">
        <v>276</v>
      </c>
      <c r="E48" s="27" t="s">
        <v>24</v>
      </c>
      <c r="F48" s="31"/>
      <c r="G48" s="31" t="s">
        <v>277</v>
      </c>
      <c r="H48" s="31" t="s">
        <v>33</v>
      </c>
      <c r="I48" s="31" t="s">
        <v>227</v>
      </c>
      <c r="J48" s="31"/>
    </row>
    <row r="49" customFormat="false" ht="23.85" hidden="false" customHeight="false" outlineLevel="0" collapsed="false">
      <c r="A49" s="31" t="n">
        <v>45</v>
      </c>
      <c r="B49" s="31" t="s">
        <v>55</v>
      </c>
      <c r="C49" s="31" t="s">
        <v>278</v>
      </c>
      <c r="D49" s="31" t="s">
        <v>279</v>
      </c>
      <c r="E49" s="27" t="s">
        <v>24</v>
      </c>
      <c r="F49" s="31"/>
      <c r="G49" s="31" t="s">
        <v>280</v>
      </c>
      <c r="H49" s="31" t="s">
        <v>33</v>
      </c>
      <c r="I49" s="31" t="s">
        <v>281</v>
      </c>
      <c r="J49" s="31"/>
    </row>
    <row r="50" customFormat="false" ht="23.85" hidden="false" customHeight="false" outlineLevel="0" collapsed="false">
      <c r="A50" s="31" t="n">
        <v>46</v>
      </c>
      <c r="B50" s="31" t="s">
        <v>55</v>
      </c>
      <c r="C50" s="31" t="s">
        <v>282</v>
      </c>
      <c r="D50" s="31" t="s">
        <v>283</v>
      </c>
      <c r="E50" s="26" t="s">
        <v>23</v>
      </c>
      <c r="F50" s="31" t="s">
        <v>284</v>
      </c>
      <c r="G50" s="31" t="s">
        <v>285</v>
      </c>
      <c r="H50" s="31" t="s">
        <v>33</v>
      </c>
      <c r="I50" s="31" t="s">
        <v>286</v>
      </c>
      <c r="J50" s="32" t="s">
        <v>287</v>
      </c>
    </row>
    <row r="51" customFormat="false" ht="23.85" hidden="false" customHeight="false" outlineLevel="0" collapsed="false">
      <c r="A51" s="31" t="n">
        <v>47</v>
      </c>
      <c r="B51" s="31" t="s">
        <v>55</v>
      </c>
      <c r="C51" s="31" t="s">
        <v>288</v>
      </c>
      <c r="D51" s="31" t="s">
        <v>289</v>
      </c>
      <c r="E51" s="25" t="s">
        <v>21</v>
      </c>
      <c r="F51" s="31" t="s">
        <v>290</v>
      </c>
      <c r="G51" s="31" t="s">
        <v>291</v>
      </c>
      <c r="H51" s="31" t="s">
        <v>31</v>
      </c>
      <c r="I51" s="31" t="s">
        <v>292</v>
      </c>
      <c r="J51" s="31"/>
    </row>
    <row r="52" customFormat="false" ht="23.85" hidden="false" customHeight="false" outlineLevel="0" collapsed="false">
      <c r="A52" s="31" t="n">
        <v>48</v>
      </c>
      <c r="B52" s="31" t="s">
        <v>55</v>
      </c>
      <c r="C52" s="31" t="s">
        <v>293</v>
      </c>
      <c r="D52" s="31" t="s">
        <v>294</v>
      </c>
      <c r="E52" s="27" t="s">
        <v>24</v>
      </c>
      <c r="F52" s="31"/>
      <c r="G52" s="31" t="s">
        <v>295</v>
      </c>
      <c r="H52" s="31" t="s">
        <v>33</v>
      </c>
      <c r="I52" s="31" t="s">
        <v>296</v>
      </c>
      <c r="J52" s="31"/>
    </row>
    <row r="53" customFormat="false" ht="23.85" hidden="false" customHeight="false" outlineLevel="0" collapsed="false">
      <c r="A53" s="31" t="n">
        <v>49</v>
      </c>
      <c r="B53" s="31" t="s">
        <v>55</v>
      </c>
      <c r="C53" s="31" t="s">
        <v>297</v>
      </c>
      <c r="D53" s="31" t="s">
        <v>298</v>
      </c>
      <c r="E53" s="27" t="s">
        <v>24</v>
      </c>
      <c r="F53" s="31"/>
      <c r="G53" s="31" t="s">
        <v>299</v>
      </c>
      <c r="H53" s="31" t="s">
        <v>33</v>
      </c>
      <c r="I53" s="31" t="s">
        <v>300</v>
      </c>
      <c r="J53" s="31"/>
    </row>
    <row r="54" customFormat="false" ht="23.85" hidden="false" customHeight="false" outlineLevel="0" collapsed="false">
      <c r="A54" s="31" t="n">
        <v>50</v>
      </c>
      <c r="B54" s="31" t="s">
        <v>55</v>
      </c>
      <c r="C54" s="31" t="s">
        <v>301</v>
      </c>
      <c r="D54" s="31" t="s">
        <v>302</v>
      </c>
      <c r="E54" s="27" t="s">
        <v>24</v>
      </c>
      <c r="F54" s="31"/>
      <c r="G54" s="31" t="s">
        <v>280</v>
      </c>
      <c r="H54" s="31" t="s">
        <v>33</v>
      </c>
      <c r="I54" s="31" t="s">
        <v>303</v>
      </c>
      <c r="J54" s="31"/>
    </row>
    <row r="55" customFormat="false" ht="23.85" hidden="false" customHeight="false" outlineLevel="0" collapsed="false">
      <c r="A55" s="31" t="n">
        <v>51</v>
      </c>
      <c r="B55" s="31" t="s">
        <v>55</v>
      </c>
      <c r="C55" s="31" t="s">
        <v>304</v>
      </c>
      <c r="D55" s="31" t="s">
        <v>305</v>
      </c>
      <c r="E55" s="27" t="s">
        <v>24</v>
      </c>
      <c r="F55" s="31"/>
      <c r="G55" s="31" t="s">
        <v>306</v>
      </c>
      <c r="H55" s="31" t="s">
        <v>33</v>
      </c>
      <c r="I55" s="31" t="s">
        <v>307</v>
      </c>
      <c r="J55" s="31"/>
    </row>
    <row r="56" customFormat="false" ht="23.85" hidden="false" customHeight="false" outlineLevel="0" collapsed="false">
      <c r="A56" s="31" t="n">
        <v>52</v>
      </c>
      <c r="B56" s="31" t="s">
        <v>55</v>
      </c>
      <c r="C56" s="31" t="s">
        <v>308</v>
      </c>
      <c r="D56" s="31" t="s">
        <v>309</v>
      </c>
      <c r="E56" s="27" t="s">
        <v>24</v>
      </c>
      <c r="F56" s="31"/>
      <c r="G56" s="31" t="s">
        <v>310</v>
      </c>
      <c r="H56" s="31" t="s">
        <v>33</v>
      </c>
      <c r="I56" s="31" t="s">
        <v>311</v>
      </c>
      <c r="J56" s="31"/>
    </row>
    <row r="57" customFormat="false" ht="23.85" hidden="false" customHeight="false" outlineLevel="0" collapsed="false">
      <c r="A57" s="31" t="n">
        <v>53</v>
      </c>
      <c r="B57" s="31" t="s">
        <v>55</v>
      </c>
      <c r="C57" s="31" t="s">
        <v>312</v>
      </c>
      <c r="D57" s="31" t="s">
        <v>313</v>
      </c>
      <c r="E57" s="20" t="s">
        <v>15</v>
      </c>
      <c r="F57" s="31" t="s">
        <v>314</v>
      </c>
      <c r="G57" s="31" t="s">
        <v>315</v>
      </c>
      <c r="H57" s="31" t="s">
        <v>29</v>
      </c>
      <c r="I57" s="31" t="s">
        <v>316</v>
      </c>
      <c r="J57" s="31"/>
    </row>
    <row r="58" customFormat="false" ht="15" hidden="false" customHeight="false" outlineLevel="0" collapsed="false">
      <c r="A58" s="31" t="n">
        <v>54</v>
      </c>
      <c r="B58" s="31" t="s">
        <v>55</v>
      </c>
      <c r="C58" s="31" t="s">
        <v>317</v>
      </c>
      <c r="D58" s="31" t="s">
        <v>318</v>
      </c>
      <c r="E58" s="20" t="s">
        <v>15</v>
      </c>
      <c r="F58" s="31" t="s">
        <v>319</v>
      </c>
      <c r="G58" s="31" t="s">
        <v>320</v>
      </c>
      <c r="H58" s="31" t="s">
        <v>33</v>
      </c>
      <c r="I58" s="31" t="s">
        <v>181</v>
      </c>
      <c r="J58" s="31"/>
    </row>
    <row r="59" customFormat="false" ht="15" hidden="false" customHeight="false" outlineLevel="0" collapsed="false">
      <c r="A59" s="31" t="n">
        <v>55</v>
      </c>
      <c r="B59" s="31" t="s">
        <v>55</v>
      </c>
      <c r="C59" s="31" t="s">
        <v>321</v>
      </c>
      <c r="D59" s="31" t="s">
        <v>322</v>
      </c>
      <c r="E59" s="28" t="s">
        <v>25</v>
      </c>
      <c r="F59" s="31"/>
      <c r="G59" s="31" t="s">
        <v>323</v>
      </c>
      <c r="H59" s="31" t="s">
        <v>37</v>
      </c>
      <c r="I59" s="31" t="s">
        <v>324</v>
      </c>
      <c r="J59" s="31"/>
    </row>
    <row r="60" customFormat="false" ht="15" hidden="false" customHeight="false" outlineLevel="0" collapsed="false">
      <c r="A60" s="31" t="n">
        <v>56</v>
      </c>
      <c r="B60" s="31" t="s">
        <v>55</v>
      </c>
      <c r="C60" s="31" t="s">
        <v>325</v>
      </c>
      <c r="D60" s="31" t="s">
        <v>326</v>
      </c>
      <c r="E60" s="28" t="s">
        <v>25</v>
      </c>
      <c r="F60" s="31"/>
      <c r="G60" s="31" t="s">
        <v>327</v>
      </c>
      <c r="H60" s="31" t="s">
        <v>37</v>
      </c>
      <c r="I60" s="31" t="s">
        <v>328</v>
      </c>
      <c r="J60" s="31"/>
    </row>
    <row r="61" customFormat="false" ht="35.05" hidden="false" customHeight="false" outlineLevel="0" collapsed="false">
      <c r="A61" s="31" t="n">
        <v>57</v>
      </c>
      <c r="B61" s="31" t="s">
        <v>55</v>
      </c>
      <c r="C61" s="31" t="s">
        <v>329</v>
      </c>
      <c r="D61" s="31" t="s">
        <v>330</v>
      </c>
      <c r="E61" s="22" t="s">
        <v>17</v>
      </c>
      <c r="F61" s="31" t="s">
        <v>331</v>
      </c>
      <c r="G61" s="31" t="s">
        <v>332</v>
      </c>
      <c r="H61" s="31" t="s">
        <v>35</v>
      </c>
      <c r="I61" s="31" t="s">
        <v>333</v>
      </c>
      <c r="J61" s="31"/>
    </row>
    <row r="62" customFormat="false" ht="23.85" hidden="false" customHeight="false" outlineLevel="0" collapsed="false">
      <c r="A62" s="31" t="n">
        <v>58</v>
      </c>
      <c r="B62" s="31" t="s">
        <v>55</v>
      </c>
      <c r="C62" s="31" t="s">
        <v>334</v>
      </c>
      <c r="D62" s="31" t="s">
        <v>335</v>
      </c>
      <c r="E62" s="27" t="s">
        <v>24</v>
      </c>
      <c r="F62" s="31" t="s">
        <v>152</v>
      </c>
      <c r="G62" s="31" t="s">
        <v>336</v>
      </c>
      <c r="H62" s="31" t="s">
        <v>33</v>
      </c>
      <c r="I62" s="31" t="s">
        <v>337</v>
      </c>
      <c r="J62" s="31"/>
    </row>
    <row r="63" customFormat="false" ht="15" hidden="false" customHeight="false" outlineLevel="0" collapsed="false">
      <c r="A63" s="31" t="n">
        <v>59</v>
      </c>
      <c r="B63" s="31" t="s">
        <v>55</v>
      </c>
      <c r="C63" s="31" t="s">
        <v>338</v>
      </c>
      <c r="D63" s="31" t="s">
        <v>339</v>
      </c>
      <c r="E63" s="22" t="s">
        <v>17</v>
      </c>
      <c r="F63" s="31" t="s">
        <v>340</v>
      </c>
      <c r="G63" s="31" t="s">
        <v>341</v>
      </c>
      <c r="H63" s="31" t="s">
        <v>27</v>
      </c>
      <c r="I63" s="31" t="s">
        <v>342</v>
      </c>
      <c r="J63" s="32" t="s">
        <v>343</v>
      </c>
    </row>
    <row r="64" customFormat="false" ht="15" hidden="false" customHeight="false" outlineLevel="0" collapsed="false">
      <c r="A64" s="31" t="n">
        <v>60</v>
      </c>
      <c r="B64" s="31" t="s">
        <v>55</v>
      </c>
      <c r="C64" s="31" t="s">
        <v>344</v>
      </c>
      <c r="D64" s="31" t="s">
        <v>345</v>
      </c>
      <c r="E64" s="22" t="s">
        <v>17</v>
      </c>
      <c r="F64" s="31" t="s">
        <v>346</v>
      </c>
      <c r="G64" s="31" t="s">
        <v>347</v>
      </c>
      <c r="H64" s="31" t="s">
        <v>27</v>
      </c>
      <c r="I64" s="31" t="s">
        <v>348</v>
      </c>
      <c r="J64" s="31"/>
    </row>
    <row r="65" customFormat="false" ht="15" hidden="false" customHeight="false" outlineLevel="0" collapsed="false">
      <c r="A65" s="31" t="n">
        <v>61</v>
      </c>
      <c r="B65" s="31" t="s">
        <v>55</v>
      </c>
      <c r="C65" s="31" t="s">
        <v>349</v>
      </c>
      <c r="D65" s="31" t="s">
        <v>350</v>
      </c>
      <c r="E65" s="22" t="s">
        <v>17</v>
      </c>
      <c r="F65" s="31" t="s">
        <v>351</v>
      </c>
      <c r="G65" s="31" t="s">
        <v>352</v>
      </c>
      <c r="H65" s="31" t="s">
        <v>27</v>
      </c>
      <c r="I65" s="31" t="s">
        <v>181</v>
      </c>
      <c r="J65" s="31"/>
    </row>
    <row r="66" customFormat="false" ht="15" hidden="false" customHeight="false" outlineLevel="0" collapsed="false">
      <c r="A66" s="31" t="n">
        <v>62</v>
      </c>
      <c r="B66" s="31" t="s">
        <v>55</v>
      </c>
      <c r="C66" s="31" t="s">
        <v>353</v>
      </c>
      <c r="D66" s="31" t="s">
        <v>354</v>
      </c>
      <c r="E66" s="22" t="s">
        <v>17</v>
      </c>
      <c r="F66" s="31" t="s">
        <v>355</v>
      </c>
      <c r="G66" s="31" t="s">
        <v>341</v>
      </c>
      <c r="H66" s="31" t="s">
        <v>27</v>
      </c>
      <c r="I66" s="31" t="s">
        <v>356</v>
      </c>
      <c r="J66" s="31"/>
    </row>
    <row r="67" customFormat="false" ht="15" hidden="false" customHeight="false" outlineLevel="0" collapsed="false">
      <c r="A67" s="31" t="n">
        <v>63</v>
      </c>
      <c r="B67" s="31" t="s">
        <v>55</v>
      </c>
      <c r="C67" s="31" t="s">
        <v>357</v>
      </c>
      <c r="D67" s="31" t="s">
        <v>358</v>
      </c>
      <c r="E67" s="22" t="s">
        <v>17</v>
      </c>
      <c r="F67" s="31" t="s">
        <v>359</v>
      </c>
      <c r="G67" s="31" t="s">
        <v>360</v>
      </c>
      <c r="H67" s="31" t="s">
        <v>27</v>
      </c>
      <c r="I67" s="31" t="s">
        <v>361</v>
      </c>
      <c r="J67" s="31"/>
    </row>
    <row r="68" customFormat="false" ht="23.85" hidden="false" customHeight="false" outlineLevel="0" collapsed="false">
      <c r="A68" s="31" t="n">
        <v>64</v>
      </c>
      <c r="B68" s="31" t="s">
        <v>55</v>
      </c>
      <c r="C68" s="31" t="s">
        <v>362</v>
      </c>
      <c r="D68" s="31" t="s">
        <v>363</v>
      </c>
      <c r="E68" s="27" t="s">
        <v>24</v>
      </c>
      <c r="F68" s="31"/>
      <c r="G68" s="31" t="s">
        <v>242</v>
      </c>
      <c r="H68" s="31" t="s">
        <v>33</v>
      </c>
      <c r="I68" s="31" t="s">
        <v>243</v>
      </c>
      <c r="J68" s="31"/>
    </row>
    <row r="69" customFormat="false" ht="23.85" hidden="false" customHeight="false" outlineLevel="0" collapsed="false">
      <c r="A69" s="31" t="n">
        <v>65</v>
      </c>
      <c r="B69" s="31" t="s">
        <v>55</v>
      </c>
      <c r="C69" s="31" t="s">
        <v>364</v>
      </c>
      <c r="D69" s="31" t="s">
        <v>365</v>
      </c>
      <c r="E69" s="27" t="s">
        <v>24</v>
      </c>
      <c r="F69" s="31" t="s">
        <v>366</v>
      </c>
      <c r="G69" s="31" t="s">
        <v>367</v>
      </c>
      <c r="H69" s="31" t="s">
        <v>33</v>
      </c>
      <c r="I69" s="31" t="s">
        <v>368</v>
      </c>
      <c r="J69" s="32" t="s">
        <v>369</v>
      </c>
    </row>
    <row r="70" customFormat="false" ht="23.85" hidden="false" customHeight="false" outlineLevel="0" collapsed="false">
      <c r="A70" s="31" t="n">
        <v>66</v>
      </c>
      <c r="B70" s="31" t="s">
        <v>55</v>
      </c>
      <c r="C70" s="31" t="s">
        <v>370</v>
      </c>
      <c r="D70" s="31" t="s">
        <v>371</v>
      </c>
      <c r="E70" s="27" t="s">
        <v>24</v>
      </c>
      <c r="F70" s="31"/>
      <c r="G70" s="31" t="s">
        <v>372</v>
      </c>
      <c r="H70" s="31" t="s">
        <v>33</v>
      </c>
      <c r="I70" s="31" t="s">
        <v>373</v>
      </c>
      <c r="J70" s="31"/>
    </row>
    <row r="71" customFormat="false" ht="23.85" hidden="false" customHeight="false" outlineLevel="0" collapsed="false">
      <c r="A71" s="31" t="n">
        <v>67</v>
      </c>
      <c r="B71" s="31" t="s">
        <v>55</v>
      </c>
      <c r="C71" s="31" t="s">
        <v>374</v>
      </c>
      <c r="D71" s="31" t="s">
        <v>375</v>
      </c>
      <c r="E71" s="27" t="s">
        <v>24</v>
      </c>
      <c r="F71" s="31"/>
      <c r="G71" s="31" t="s">
        <v>376</v>
      </c>
      <c r="H71" s="31" t="s">
        <v>33</v>
      </c>
      <c r="I71" s="31" t="s">
        <v>377</v>
      </c>
      <c r="J71" s="31"/>
    </row>
    <row r="72" customFormat="false" ht="23.85" hidden="false" customHeight="false" outlineLevel="0" collapsed="false">
      <c r="A72" s="31" t="n">
        <v>68</v>
      </c>
      <c r="B72" s="31" t="s">
        <v>55</v>
      </c>
      <c r="C72" s="31" t="s">
        <v>378</v>
      </c>
      <c r="D72" s="31" t="s">
        <v>379</v>
      </c>
      <c r="E72" s="27" t="s">
        <v>24</v>
      </c>
      <c r="F72" s="31"/>
      <c r="G72" s="31" t="s">
        <v>372</v>
      </c>
      <c r="H72" s="31" t="s">
        <v>33</v>
      </c>
      <c r="I72" s="31" t="s">
        <v>373</v>
      </c>
      <c r="J72" s="31"/>
    </row>
    <row r="73" customFormat="false" ht="23.85" hidden="false" customHeight="false" outlineLevel="0" collapsed="false">
      <c r="A73" s="31" t="n">
        <v>69</v>
      </c>
      <c r="B73" s="31" t="s">
        <v>55</v>
      </c>
      <c r="C73" s="31" t="s">
        <v>380</v>
      </c>
      <c r="D73" s="31" t="s">
        <v>381</v>
      </c>
      <c r="E73" s="27" t="s">
        <v>24</v>
      </c>
      <c r="F73" s="31"/>
      <c r="G73" s="31" t="s">
        <v>382</v>
      </c>
      <c r="H73" s="31" t="s">
        <v>33</v>
      </c>
      <c r="I73" s="31" t="s">
        <v>383</v>
      </c>
      <c r="J73" s="31"/>
    </row>
    <row r="74" customFormat="false" ht="23.85" hidden="false" customHeight="false" outlineLevel="0" collapsed="false">
      <c r="A74" s="31" t="n">
        <v>70</v>
      </c>
      <c r="B74" s="31" t="s">
        <v>55</v>
      </c>
      <c r="C74" s="31" t="s">
        <v>384</v>
      </c>
      <c r="D74" s="31" t="s">
        <v>385</v>
      </c>
      <c r="E74" s="20" t="s">
        <v>15</v>
      </c>
      <c r="F74" s="31" t="s">
        <v>386</v>
      </c>
      <c r="G74" s="31" t="s">
        <v>387</v>
      </c>
      <c r="H74" s="31" t="s">
        <v>29</v>
      </c>
      <c r="I74" s="31" t="s">
        <v>388</v>
      </c>
      <c r="J74" s="31"/>
    </row>
    <row r="75" customFormat="false" ht="23.85" hidden="false" customHeight="false" outlineLevel="0" collapsed="false">
      <c r="A75" s="31" t="n">
        <v>71</v>
      </c>
      <c r="B75" s="31" t="s">
        <v>55</v>
      </c>
      <c r="C75" s="31" t="s">
        <v>389</v>
      </c>
      <c r="D75" s="31" t="s">
        <v>390</v>
      </c>
      <c r="E75" s="27" t="s">
        <v>24</v>
      </c>
      <c r="F75" s="31"/>
      <c r="G75" s="31" t="s">
        <v>391</v>
      </c>
      <c r="H75" s="31" t="s">
        <v>33</v>
      </c>
      <c r="I75" s="31" t="s">
        <v>392</v>
      </c>
      <c r="J75" s="31"/>
    </row>
    <row r="76" customFormat="false" ht="23.85" hidden="false" customHeight="false" outlineLevel="0" collapsed="false">
      <c r="A76" s="31" t="n">
        <v>72</v>
      </c>
      <c r="B76" s="31" t="s">
        <v>55</v>
      </c>
      <c r="C76" s="31" t="s">
        <v>393</v>
      </c>
      <c r="D76" s="31" t="s">
        <v>394</v>
      </c>
      <c r="E76" s="20" t="s">
        <v>15</v>
      </c>
      <c r="F76" s="31" t="s">
        <v>395</v>
      </c>
      <c r="G76" s="31" t="s">
        <v>396</v>
      </c>
      <c r="H76" s="31" t="s">
        <v>29</v>
      </c>
      <c r="I76" s="31" t="s">
        <v>397</v>
      </c>
      <c r="J76" s="32" t="s">
        <v>398</v>
      </c>
    </row>
    <row r="77" customFormat="false" ht="35.05" hidden="false" customHeight="false" outlineLevel="0" collapsed="false">
      <c r="A77" s="31" t="n">
        <v>73</v>
      </c>
      <c r="B77" s="31" t="s">
        <v>55</v>
      </c>
      <c r="C77" s="31" t="s">
        <v>399</v>
      </c>
      <c r="D77" s="31" t="s">
        <v>400</v>
      </c>
      <c r="E77" s="20" t="s">
        <v>15</v>
      </c>
      <c r="F77" s="31" t="s">
        <v>401</v>
      </c>
      <c r="G77" s="31" t="s">
        <v>402</v>
      </c>
      <c r="H77" s="31" t="s">
        <v>29</v>
      </c>
      <c r="I77" s="31" t="s">
        <v>403</v>
      </c>
      <c r="J77" s="32" t="s">
        <v>404</v>
      </c>
    </row>
    <row r="78" customFormat="false" ht="35.05" hidden="false" customHeight="false" outlineLevel="0" collapsed="false">
      <c r="A78" s="31" t="n">
        <v>74</v>
      </c>
      <c r="B78" s="31" t="s">
        <v>55</v>
      </c>
      <c r="C78" s="31" t="s">
        <v>405</v>
      </c>
      <c r="D78" s="31" t="s">
        <v>406</v>
      </c>
      <c r="E78" s="20" t="s">
        <v>15</v>
      </c>
      <c r="F78" s="31" t="s">
        <v>407</v>
      </c>
      <c r="G78" s="31" t="s">
        <v>408</v>
      </c>
      <c r="H78" s="31" t="s">
        <v>29</v>
      </c>
      <c r="I78" s="31" t="s">
        <v>409</v>
      </c>
      <c r="J78" s="32" t="s">
        <v>404</v>
      </c>
    </row>
    <row r="79" customFormat="false" ht="23.85" hidden="false" customHeight="false" outlineLevel="0" collapsed="false">
      <c r="A79" s="31" t="n">
        <v>75</v>
      </c>
      <c r="B79" s="31" t="s">
        <v>55</v>
      </c>
      <c r="C79" s="31" t="s">
        <v>410</v>
      </c>
      <c r="D79" s="31" t="s">
        <v>411</v>
      </c>
      <c r="E79" s="27" t="s">
        <v>24</v>
      </c>
      <c r="F79" s="31"/>
      <c r="G79" s="31" t="s">
        <v>412</v>
      </c>
      <c r="H79" s="31" t="s">
        <v>33</v>
      </c>
      <c r="I79" s="31" t="s">
        <v>413</v>
      </c>
      <c r="J79" s="32" t="s">
        <v>414</v>
      </c>
    </row>
    <row r="80" customFormat="false" ht="15" hidden="false" customHeight="false" outlineLevel="0" collapsed="false">
      <c r="A80" s="31" t="n">
        <v>76</v>
      </c>
      <c r="B80" s="31" t="s">
        <v>55</v>
      </c>
      <c r="C80" s="31" t="s">
        <v>415</v>
      </c>
      <c r="D80" s="31" t="s">
        <v>416</v>
      </c>
      <c r="E80" s="19" t="s">
        <v>14</v>
      </c>
      <c r="F80" s="31" t="s">
        <v>417</v>
      </c>
      <c r="G80" s="31" t="s">
        <v>418</v>
      </c>
      <c r="H80" s="31" t="s">
        <v>35</v>
      </c>
      <c r="I80" s="31" t="s">
        <v>419</v>
      </c>
      <c r="J80" s="32" t="s">
        <v>420</v>
      </c>
    </row>
    <row r="81" customFormat="false" ht="23.85" hidden="false" customHeight="false" outlineLevel="0" collapsed="false">
      <c r="A81" s="31" t="n">
        <v>77</v>
      </c>
      <c r="B81" s="31" t="s">
        <v>55</v>
      </c>
      <c r="C81" s="31" t="s">
        <v>421</v>
      </c>
      <c r="D81" s="31" t="s">
        <v>422</v>
      </c>
      <c r="E81" s="25" t="s">
        <v>21</v>
      </c>
      <c r="F81" s="31" t="s">
        <v>423</v>
      </c>
      <c r="G81" s="31" t="s">
        <v>424</v>
      </c>
      <c r="H81" s="31" t="s">
        <v>31</v>
      </c>
      <c r="I81" s="31" t="s">
        <v>425</v>
      </c>
      <c r="J81" s="32" t="s">
        <v>426</v>
      </c>
    </row>
    <row r="82" customFormat="false" ht="23.85" hidden="false" customHeight="false" outlineLevel="0" collapsed="false">
      <c r="A82" s="31" t="n">
        <v>78</v>
      </c>
      <c r="B82" s="31" t="s">
        <v>55</v>
      </c>
      <c r="C82" s="31" t="s">
        <v>427</v>
      </c>
      <c r="D82" s="31" t="s">
        <v>428</v>
      </c>
      <c r="E82" s="26" t="s">
        <v>23</v>
      </c>
      <c r="F82" s="31" t="s">
        <v>429</v>
      </c>
      <c r="G82" s="31" t="s">
        <v>430</v>
      </c>
      <c r="H82" s="31" t="s">
        <v>35</v>
      </c>
      <c r="I82" s="31" t="s">
        <v>431</v>
      </c>
      <c r="J82" s="32" t="s">
        <v>432</v>
      </c>
    </row>
    <row r="83" customFormat="false" ht="23.85" hidden="false" customHeight="false" outlineLevel="0" collapsed="false">
      <c r="A83" s="31" t="n">
        <v>79</v>
      </c>
      <c r="B83" s="31" t="s">
        <v>55</v>
      </c>
      <c r="C83" s="31" t="s">
        <v>433</v>
      </c>
      <c r="D83" s="31" t="s">
        <v>434</v>
      </c>
      <c r="E83" s="27" t="s">
        <v>24</v>
      </c>
      <c r="F83" s="31"/>
      <c r="G83" s="31" t="s">
        <v>153</v>
      </c>
      <c r="H83" s="31" t="s">
        <v>33</v>
      </c>
      <c r="I83" s="31" t="s">
        <v>154</v>
      </c>
      <c r="J83" s="31"/>
    </row>
    <row r="84" customFormat="false" ht="23.85" hidden="false" customHeight="false" outlineLevel="0" collapsed="false">
      <c r="A84" s="31" t="n">
        <v>80</v>
      </c>
      <c r="B84" s="31" t="s">
        <v>55</v>
      </c>
      <c r="C84" s="31" t="s">
        <v>435</v>
      </c>
      <c r="D84" s="31" t="s">
        <v>436</v>
      </c>
      <c r="E84" s="27" t="s">
        <v>24</v>
      </c>
      <c r="F84" s="31"/>
      <c r="G84" s="31" t="s">
        <v>242</v>
      </c>
      <c r="H84" s="31" t="s">
        <v>33</v>
      </c>
      <c r="I84" s="31" t="s">
        <v>243</v>
      </c>
      <c r="J84" s="31"/>
    </row>
    <row r="85" customFormat="false" ht="23.85" hidden="false" customHeight="false" outlineLevel="0" collapsed="false">
      <c r="A85" s="31" t="n">
        <v>81</v>
      </c>
      <c r="B85" s="31" t="s">
        <v>55</v>
      </c>
      <c r="C85" s="31" t="s">
        <v>437</v>
      </c>
      <c r="D85" s="31" t="s">
        <v>438</v>
      </c>
      <c r="E85" s="27" t="s">
        <v>24</v>
      </c>
      <c r="F85" s="31"/>
      <c r="G85" s="31" t="s">
        <v>439</v>
      </c>
      <c r="H85" s="31" t="s">
        <v>33</v>
      </c>
      <c r="I85" s="31" t="s">
        <v>186</v>
      </c>
      <c r="J85" s="31"/>
    </row>
    <row r="86" customFormat="false" ht="15" hidden="false" customHeight="false" outlineLevel="0" collapsed="false">
      <c r="A86" s="31" t="n">
        <v>82</v>
      </c>
      <c r="B86" s="31" t="s">
        <v>440</v>
      </c>
      <c r="C86" s="31" t="s">
        <v>441</v>
      </c>
      <c r="D86" s="31" t="s">
        <v>442</v>
      </c>
      <c r="E86" s="20" t="s">
        <v>15</v>
      </c>
      <c r="F86" s="31" t="s">
        <v>443</v>
      </c>
      <c r="G86" s="31" t="s">
        <v>444</v>
      </c>
      <c r="H86" s="31" t="s">
        <v>27</v>
      </c>
      <c r="I86" s="31" t="s">
        <v>445</v>
      </c>
      <c r="J86" s="31"/>
    </row>
    <row r="87" customFormat="false" ht="35.05" hidden="false" customHeight="false" outlineLevel="0" collapsed="false">
      <c r="A87" s="31" t="n">
        <v>83</v>
      </c>
      <c r="B87" s="31" t="s">
        <v>440</v>
      </c>
      <c r="C87" s="31" t="s">
        <v>446</v>
      </c>
      <c r="D87" s="31" t="s">
        <v>447</v>
      </c>
      <c r="E87" s="20" t="s">
        <v>15</v>
      </c>
      <c r="F87" s="31" t="s">
        <v>448</v>
      </c>
      <c r="G87" s="31" t="s">
        <v>449</v>
      </c>
      <c r="H87" s="31" t="s">
        <v>29</v>
      </c>
      <c r="I87" s="31" t="s">
        <v>450</v>
      </c>
      <c r="J87" s="32" t="s">
        <v>451</v>
      </c>
    </row>
    <row r="88" customFormat="false" ht="15" hidden="false" customHeight="false" outlineLevel="0" collapsed="false">
      <c r="A88" s="31" t="n">
        <v>84</v>
      </c>
      <c r="B88" s="31" t="s">
        <v>440</v>
      </c>
      <c r="C88" s="31" t="s">
        <v>452</v>
      </c>
      <c r="D88" s="31" t="s">
        <v>453</v>
      </c>
      <c r="E88" s="21" t="s">
        <v>16</v>
      </c>
      <c r="F88" s="31" t="s">
        <v>454</v>
      </c>
      <c r="G88" s="31" t="s">
        <v>455</v>
      </c>
      <c r="H88" s="31" t="s">
        <v>37</v>
      </c>
      <c r="I88" s="31" t="s">
        <v>456</v>
      </c>
      <c r="J88" s="31"/>
    </row>
    <row r="89" customFormat="false" ht="23.85" hidden="false" customHeight="false" outlineLevel="0" collapsed="false">
      <c r="A89" s="31" t="n">
        <v>85</v>
      </c>
      <c r="B89" s="31" t="s">
        <v>16</v>
      </c>
      <c r="C89" s="31" t="s">
        <v>457</v>
      </c>
      <c r="D89" s="31" t="s">
        <v>458</v>
      </c>
      <c r="E89" s="21" t="s">
        <v>16</v>
      </c>
      <c r="F89" s="31" t="s">
        <v>459</v>
      </c>
      <c r="G89" s="31" t="s">
        <v>460</v>
      </c>
      <c r="H89" s="31" t="s">
        <v>29</v>
      </c>
      <c r="I89" s="31" t="s">
        <v>461</v>
      </c>
      <c r="J89" s="31"/>
    </row>
    <row r="90" customFormat="false" ht="35.05" hidden="false" customHeight="false" outlineLevel="0" collapsed="false">
      <c r="A90" s="31" t="n">
        <v>86</v>
      </c>
      <c r="B90" s="31" t="s">
        <v>16</v>
      </c>
      <c r="C90" s="31" t="s">
        <v>462</v>
      </c>
      <c r="D90" s="31" t="s">
        <v>463</v>
      </c>
      <c r="E90" s="21" t="s">
        <v>464</v>
      </c>
      <c r="F90" s="31" t="s">
        <v>465</v>
      </c>
      <c r="G90" s="31" t="s">
        <v>466</v>
      </c>
      <c r="H90" s="31" t="s">
        <v>29</v>
      </c>
      <c r="I90" s="31" t="s">
        <v>467</v>
      </c>
      <c r="J90" s="31"/>
    </row>
    <row r="91" customFormat="false" ht="15" hidden="false" customHeight="false" outlineLevel="0" collapsed="false">
      <c r="A91" s="31" t="n">
        <v>87</v>
      </c>
      <c r="B91" s="31" t="s">
        <v>16</v>
      </c>
      <c r="C91" s="31" t="s">
        <v>468</v>
      </c>
      <c r="D91" s="31" t="s">
        <v>469</v>
      </c>
      <c r="E91" s="21" t="s">
        <v>16</v>
      </c>
      <c r="F91" s="31" t="s">
        <v>470</v>
      </c>
      <c r="G91" s="31" t="s">
        <v>471</v>
      </c>
      <c r="H91" s="31" t="s">
        <v>29</v>
      </c>
      <c r="I91" s="31" t="s">
        <v>472</v>
      </c>
      <c r="J91" s="31"/>
    </row>
    <row r="92" customFormat="false" ht="15" hidden="false" customHeight="false" outlineLevel="0" collapsed="false">
      <c r="A92" s="31" t="n">
        <v>88</v>
      </c>
      <c r="B92" s="31" t="s">
        <v>16</v>
      </c>
      <c r="C92" s="31" t="s">
        <v>473</v>
      </c>
      <c r="D92" s="31" t="s">
        <v>474</v>
      </c>
      <c r="E92" s="21" t="s">
        <v>475</v>
      </c>
      <c r="F92" s="31" t="s">
        <v>476</v>
      </c>
      <c r="G92" s="31" t="s">
        <v>477</v>
      </c>
      <c r="H92" s="31" t="s">
        <v>29</v>
      </c>
      <c r="I92" s="31" t="s">
        <v>478</v>
      </c>
      <c r="J92" s="31"/>
    </row>
    <row r="93" customFormat="false" ht="23.85" hidden="false" customHeight="false" outlineLevel="0" collapsed="false">
      <c r="A93" s="31" t="n">
        <v>89</v>
      </c>
      <c r="B93" s="31" t="s">
        <v>16</v>
      </c>
      <c r="C93" s="31" t="s">
        <v>479</v>
      </c>
      <c r="D93" s="31" t="s">
        <v>480</v>
      </c>
      <c r="E93" s="24" t="s">
        <v>20</v>
      </c>
      <c r="F93" s="31" t="s">
        <v>481</v>
      </c>
      <c r="G93" s="31" t="s">
        <v>482</v>
      </c>
      <c r="H93" s="31" t="s">
        <v>31</v>
      </c>
      <c r="I93" s="31" t="s">
        <v>483</v>
      </c>
      <c r="J93" s="31"/>
    </row>
    <row r="94" customFormat="false" ht="15" hidden="false" customHeight="false" outlineLevel="0" collapsed="false">
      <c r="A94" s="31" t="n">
        <v>90</v>
      </c>
      <c r="B94" s="31" t="s">
        <v>16</v>
      </c>
      <c r="C94" s="31" t="s">
        <v>484</v>
      </c>
      <c r="D94" s="31" t="s">
        <v>485</v>
      </c>
      <c r="E94" s="21" t="s">
        <v>16</v>
      </c>
      <c r="F94" s="31" t="s">
        <v>486</v>
      </c>
      <c r="G94" s="31" t="s">
        <v>487</v>
      </c>
      <c r="H94" s="31" t="s">
        <v>29</v>
      </c>
      <c r="I94" s="31" t="s">
        <v>488</v>
      </c>
      <c r="J94" s="31"/>
    </row>
    <row r="95" customFormat="false" ht="15" hidden="false" customHeight="false" outlineLevel="0" collapsed="false">
      <c r="A95" s="31" t="n">
        <v>91</v>
      </c>
      <c r="B95" s="31" t="s">
        <v>16</v>
      </c>
      <c r="C95" s="31" t="s">
        <v>489</v>
      </c>
      <c r="D95" s="31" t="s">
        <v>490</v>
      </c>
      <c r="E95" s="21" t="s">
        <v>16</v>
      </c>
      <c r="F95" s="31" t="s">
        <v>491</v>
      </c>
      <c r="G95" s="31" t="s">
        <v>492</v>
      </c>
      <c r="H95" s="31" t="s">
        <v>29</v>
      </c>
      <c r="I95" s="31" t="s">
        <v>493</v>
      </c>
      <c r="J95" s="31"/>
    </row>
    <row r="96" customFormat="false" ht="23.85" hidden="false" customHeight="false" outlineLevel="0" collapsed="false">
      <c r="A96" s="31" t="n">
        <v>92</v>
      </c>
      <c r="B96" s="31" t="s">
        <v>16</v>
      </c>
      <c r="C96" s="31" t="s">
        <v>494</v>
      </c>
      <c r="D96" s="31" t="s">
        <v>495</v>
      </c>
      <c r="E96" s="23" t="s">
        <v>19</v>
      </c>
      <c r="F96" s="31" t="s">
        <v>496</v>
      </c>
      <c r="G96" s="31" t="s">
        <v>497</v>
      </c>
      <c r="H96" s="31" t="s">
        <v>31</v>
      </c>
      <c r="I96" s="31" t="s">
        <v>498</v>
      </c>
      <c r="J96" s="31"/>
    </row>
    <row r="97" customFormat="false" ht="23.85" hidden="false" customHeight="false" outlineLevel="0" collapsed="false">
      <c r="A97" s="31" t="n">
        <v>93</v>
      </c>
      <c r="B97" s="31" t="s">
        <v>16</v>
      </c>
      <c r="C97" s="31" t="s">
        <v>499</v>
      </c>
      <c r="D97" s="31" t="s">
        <v>500</v>
      </c>
      <c r="E97" s="25" t="s">
        <v>21</v>
      </c>
      <c r="F97" s="31" t="s">
        <v>501</v>
      </c>
      <c r="G97" s="31" t="s">
        <v>502</v>
      </c>
      <c r="H97" s="31" t="s">
        <v>31</v>
      </c>
      <c r="I97" s="31" t="s">
        <v>503</v>
      </c>
      <c r="J97" s="32" t="s">
        <v>504</v>
      </c>
    </row>
    <row r="98" customFormat="false" ht="23.85" hidden="false" customHeight="false" outlineLevel="0" collapsed="false">
      <c r="A98" s="31" t="n">
        <v>94</v>
      </c>
      <c r="B98" s="31" t="s">
        <v>16</v>
      </c>
      <c r="C98" s="31" t="s">
        <v>505</v>
      </c>
      <c r="D98" s="31" t="s">
        <v>506</v>
      </c>
      <c r="E98" s="25" t="s">
        <v>21</v>
      </c>
      <c r="F98" s="31" t="s">
        <v>507</v>
      </c>
      <c r="G98" s="31" t="s">
        <v>508</v>
      </c>
      <c r="H98" s="31" t="s">
        <v>31</v>
      </c>
      <c r="I98" s="31" t="s">
        <v>509</v>
      </c>
      <c r="J98" s="32" t="s">
        <v>510</v>
      </c>
    </row>
    <row r="99" customFormat="false" ht="23.85" hidden="false" customHeight="false" outlineLevel="0" collapsed="false">
      <c r="A99" s="31" t="n">
        <v>95</v>
      </c>
      <c r="B99" s="31" t="s">
        <v>511</v>
      </c>
      <c r="C99" s="31" t="s">
        <v>512</v>
      </c>
      <c r="D99" s="31" t="s">
        <v>513</v>
      </c>
      <c r="E99" s="27" t="s">
        <v>24</v>
      </c>
      <c r="F99" s="31" t="s">
        <v>514</v>
      </c>
      <c r="G99" s="31" t="s">
        <v>515</v>
      </c>
      <c r="H99" s="31" t="s">
        <v>35</v>
      </c>
      <c r="I99" s="31" t="s">
        <v>516</v>
      </c>
      <c r="J99" s="32" t="s">
        <v>517</v>
      </c>
    </row>
    <row r="100" customFormat="false" ht="23.85" hidden="false" customHeight="false" outlineLevel="0" collapsed="false">
      <c r="A100" s="31" t="n">
        <v>96</v>
      </c>
      <c r="B100" s="31" t="s">
        <v>518</v>
      </c>
      <c r="C100" s="31" t="s">
        <v>519</v>
      </c>
      <c r="D100" s="31" t="s">
        <v>520</v>
      </c>
      <c r="E100" s="27" t="s">
        <v>24</v>
      </c>
      <c r="F100" s="31" t="s">
        <v>521</v>
      </c>
      <c r="G100" s="31" t="s">
        <v>522</v>
      </c>
      <c r="H100" s="31" t="s">
        <v>33</v>
      </c>
      <c r="I100" s="31" t="s">
        <v>523</v>
      </c>
      <c r="J100" s="31"/>
    </row>
    <row r="101" customFormat="false" ht="15" hidden="false" customHeight="false" outlineLevel="0" collapsed="false">
      <c r="A101" s="31" t="n">
        <v>97</v>
      </c>
      <c r="B101" s="31" t="s">
        <v>524</v>
      </c>
      <c r="C101" s="31" t="s">
        <v>525</v>
      </c>
      <c r="D101" s="31" t="s">
        <v>526</v>
      </c>
      <c r="E101" s="28" t="s">
        <v>25</v>
      </c>
      <c r="F101" s="31"/>
      <c r="G101" s="31" t="s">
        <v>527</v>
      </c>
      <c r="H101" s="31" t="s">
        <v>37</v>
      </c>
      <c r="I101" s="31" t="s">
        <v>528</v>
      </c>
      <c r="J101" s="31"/>
    </row>
    <row r="102" customFormat="false" ht="23.85" hidden="false" customHeight="false" outlineLevel="0" collapsed="false">
      <c r="A102" s="31" t="n">
        <v>98</v>
      </c>
      <c r="B102" s="31" t="s">
        <v>529</v>
      </c>
      <c r="C102" s="31" t="s">
        <v>530</v>
      </c>
      <c r="D102" s="31" t="s">
        <v>531</v>
      </c>
      <c r="E102" s="28" t="s">
        <v>25</v>
      </c>
      <c r="F102" s="31"/>
      <c r="G102" s="31" t="s">
        <v>527</v>
      </c>
      <c r="H102" s="31" t="s">
        <v>37</v>
      </c>
      <c r="I102" s="31" t="s">
        <v>528</v>
      </c>
      <c r="J102" s="31"/>
    </row>
    <row r="103" customFormat="false" ht="23.85" hidden="false" customHeight="false" outlineLevel="0" collapsed="false">
      <c r="A103" s="31" t="n">
        <v>99</v>
      </c>
      <c r="B103" s="31" t="s">
        <v>532</v>
      </c>
      <c r="C103" s="31" t="s">
        <v>533</v>
      </c>
      <c r="D103" s="31" t="s">
        <v>534</v>
      </c>
      <c r="E103" s="28" t="s">
        <v>25</v>
      </c>
      <c r="F103" s="31"/>
      <c r="G103" s="31" t="s">
        <v>535</v>
      </c>
      <c r="H103" s="31" t="s">
        <v>37</v>
      </c>
      <c r="I103" s="31"/>
      <c r="J103" s="31"/>
    </row>
  </sheetData>
  <autoFilter ref="A4:J103"/>
  <dataValidations count="1">
    <dataValidation allowBlank="true" errorStyle="stop" operator="between" showDropDown="false" showErrorMessage="false" showInputMessage="false" sqref="H5:H103" type="list">
      <formula1>"Extract,Map,Lookup,Default,Decision,Leave formula"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30"/>
    <col collapsed="false" customWidth="true" hidden="false" outlineLevel="0" max="4" min="4" style="0" width="16"/>
    <col collapsed="false" customWidth="true" hidden="false" outlineLevel="0" max="5" min="5" style="0" width="48"/>
    <col collapsed="false" customWidth="true" hidden="false" outlineLevel="0" max="6" min="6" style="0" width="90"/>
  </cols>
  <sheetData>
    <row r="1" customFormat="false" ht="18.55" hidden="false" customHeight="false" outlineLevel="0" collapsed="false">
      <c r="A1" s="1" t="s">
        <v>5</v>
      </c>
    </row>
    <row r="2" customFormat="false" ht="15" hidden="false" customHeight="false" outlineLevel="0" collapsed="false">
      <c r="A2" s="2" t="s">
        <v>536</v>
      </c>
    </row>
    <row r="4" customFormat="false" ht="30" hidden="false" customHeight="true" outlineLevel="0" collapsed="false">
      <c r="A4" s="18" t="s">
        <v>537</v>
      </c>
      <c r="B4" s="18" t="s">
        <v>538</v>
      </c>
      <c r="C4" s="18" t="s">
        <v>539</v>
      </c>
      <c r="D4" s="18" t="s">
        <v>540</v>
      </c>
      <c r="E4" s="18" t="s">
        <v>541</v>
      </c>
      <c r="F4" s="18" t="s">
        <v>542</v>
      </c>
    </row>
    <row r="5" customFormat="false" ht="23.85" hidden="false" customHeight="false" outlineLevel="0" collapsed="false">
      <c r="A5" s="31" t="s">
        <v>543</v>
      </c>
      <c r="B5" s="31" t="s">
        <v>544</v>
      </c>
      <c r="C5" s="31" t="s">
        <v>545</v>
      </c>
      <c r="D5" s="31" t="s">
        <v>546</v>
      </c>
      <c r="E5" s="31" t="s">
        <v>547</v>
      </c>
      <c r="F5" s="31" t="s">
        <v>548</v>
      </c>
    </row>
    <row r="6" customFormat="false" ht="23.85" hidden="false" customHeight="false" outlineLevel="0" collapsed="false">
      <c r="A6" s="31" t="s">
        <v>549</v>
      </c>
      <c r="B6" s="31" t="s">
        <v>550</v>
      </c>
      <c r="C6" s="31" t="s">
        <v>551</v>
      </c>
      <c r="D6" s="31" t="s">
        <v>552</v>
      </c>
      <c r="E6" s="31" t="s">
        <v>553</v>
      </c>
      <c r="F6" s="31" t="s">
        <v>554</v>
      </c>
    </row>
    <row r="7" customFormat="false" ht="46.25" hidden="false" customHeight="false" outlineLevel="0" collapsed="false">
      <c r="A7" s="31" t="s">
        <v>555</v>
      </c>
      <c r="B7" s="31" t="s">
        <v>556</v>
      </c>
      <c r="C7" s="31" t="s">
        <v>557</v>
      </c>
      <c r="D7" s="31" t="s">
        <v>546</v>
      </c>
      <c r="E7" s="31" t="s">
        <v>558</v>
      </c>
      <c r="F7" s="31" t="s">
        <v>559</v>
      </c>
    </row>
    <row r="8" customFormat="false" ht="23.85" hidden="false" customHeight="false" outlineLevel="0" collapsed="false">
      <c r="A8" s="31" t="s">
        <v>560</v>
      </c>
      <c r="B8" s="31" t="s">
        <v>561</v>
      </c>
      <c r="C8" s="31" t="s">
        <v>562</v>
      </c>
      <c r="D8" s="31" t="s">
        <v>552</v>
      </c>
      <c r="E8" s="31" t="s">
        <v>563</v>
      </c>
      <c r="F8" s="31" t="s">
        <v>564</v>
      </c>
    </row>
    <row r="9" customFormat="false" ht="23.85" hidden="false" customHeight="false" outlineLevel="0" collapsed="false">
      <c r="A9" s="31" t="s">
        <v>565</v>
      </c>
      <c r="B9" s="31" t="s">
        <v>566</v>
      </c>
      <c r="C9" s="31" t="s">
        <v>567</v>
      </c>
      <c r="D9" s="31" t="s">
        <v>568</v>
      </c>
      <c r="E9" s="31" t="s">
        <v>569</v>
      </c>
      <c r="F9" s="31" t="s">
        <v>570</v>
      </c>
    </row>
    <row r="10" customFormat="false" ht="15" hidden="false" customHeight="false" outlineLevel="0" collapsed="false">
      <c r="A10" s="31" t="s">
        <v>571</v>
      </c>
      <c r="B10" s="31" t="s">
        <v>572</v>
      </c>
      <c r="C10" s="31" t="s">
        <v>573</v>
      </c>
      <c r="D10" s="31" t="s">
        <v>546</v>
      </c>
      <c r="E10" s="31" t="s">
        <v>574</v>
      </c>
      <c r="F10" s="31" t="s">
        <v>570</v>
      </c>
    </row>
    <row r="11" customFormat="false" ht="15" hidden="false" customHeight="false" outlineLevel="0" collapsed="false">
      <c r="A11" s="31" t="s">
        <v>575</v>
      </c>
      <c r="B11" s="31" t="s">
        <v>576</v>
      </c>
      <c r="C11" s="31" t="s">
        <v>577</v>
      </c>
      <c r="D11" s="31" t="s">
        <v>546</v>
      </c>
      <c r="E11" s="31" t="s">
        <v>578</v>
      </c>
      <c r="F11" s="31" t="s">
        <v>570</v>
      </c>
    </row>
    <row r="12" customFormat="false" ht="15" hidden="false" customHeight="false" outlineLevel="0" collapsed="false">
      <c r="A12" s="31" t="s">
        <v>579</v>
      </c>
      <c r="B12" s="31" t="s">
        <v>580</v>
      </c>
      <c r="C12" s="31" t="s">
        <v>581</v>
      </c>
      <c r="D12" s="31" t="s">
        <v>546</v>
      </c>
      <c r="E12" s="31" t="s">
        <v>582</v>
      </c>
      <c r="F12" s="31" t="s">
        <v>583</v>
      </c>
    </row>
    <row r="13" customFormat="false" ht="15" hidden="false" customHeight="false" outlineLevel="0" collapsed="false">
      <c r="A13" s="31" t="s">
        <v>584</v>
      </c>
      <c r="B13" s="31" t="s">
        <v>585</v>
      </c>
      <c r="C13" s="31" t="s">
        <v>586</v>
      </c>
      <c r="D13" s="31" t="s">
        <v>546</v>
      </c>
      <c r="E13" s="31" t="s">
        <v>587</v>
      </c>
      <c r="F13" s="31" t="s">
        <v>588</v>
      </c>
    </row>
    <row r="14" customFormat="false" ht="15" hidden="false" customHeight="false" outlineLevel="0" collapsed="false">
      <c r="A14" s="31" t="s">
        <v>589</v>
      </c>
      <c r="B14" s="31" t="s">
        <v>590</v>
      </c>
      <c r="C14" s="31" t="s">
        <v>591</v>
      </c>
      <c r="D14" s="31" t="s">
        <v>546</v>
      </c>
      <c r="E14" s="31" t="s">
        <v>592</v>
      </c>
      <c r="F14" s="31" t="s">
        <v>570</v>
      </c>
    </row>
    <row r="15" customFormat="false" ht="23.85" hidden="false" customHeight="false" outlineLevel="0" collapsed="false">
      <c r="A15" s="31" t="s">
        <v>593</v>
      </c>
      <c r="B15" s="31" t="s">
        <v>594</v>
      </c>
      <c r="C15" s="31" t="s">
        <v>595</v>
      </c>
      <c r="D15" s="31" t="s">
        <v>546</v>
      </c>
      <c r="E15" s="31" t="s">
        <v>596</v>
      </c>
      <c r="F15" s="31" t="s">
        <v>597</v>
      </c>
    </row>
    <row r="16" customFormat="false" ht="15" hidden="false" customHeight="false" outlineLevel="0" collapsed="false">
      <c r="A16" s="31" t="s">
        <v>598</v>
      </c>
      <c r="B16" s="31" t="s">
        <v>599</v>
      </c>
      <c r="C16" s="31" t="s">
        <v>600</v>
      </c>
      <c r="D16" s="31" t="s">
        <v>546</v>
      </c>
      <c r="E16" s="31" t="s">
        <v>601</v>
      </c>
      <c r="F16" s="31" t="s">
        <v>602</v>
      </c>
    </row>
    <row r="17" customFormat="false" ht="15" hidden="false" customHeight="false" outlineLevel="0" collapsed="false">
      <c r="A17" s="31" t="s">
        <v>603</v>
      </c>
      <c r="B17" s="31" t="s">
        <v>604</v>
      </c>
      <c r="C17" s="31" t="s">
        <v>371</v>
      </c>
      <c r="D17" s="31" t="s">
        <v>546</v>
      </c>
      <c r="E17" s="31" t="s">
        <v>605</v>
      </c>
      <c r="F17" s="31" t="s">
        <v>606</v>
      </c>
    </row>
    <row r="18" customFormat="false" ht="23.85" hidden="false" customHeight="false" outlineLevel="0" collapsed="false">
      <c r="A18" s="31" t="s">
        <v>607</v>
      </c>
      <c r="B18" s="31" t="s">
        <v>608</v>
      </c>
      <c r="C18" s="31" t="s">
        <v>609</v>
      </c>
      <c r="D18" s="31" t="s">
        <v>546</v>
      </c>
      <c r="E18" s="31" t="s">
        <v>610</v>
      </c>
      <c r="F18" s="31" t="s">
        <v>611</v>
      </c>
    </row>
    <row r="19" customFormat="false" ht="15" hidden="false" customHeight="false" outlineLevel="0" collapsed="false">
      <c r="A19" s="31" t="s">
        <v>612</v>
      </c>
      <c r="B19" s="31" t="s">
        <v>613</v>
      </c>
      <c r="C19" s="31" t="s">
        <v>379</v>
      </c>
      <c r="D19" s="31" t="s">
        <v>546</v>
      </c>
      <c r="E19" s="31" t="s">
        <v>614</v>
      </c>
      <c r="F19" s="31" t="s">
        <v>615</v>
      </c>
    </row>
    <row r="20" customFormat="false" ht="15" hidden="false" customHeight="false" outlineLevel="0" collapsed="false">
      <c r="A20" s="31" t="s">
        <v>616</v>
      </c>
      <c r="B20" s="31" t="s">
        <v>617</v>
      </c>
      <c r="C20" s="31" t="s">
        <v>381</v>
      </c>
      <c r="D20" s="31" t="s">
        <v>546</v>
      </c>
      <c r="E20" s="31" t="s">
        <v>618</v>
      </c>
      <c r="F20" s="31" t="s">
        <v>570</v>
      </c>
    </row>
    <row r="21" customFormat="false" ht="23.85" hidden="false" customHeight="false" outlineLevel="0" collapsed="false">
      <c r="A21" s="31" t="s">
        <v>619</v>
      </c>
      <c r="B21" s="31" t="s">
        <v>620</v>
      </c>
      <c r="C21" s="31" t="s">
        <v>621</v>
      </c>
      <c r="D21" s="31" t="s">
        <v>546</v>
      </c>
      <c r="E21" s="31" t="s">
        <v>622</v>
      </c>
      <c r="F21" s="31" t="s">
        <v>623</v>
      </c>
    </row>
    <row r="22" customFormat="false" ht="15" hidden="false" customHeight="false" outlineLevel="0" collapsed="false">
      <c r="A22" s="31" t="s">
        <v>624</v>
      </c>
      <c r="B22" s="31" t="s">
        <v>625</v>
      </c>
      <c r="C22" s="31" t="s">
        <v>626</v>
      </c>
      <c r="D22" s="31" t="s">
        <v>546</v>
      </c>
      <c r="E22" s="31" t="s">
        <v>627</v>
      </c>
      <c r="F22" s="31" t="s">
        <v>628</v>
      </c>
    </row>
    <row r="23" customFormat="false" ht="15" hidden="false" customHeight="false" outlineLevel="0" collapsed="false">
      <c r="A23" s="31" t="s">
        <v>629</v>
      </c>
      <c r="B23" s="31" t="s">
        <v>630</v>
      </c>
      <c r="C23" s="31" t="s">
        <v>631</v>
      </c>
      <c r="D23" s="31" t="s">
        <v>546</v>
      </c>
      <c r="E23" s="31" t="s">
        <v>632</v>
      </c>
      <c r="F23" s="31" t="s">
        <v>633</v>
      </c>
    </row>
    <row r="24" customFormat="false" ht="15" hidden="false" customHeight="false" outlineLevel="0" collapsed="false">
      <c r="A24" s="31" t="s">
        <v>634</v>
      </c>
      <c r="B24" s="31" t="s">
        <v>635</v>
      </c>
      <c r="C24" s="31" t="s">
        <v>390</v>
      </c>
      <c r="D24" s="31" t="s">
        <v>546</v>
      </c>
      <c r="E24" s="31" t="s">
        <v>390</v>
      </c>
      <c r="F24" s="31" t="s">
        <v>570</v>
      </c>
    </row>
    <row r="25" customFormat="false" ht="15" hidden="false" customHeight="false" outlineLevel="0" collapsed="false">
      <c r="A25" s="31" t="s">
        <v>636</v>
      </c>
      <c r="B25" s="31" t="s">
        <v>637</v>
      </c>
      <c r="C25" s="31" t="s">
        <v>638</v>
      </c>
      <c r="D25" s="31" t="s">
        <v>546</v>
      </c>
      <c r="E25" s="31" t="s">
        <v>639</v>
      </c>
      <c r="F25" s="31" t="s">
        <v>570</v>
      </c>
    </row>
    <row r="26" customFormat="false" ht="23.85" hidden="false" customHeight="false" outlineLevel="0" collapsed="false">
      <c r="A26" s="31" t="s">
        <v>640</v>
      </c>
      <c r="B26" s="31" t="s">
        <v>641</v>
      </c>
      <c r="C26" s="31" t="s">
        <v>642</v>
      </c>
      <c r="D26" s="31" t="s">
        <v>552</v>
      </c>
      <c r="E26" s="31" t="s">
        <v>643</v>
      </c>
      <c r="F26" s="31" t="s">
        <v>644</v>
      </c>
    </row>
    <row r="27" customFormat="false" ht="15" hidden="false" customHeight="false" outlineLevel="0" collapsed="false">
      <c r="A27" s="31" t="s">
        <v>645</v>
      </c>
      <c r="B27" s="31" t="s">
        <v>646</v>
      </c>
      <c r="C27" s="31" t="s">
        <v>647</v>
      </c>
      <c r="D27" s="31" t="s">
        <v>546</v>
      </c>
      <c r="E27" s="31" t="s">
        <v>648</v>
      </c>
      <c r="F27" s="31" t="s">
        <v>570</v>
      </c>
    </row>
    <row r="28" customFormat="false" ht="23.85" hidden="false" customHeight="false" outlineLevel="0" collapsed="false">
      <c r="A28" s="31" t="s">
        <v>649</v>
      </c>
      <c r="B28" s="31" t="s">
        <v>650</v>
      </c>
      <c r="C28" s="31" t="s">
        <v>651</v>
      </c>
      <c r="D28" s="31" t="s">
        <v>546</v>
      </c>
      <c r="E28" s="31" t="s">
        <v>652</v>
      </c>
      <c r="F28" s="31" t="s">
        <v>653</v>
      </c>
    </row>
    <row r="29" customFormat="false" ht="15" hidden="false" customHeight="false" outlineLevel="0" collapsed="false">
      <c r="A29" s="31" t="s">
        <v>654</v>
      </c>
      <c r="B29" s="31" t="s">
        <v>655</v>
      </c>
      <c r="C29" s="31" t="s">
        <v>656</v>
      </c>
      <c r="D29" s="31" t="s">
        <v>546</v>
      </c>
      <c r="E29" s="31" t="s">
        <v>657</v>
      </c>
      <c r="F29" s="31" t="s">
        <v>570</v>
      </c>
    </row>
    <row r="30" customFormat="false" ht="15" hidden="false" customHeight="false" outlineLevel="0" collapsed="false">
      <c r="A30" s="31" t="s">
        <v>658</v>
      </c>
      <c r="B30" s="31" t="s">
        <v>659</v>
      </c>
      <c r="C30" s="31" t="s">
        <v>660</v>
      </c>
      <c r="D30" s="31" t="s">
        <v>546</v>
      </c>
      <c r="E30" s="31" t="s">
        <v>661</v>
      </c>
      <c r="F30" s="31" t="s">
        <v>662</v>
      </c>
    </row>
    <row r="31" customFormat="false" ht="15" hidden="false" customHeight="false" outlineLevel="0" collapsed="false">
      <c r="A31" s="31" t="s">
        <v>663</v>
      </c>
      <c r="B31" s="31" t="s">
        <v>664</v>
      </c>
      <c r="C31" s="31" t="s">
        <v>665</v>
      </c>
      <c r="D31" s="31" t="s">
        <v>546</v>
      </c>
      <c r="E31" s="31" t="s">
        <v>666</v>
      </c>
      <c r="F31" s="31" t="s">
        <v>667</v>
      </c>
    </row>
    <row r="32" customFormat="false" ht="15" hidden="false" customHeight="false" outlineLevel="0" collapsed="false">
      <c r="A32" s="31" t="s">
        <v>668</v>
      </c>
      <c r="B32" s="31" t="s">
        <v>669</v>
      </c>
      <c r="C32" s="31" t="s">
        <v>670</v>
      </c>
      <c r="D32" s="31" t="s">
        <v>546</v>
      </c>
      <c r="E32" s="31" t="s">
        <v>671</v>
      </c>
      <c r="F32" s="31" t="s">
        <v>672</v>
      </c>
    </row>
    <row r="33" customFormat="false" ht="15" hidden="false" customHeight="false" outlineLevel="0" collapsed="false">
      <c r="A33" s="31" t="s">
        <v>673</v>
      </c>
      <c r="B33" s="31" t="s">
        <v>674</v>
      </c>
      <c r="C33" s="31" t="s">
        <v>675</v>
      </c>
      <c r="D33" s="31" t="s">
        <v>546</v>
      </c>
      <c r="E33" s="31" t="s">
        <v>676</v>
      </c>
      <c r="F33" s="31" t="s">
        <v>677</v>
      </c>
    </row>
    <row r="34" customFormat="false" ht="15" hidden="false" customHeight="false" outlineLevel="0" collapsed="false">
      <c r="A34" s="31" t="s">
        <v>678</v>
      </c>
      <c r="B34" s="31" t="s">
        <v>679</v>
      </c>
      <c r="C34" s="31" t="s">
        <v>680</v>
      </c>
      <c r="D34" s="31" t="s">
        <v>546</v>
      </c>
      <c r="E34" s="31" t="s">
        <v>681</v>
      </c>
      <c r="F34" s="31" t="s">
        <v>682</v>
      </c>
    </row>
    <row r="35" customFormat="false" ht="23.85" hidden="false" customHeight="false" outlineLevel="0" collapsed="false">
      <c r="A35" s="31" t="s">
        <v>683</v>
      </c>
      <c r="B35" s="31" t="s">
        <v>684</v>
      </c>
      <c r="C35" s="31" t="s">
        <v>685</v>
      </c>
      <c r="D35" s="31" t="s">
        <v>546</v>
      </c>
      <c r="E35" s="31" t="s">
        <v>686</v>
      </c>
      <c r="F35" s="31" t="s">
        <v>687</v>
      </c>
    </row>
    <row r="36" customFormat="false" ht="15" hidden="false" customHeight="false" outlineLevel="0" collapsed="false">
      <c r="A36" s="31" t="s">
        <v>688</v>
      </c>
      <c r="B36" s="31" t="s">
        <v>689</v>
      </c>
      <c r="C36" s="31" t="s">
        <v>690</v>
      </c>
      <c r="D36" s="31" t="s">
        <v>546</v>
      </c>
      <c r="E36" s="31" t="s">
        <v>691</v>
      </c>
      <c r="F36" s="31" t="s">
        <v>692</v>
      </c>
    </row>
    <row r="37" customFormat="false" ht="15" hidden="false" customHeight="false" outlineLevel="0" collapsed="false">
      <c r="A37" s="31" t="s">
        <v>693</v>
      </c>
      <c r="B37" s="31" t="s">
        <v>694</v>
      </c>
      <c r="C37" s="31" t="s">
        <v>695</v>
      </c>
      <c r="D37" s="31" t="s">
        <v>546</v>
      </c>
      <c r="E37" s="31" t="s">
        <v>696</v>
      </c>
      <c r="F37" s="31" t="s">
        <v>570</v>
      </c>
    </row>
    <row r="38" customFormat="false" ht="23.85" hidden="false" customHeight="false" outlineLevel="0" collapsed="false">
      <c r="A38" s="31" t="s">
        <v>697</v>
      </c>
      <c r="B38" s="31" t="s">
        <v>698</v>
      </c>
      <c r="C38" s="31" t="s">
        <v>699</v>
      </c>
      <c r="D38" s="31" t="s">
        <v>546</v>
      </c>
      <c r="E38" s="31" t="s">
        <v>700</v>
      </c>
      <c r="F38" s="31" t="s">
        <v>701</v>
      </c>
    </row>
    <row r="39" customFormat="false" ht="23.85" hidden="false" customHeight="false" outlineLevel="0" collapsed="false">
      <c r="A39" s="31" t="s">
        <v>702</v>
      </c>
      <c r="B39" s="31" t="s">
        <v>703</v>
      </c>
      <c r="C39" s="31" t="s">
        <v>704</v>
      </c>
      <c r="D39" s="31" t="s">
        <v>552</v>
      </c>
      <c r="E39" s="31" t="s">
        <v>705</v>
      </c>
      <c r="F39" s="31" t="s">
        <v>706</v>
      </c>
    </row>
    <row r="40" customFormat="false" ht="23.85" hidden="false" customHeight="false" outlineLevel="0" collapsed="false">
      <c r="A40" s="31" t="s">
        <v>707</v>
      </c>
      <c r="B40" s="31" t="s">
        <v>708</v>
      </c>
      <c r="C40" s="31" t="s">
        <v>709</v>
      </c>
      <c r="D40" s="31" t="s">
        <v>546</v>
      </c>
      <c r="E40" s="31" t="s">
        <v>710</v>
      </c>
      <c r="F40" s="31" t="s">
        <v>711</v>
      </c>
    </row>
    <row r="41" customFormat="false" ht="15" hidden="false" customHeight="false" outlineLevel="0" collapsed="false">
      <c r="A41" s="31" t="s">
        <v>712</v>
      </c>
      <c r="B41" s="31" t="s">
        <v>713</v>
      </c>
      <c r="C41" s="31" t="s">
        <v>714</v>
      </c>
      <c r="D41" s="31" t="s">
        <v>546</v>
      </c>
      <c r="E41" s="31" t="s">
        <v>715</v>
      </c>
      <c r="F41" s="31" t="s">
        <v>716</v>
      </c>
    </row>
    <row r="42" customFormat="false" ht="15" hidden="false" customHeight="false" outlineLevel="0" collapsed="false">
      <c r="A42" s="31" t="s">
        <v>717</v>
      </c>
      <c r="B42" s="31" t="s">
        <v>718</v>
      </c>
      <c r="C42" s="31" t="s">
        <v>719</v>
      </c>
      <c r="D42" s="31" t="s">
        <v>546</v>
      </c>
      <c r="E42" s="31" t="s">
        <v>720</v>
      </c>
      <c r="F42" s="31" t="s">
        <v>721</v>
      </c>
    </row>
    <row r="43" customFormat="false" ht="15" hidden="false" customHeight="false" outlineLevel="0" collapsed="false">
      <c r="A43" s="31" t="s">
        <v>722</v>
      </c>
      <c r="B43" s="31" t="s">
        <v>723</v>
      </c>
      <c r="C43" s="31" t="s">
        <v>724</v>
      </c>
      <c r="D43" s="31" t="s">
        <v>546</v>
      </c>
      <c r="E43" s="31" t="s">
        <v>725</v>
      </c>
      <c r="F43" s="31" t="s">
        <v>726</v>
      </c>
    </row>
    <row r="44" customFormat="false" ht="15" hidden="false" customHeight="false" outlineLevel="0" collapsed="false">
      <c r="A44" s="31" t="s">
        <v>727</v>
      </c>
      <c r="B44" s="31" t="s">
        <v>728</v>
      </c>
      <c r="C44" s="31" t="s">
        <v>729</v>
      </c>
      <c r="D44" s="31" t="s">
        <v>546</v>
      </c>
      <c r="E44" s="31" t="s">
        <v>730</v>
      </c>
      <c r="F44" s="31" t="s">
        <v>731</v>
      </c>
    </row>
    <row r="45" customFormat="false" ht="15" hidden="false" customHeight="false" outlineLevel="0" collapsed="false">
      <c r="A45" s="31" t="s">
        <v>732</v>
      </c>
      <c r="B45" s="31" t="s">
        <v>733</v>
      </c>
      <c r="C45" s="31" t="s">
        <v>734</v>
      </c>
      <c r="D45" s="31" t="s">
        <v>546</v>
      </c>
      <c r="E45" s="31" t="s">
        <v>735</v>
      </c>
      <c r="F45" s="31" t="s">
        <v>570</v>
      </c>
    </row>
    <row r="46" customFormat="false" ht="15" hidden="false" customHeight="false" outlineLevel="0" collapsed="false">
      <c r="A46" s="31" t="s">
        <v>736</v>
      </c>
      <c r="B46" s="31" t="s">
        <v>737</v>
      </c>
      <c r="C46" s="31" t="s">
        <v>738</v>
      </c>
      <c r="D46" s="31" t="s">
        <v>546</v>
      </c>
      <c r="E46" s="31" t="s">
        <v>739</v>
      </c>
      <c r="F46" s="31" t="s">
        <v>570</v>
      </c>
    </row>
    <row r="47" customFormat="false" ht="15" hidden="false" customHeight="false" outlineLevel="0" collapsed="false">
      <c r="A47" s="31" t="s">
        <v>740</v>
      </c>
      <c r="B47" s="31" t="s">
        <v>741</v>
      </c>
      <c r="C47" s="31" t="s">
        <v>742</v>
      </c>
      <c r="D47" s="31" t="s">
        <v>546</v>
      </c>
      <c r="E47" s="31" t="s">
        <v>743</v>
      </c>
      <c r="F47" s="31" t="s">
        <v>570</v>
      </c>
    </row>
    <row r="48" customFormat="false" ht="15" hidden="false" customHeight="false" outlineLevel="0" collapsed="false">
      <c r="A48" s="31" t="s">
        <v>744</v>
      </c>
      <c r="B48" s="31" t="s">
        <v>745</v>
      </c>
      <c r="C48" s="31" t="s">
        <v>746</v>
      </c>
      <c r="D48" s="31" t="s">
        <v>546</v>
      </c>
      <c r="E48" s="31" t="s">
        <v>747</v>
      </c>
      <c r="F48" s="31" t="s">
        <v>748</v>
      </c>
    </row>
    <row r="49" customFormat="false" ht="23.85" hidden="false" customHeight="false" outlineLevel="0" collapsed="false">
      <c r="A49" s="31" t="s">
        <v>749</v>
      </c>
      <c r="B49" s="31" t="s">
        <v>750</v>
      </c>
      <c r="C49" s="31" t="s">
        <v>751</v>
      </c>
      <c r="D49" s="31" t="s">
        <v>546</v>
      </c>
      <c r="E49" s="31" t="s">
        <v>752</v>
      </c>
      <c r="F49" s="31" t="s">
        <v>753</v>
      </c>
    </row>
    <row r="50" customFormat="false" ht="23.85" hidden="false" customHeight="false" outlineLevel="0" collapsed="false">
      <c r="A50" s="31" t="s">
        <v>754</v>
      </c>
      <c r="B50" s="31" t="s">
        <v>755</v>
      </c>
      <c r="C50" s="31" t="s">
        <v>756</v>
      </c>
      <c r="D50" s="31" t="s">
        <v>546</v>
      </c>
      <c r="E50" s="31" t="s">
        <v>757</v>
      </c>
      <c r="F50" s="31" t="s">
        <v>758</v>
      </c>
    </row>
    <row r="51" customFormat="false" ht="23.85" hidden="false" customHeight="false" outlineLevel="0" collapsed="false">
      <c r="A51" s="31" t="s">
        <v>759</v>
      </c>
      <c r="B51" s="31" t="s">
        <v>760</v>
      </c>
      <c r="C51" s="31" t="s">
        <v>761</v>
      </c>
      <c r="D51" s="31" t="s">
        <v>546</v>
      </c>
      <c r="E51" s="31" t="s">
        <v>762</v>
      </c>
      <c r="F51" s="31" t="s">
        <v>763</v>
      </c>
    </row>
    <row r="52" customFormat="false" ht="15" hidden="false" customHeight="false" outlineLevel="0" collapsed="false">
      <c r="A52" s="31" t="s">
        <v>764</v>
      </c>
      <c r="B52" s="31" t="s">
        <v>765</v>
      </c>
      <c r="C52" s="31" t="s">
        <v>766</v>
      </c>
      <c r="D52" s="31" t="s">
        <v>546</v>
      </c>
      <c r="E52" s="31" t="s">
        <v>767</v>
      </c>
      <c r="F52" s="31" t="s">
        <v>768</v>
      </c>
    </row>
    <row r="53" customFormat="false" ht="15" hidden="false" customHeight="false" outlineLevel="0" collapsed="false">
      <c r="A53" s="31" t="s">
        <v>769</v>
      </c>
      <c r="B53" s="31" t="s">
        <v>770</v>
      </c>
      <c r="C53" s="31" t="s">
        <v>771</v>
      </c>
      <c r="D53" s="31" t="s">
        <v>546</v>
      </c>
      <c r="E53" s="31" t="s">
        <v>772</v>
      </c>
      <c r="F53" s="31" t="s">
        <v>570</v>
      </c>
    </row>
    <row r="55" customFormat="false" ht="15" hidden="false" customHeight="false" outlineLevel="0" collapsed="false">
      <c r="A55" s="33" t="s">
        <v>773</v>
      </c>
    </row>
    <row r="56" customFormat="false" ht="27.75" hidden="false" customHeight="true" outlineLevel="0" collapsed="false">
      <c r="A56" s="0" t="s">
        <v>774</v>
      </c>
      <c r="B56" s="34" t="s">
        <v>775</v>
      </c>
      <c r="C56" s="34"/>
      <c r="D56" s="34"/>
      <c r="E56" s="34"/>
      <c r="F56" s="34"/>
    </row>
    <row r="57" customFormat="false" ht="27.75" hidden="false" customHeight="true" outlineLevel="0" collapsed="false">
      <c r="A57" s="0" t="s">
        <v>774</v>
      </c>
      <c r="B57" s="34" t="s">
        <v>776</v>
      </c>
      <c r="C57" s="34"/>
      <c r="D57" s="34"/>
      <c r="E57" s="34"/>
      <c r="F57" s="34"/>
    </row>
    <row r="58" customFormat="false" ht="27.75" hidden="false" customHeight="true" outlineLevel="0" collapsed="false">
      <c r="A58" s="0" t="s">
        <v>774</v>
      </c>
      <c r="B58" s="34" t="s">
        <v>777</v>
      </c>
      <c r="C58" s="34"/>
      <c r="D58" s="34"/>
      <c r="E58" s="34"/>
      <c r="F58" s="34"/>
    </row>
    <row r="59" customFormat="false" ht="27.75" hidden="false" customHeight="true" outlineLevel="0" collapsed="false">
      <c r="A59" s="0" t="s">
        <v>774</v>
      </c>
      <c r="B59" s="34" t="s">
        <v>778</v>
      </c>
      <c r="C59" s="34"/>
      <c r="D59" s="34"/>
      <c r="E59" s="34"/>
      <c r="F59" s="34"/>
    </row>
    <row r="60" customFormat="false" ht="27.75" hidden="false" customHeight="true" outlineLevel="0" collapsed="false">
      <c r="A60" s="0" t="s">
        <v>774</v>
      </c>
      <c r="B60" s="34" t="s">
        <v>779</v>
      </c>
      <c r="C60" s="34"/>
      <c r="D60" s="34"/>
      <c r="E60" s="34"/>
      <c r="F60" s="34"/>
    </row>
  </sheetData>
  <mergeCells count="5">
    <mergeCell ref="B56:F56"/>
    <mergeCell ref="B57:F57"/>
    <mergeCell ref="B58:F58"/>
    <mergeCell ref="B59:F59"/>
    <mergeCell ref="B60:F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80"/>
    <col collapsed="false" customWidth="true" hidden="false" outlineLevel="0" max="4" min="4" style="0" width="24"/>
    <col collapsed="false" customWidth="true" hidden="false" outlineLevel="0" max="5" min="5" style="0" width="40"/>
  </cols>
  <sheetData>
    <row r="1" customFormat="false" ht="18.55" hidden="false" customHeight="false" outlineLevel="0" collapsed="false">
      <c r="A1" s="1" t="s">
        <v>7</v>
      </c>
    </row>
    <row r="2" customFormat="false" ht="15" hidden="false" customHeight="false" outlineLevel="0" collapsed="false">
      <c r="A2" s="2" t="s">
        <v>780</v>
      </c>
    </row>
    <row r="4" customFormat="false" ht="30" hidden="false" customHeight="true" outlineLevel="0" collapsed="false">
      <c r="A4" s="18" t="s">
        <v>47</v>
      </c>
      <c r="B4" s="18" t="s">
        <v>781</v>
      </c>
      <c r="C4" s="18" t="s">
        <v>782</v>
      </c>
      <c r="D4" s="18" t="s">
        <v>41</v>
      </c>
      <c r="E4" s="18" t="s">
        <v>783</v>
      </c>
    </row>
    <row r="5" customFormat="false" ht="23.85" hidden="false" customHeight="false" outlineLevel="0" collapsed="false">
      <c r="A5" s="31" t="n">
        <v>1</v>
      </c>
      <c r="B5" s="31" t="s">
        <v>784</v>
      </c>
      <c r="C5" s="31" t="s">
        <v>785</v>
      </c>
      <c r="D5" s="31" t="s">
        <v>16</v>
      </c>
      <c r="E5" s="31" t="s">
        <v>786</v>
      </c>
    </row>
    <row r="6" customFormat="false" ht="35.05" hidden="false" customHeight="false" outlineLevel="0" collapsed="false">
      <c r="A6" s="31" t="n">
        <v>2</v>
      </c>
      <c r="B6" s="31" t="s">
        <v>787</v>
      </c>
      <c r="C6" s="31" t="s">
        <v>788</v>
      </c>
      <c r="D6" s="31" t="s">
        <v>16</v>
      </c>
      <c r="E6" s="31" t="s">
        <v>789</v>
      </c>
    </row>
    <row r="7" customFormat="false" ht="35.05" hidden="false" customHeight="false" outlineLevel="0" collapsed="false">
      <c r="A7" s="31" t="n">
        <v>3</v>
      </c>
      <c r="B7" s="31" t="s">
        <v>790</v>
      </c>
      <c r="C7" s="31" t="s">
        <v>791</v>
      </c>
      <c r="D7" s="31" t="s">
        <v>16</v>
      </c>
      <c r="E7" s="31" t="s">
        <v>792</v>
      </c>
    </row>
    <row r="8" customFormat="false" ht="35.05" hidden="false" customHeight="false" outlineLevel="0" collapsed="false">
      <c r="A8" s="31" t="n">
        <v>4</v>
      </c>
      <c r="B8" s="31" t="s">
        <v>793</v>
      </c>
      <c r="C8" s="31" t="s">
        <v>794</v>
      </c>
      <c r="D8" s="31" t="s">
        <v>464</v>
      </c>
      <c r="E8" s="31" t="s">
        <v>795</v>
      </c>
    </row>
    <row r="9" customFormat="false" ht="15" hidden="false" customHeight="false" outlineLevel="0" collapsed="false">
      <c r="A9" s="31" t="n">
        <v>5</v>
      </c>
      <c r="B9" s="31" t="s">
        <v>796</v>
      </c>
      <c r="C9" s="31" t="s">
        <v>797</v>
      </c>
      <c r="D9" s="31" t="s">
        <v>16</v>
      </c>
      <c r="E9" s="31" t="s">
        <v>798</v>
      </c>
    </row>
    <row r="10" customFormat="false" ht="23.85" hidden="false" customHeight="false" outlineLevel="0" collapsed="false">
      <c r="A10" s="31" t="n">
        <v>6</v>
      </c>
      <c r="B10" s="31" t="s">
        <v>799</v>
      </c>
      <c r="C10" s="31" t="s">
        <v>800</v>
      </c>
      <c r="D10" s="31" t="s">
        <v>19</v>
      </c>
      <c r="E10" s="31" t="s">
        <v>801</v>
      </c>
    </row>
    <row r="11" customFormat="false" ht="46.25" hidden="false" customHeight="false" outlineLevel="0" collapsed="false">
      <c r="A11" s="31" t="n">
        <v>7</v>
      </c>
      <c r="B11" s="31" t="s">
        <v>802</v>
      </c>
      <c r="C11" s="31" t="s">
        <v>803</v>
      </c>
      <c r="D11" s="31" t="s">
        <v>21</v>
      </c>
      <c r="E11" s="31" t="s">
        <v>804</v>
      </c>
    </row>
    <row r="12" customFormat="false" ht="35.05" hidden="false" customHeight="false" outlineLevel="0" collapsed="false">
      <c r="A12" s="31" t="n">
        <v>8</v>
      </c>
      <c r="B12" s="31" t="s">
        <v>805</v>
      </c>
      <c r="C12" s="31" t="s">
        <v>806</v>
      </c>
      <c r="D12" s="31" t="s">
        <v>21</v>
      </c>
      <c r="E12" s="31" t="s">
        <v>807</v>
      </c>
    </row>
    <row r="13" customFormat="false" ht="23.85" hidden="false" customHeight="false" outlineLevel="0" collapsed="false">
      <c r="A13" s="31" t="n">
        <v>9</v>
      </c>
      <c r="B13" s="31" t="s">
        <v>808</v>
      </c>
      <c r="C13" s="31" t="s">
        <v>809</v>
      </c>
      <c r="D13" s="31" t="s">
        <v>20</v>
      </c>
      <c r="E13" s="31" t="s">
        <v>810</v>
      </c>
    </row>
    <row r="14" customFormat="false" ht="23.85" hidden="false" customHeight="false" outlineLevel="0" collapsed="false">
      <c r="A14" s="31" t="n">
        <v>10</v>
      </c>
      <c r="B14" s="31" t="s">
        <v>811</v>
      </c>
      <c r="C14" s="31" t="s">
        <v>812</v>
      </c>
      <c r="D14" s="31" t="s">
        <v>813</v>
      </c>
      <c r="E14" s="31" t="s">
        <v>814</v>
      </c>
    </row>
    <row r="15" customFormat="false" ht="23.85" hidden="false" customHeight="false" outlineLevel="0" collapsed="false">
      <c r="A15" s="31" t="n">
        <v>11</v>
      </c>
      <c r="B15" s="31" t="s">
        <v>815</v>
      </c>
      <c r="C15" s="31" t="s">
        <v>816</v>
      </c>
      <c r="D15" s="31" t="s">
        <v>16</v>
      </c>
      <c r="E15" s="31" t="s">
        <v>533</v>
      </c>
    </row>
    <row r="16" customFormat="false" ht="23.85" hidden="false" customHeight="false" outlineLevel="0" collapsed="false">
      <c r="A16" s="31" t="n">
        <v>12</v>
      </c>
      <c r="B16" s="31" t="s">
        <v>817</v>
      </c>
      <c r="C16" s="31" t="s">
        <v>818</v>
      </c>
      <c r="D16" s="31" t="s">
        <v>533</v>
      </c>
      <c r="E16" s="31" t="s">
        <v>819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0"/>
    <col collapsed="false" customWidth="true" hidden="false" outlineLevel="0" max="3" min="3" style="0" width="50"/>
    <col collapsed="false" customWidth="true" hidden="false" outlineLevel="0" max="4" min="4" style="0" width="45"/>
  </cols>
  <sheetData>
    <row r="1" customFormat="false" ht="18.55" hidden="false" customHeight="false" outlineLevel="0" collapsed="false">
      <c r="A1" s="1" t="s">
        <v>9</v>
      </c>
    </row>
    <row r="2" customFormat="false" ht="15" hidden="false" customHeight="false" outlineLevel="0" collapsed="false">
      <c r="A2" s="2" t="s">
        <v>820</v>
      </c>
    </row>
    <row r="4" customFormat="false" ht="30" hidden="false" customHeight="true" outlineLevel="0" collapsed="false">
      <c r="A4" s="18" t="s">
        <v>41</v>
      </c>
      <c r="B4" s="18" t="s">
        <v>821</v>
      </c>
      <c r="C4" s="18" t="s">
        <v>822</v>
      </c>
      <c r="D4" s="18" t="s">
        <v>823</v>
      </c>
    </row>
    <row r="5" customFormat="false" ht="23.85" hidden="false" customHeight="false" outlineLevel="0" collapsed="false">
      <c r="A5" s="19" t="s">
        <v>14</v>
      </c>
      <c r="B5" s="31" t="s">
        <v>824</v>
      </c>
      <c r="C5" s="31" t="s">
        <v>825</v>
      </c>
      <c r="D5" s="31" t="s">
        <v>826</v>
      </c>
    </row>
    <row r="6" customFormat="false" ht="15" hidden="false" customHeight="false" outlineLevel="0" collapsed="false">
      <c r="A6" s="20" t="s">
        <v>15</v>
      </c>
      <c r="B6" s="31" t="s">
        <v>827</v>
      </c>
      <c r="C6" s="31" t="s">
        <v>828</v>
      </c>
      <c r="D6" s="31" t="s">
        <v>829</v>
      </c>
    </row>
    <row r="7" customFormat="false" ht="23.85" hidden="false" customHeight="false" outlineLevel="0" collapsed="false">
      <c r="A7" s="21" t="s">
        <v>16</v>
      </c>
      <c r="B7" s="31" t="s">
        <v>830</v>
      </c>
      <c r="C7" s="31" t="s">
        <v>831</v>
      </c>
      <c r="D7" s="31" t="s">
        <v>832</v>
      </c>
    </row>
    <row r="8" customFormat="false" ht="15" hidden="false" customHeight="false" outlineLevel="0" collapsed="false">
      <c r="A8" s="22" t="s">
        <v>17</v>
      </c>
      <c r="B8" s="31" t="s">
        <v>833</v>
      </c>
      <c r="C8" s="31" t="s">
        <v>834</v>
      </c>
      <c r="D8" s="31" t="s">
        <v>835</v>
      </c>
    </row>
    <row r="9" customFormat="false" ht="15" hidden="false" customHeight="false" outlineLevel="0" collapsed="false">
      <c r="A9" s="22" t="s">
        <v>18</v>
      </c>
      <c r="B9" s="31" t="s">
        <v>836</v>
      </c>
      <c r="C9" s="31" t="s">
        <v>834</v>
      </c>
      <c r="D9" s="31" t="s">
        <v>837</v>
      </c>
    </row>
    <row r="10" customFormat="false" ht="15" hidden="false" customHeight="false" outlineLevel="0" collapsed="false">
      <c r="A10" s="23" t="s">
        <v>19</v>
      </c>
      <c r="B10" s="31" t="s">
        <v>838</v>
      </c>
      <c r="C10" s="31" t="s">
        <v>839</v>
      </c>
      <c r="D10" s="31" t="s">
        <v>840</v>
      </c>
    </row>
    <row r="11" customFormat="false" ht="15" hidden="false" customHeight="false" outlineLevel="0" collapsed="false">
      <c r="A11" s="22" t="s">
        <v>22</v>
      </c>
      <c r="B11" s="31" t="s">
        <v>841</v>
      </c>
      <c r="C11" s="31" t="s">
        <v>842</v>
      </c>
      <c r="D11" s="31" t="s">
        <v>843</v>
      </c>
    </row>
    <row r="12" customFormat="false" ht="15" hidden="false" customHeight="false" outlineLevel="0" collapsed="false">
      <c r="A12" s="24" t="s">
        <v>20</v>
      </c>
      <c r="B12" s="31" t="s">
        <v>844</v>
      </c>
      <c r="C12" s="31" t="s">
        <v>845</v>
      </c>
      <c r="D12" s="31" t="s">
        <v>846</v>
      </c>
    </row>
    <row r="13" customFormat="false" ht="23.85" hidden="false" customHeight="false" outlineLevel="0" collapsed="false">
      <c r="A13" s="25" t="s">
        <v>21</v>
      </c>
      <c r="B13" s="31" t="s">
        <v>847</v>
      </c>
      <c r="C13" s="31" t="s">
        <v>848</v>
      </c>
      <c r="D13" s="31" t="s">
        <v>849</v>
      </c>
    </row>
    <row r="14" customFormat="false" ht="15" hidden="false" customHeight="false" outlineLevel="0" collapsed="false">
      <c r="A14" s="26" t="s">
        <v>23</v>
      </c>
      <c r="B14" s="31" t="s">
        <v>850</v>
      </c>
      <c r="C14" s="31" t="s">
        <v>851</v>
      </c>
      <c r="D14" s="31" t="s">
        <v>852</v>
      </c>
    </row>
    <row r="15" customFormat="false" ht="15" hidden="false" customHeight="false" outlineLevel="0" collapsed="false">
      <c r="A15" s="27" t="s">
        <v>24</v>
      </c>
      <c r="B15" s="31" t="s">
        <v>853</v>
      </c>
      <c r="C15" s="31" t="s">
        <v>854</v>
      </c>
      <c r="D15" s="31" t="s">
        <v>533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60"/>
    <col collapsed="false" customWidth="true" hidden="false" outlineLevel="0" max="4" min="4" style="0" width="40"/>
  </cols>
  <sheetData>
    <row r="1" customFormat="false" ht="18.55" hidden="false" customHeight="false" outlineLevel="0" collapsed="false">
      <c r="A1" s="1" t="s">
        <v>855</v>
      </c>
    </row>
    <row r="2" customFormat="false" ht="15" hidden="false" customHeight="false" outlineLevel="0" collapsed="false">
      <c r="A2" s="2" t="s">
        <v>856</v>
      </c>
    </row>
    <row r="4" customFormat="false" ht="30" hidden="false" customHeight="true" outlineLevel="0" collapsed="false">
      <c r="A4" s="18" t="s">
        <v>47</v>
      </c>
      <c r="B4" s="18" t="s">
        <v>857</v>
      </c>
      <c r="C4" s="18" t="s">
        <v>858</v>
      </c>
      <c r="D4" s="18" t="s">
        <v>859</v>
      </c>
    </row>
    <row r="5" customFormat="false" ht="23.85" hidden="false" customHeight="false" outlineLevel="0" collapsed="false">
      <c r="A5" s="31" t="n">
        <v>1</v>
      </c>
      <c r="B5" s="31" t="s">
        <v>860</v>
      </c>
      <c r="C5" s="31" t="s">
        <v>861</v>
      </c>
      <c r="D5" s="31"/>
    </row>
    <row r="6" customFormat="false" ht="15" hidden="false" customHeight="false" outlineLevel="0" collapsed="false">
      <c r="A6" s="31" t="n">
        <v>2</v>
      </c>
      <c r="B6" s="31" t="s">
        <v>862</v>
      </c>
      <c r="C6" s="31" t="s">
        <v>863</v>
      </c>
      <c r="D6" s="31"/>
    </row>
    <row r="7" customFormat="false" ht="15" hidden="false" customHeight="false" outlineLevel="0" collapsed="false">
      <c r="A7" s="31" t="n">
        <v>3</v>
      </c>
      <c r="B7" s="31" t="s">
        <v>864</v>
      </c>
      <c r="C7" s="31" t="s">
        <v>865</v>
      </c>
      <c r="D7" s="31"/>
    </row>
    <row r="8" customFormat="false" ht="15" hidden="false" customHeight="false" outlineLevel="0" collapsed="false">
      <c r="A8" s="31" t="n">
        <v>4</v>
      </c>
      <c r="B8" s="31" t="s">
        <v>866</v>
      </c>
      <c r="C8" s="31" t="s">
        <v>867</v>
      </c>
      <c r="D8" s="31"/>
    </row>
    <row r="9" customFormat="false" ht="15" hidden="false" customHeight="false" outlineLevel="0" collapsed="false">
      <c r="A9" s="31" t="n">
        <v>5</v>
      </c>
      <c r="B9" s="31" t="s">
        <v>868</v>
      </c>
      <c r="C9" s="31" t="s">
        <v>869</v>
      </c>
      <c r="D9" s="31"/>
    </row>
    <row r="10" customFormat="false" ht="15" hidden="false" customHeight="false" outlineLevel="0" collapsed="false">
      <c r="A10" s="31" t="n">
        <v>6</v>
      </c>
      <c r="B10" s="31" t="s">
        <v>870</v>
      </c>
      <c r="C10" s="31" t="s">
        <v>871</v>
      </c>
      <c r="D10" s="31"/>
    </row>
    <row r="11" customFormat="false" ht="23.85" hidden="false" customHeight="false" outlineLevel="0" collapsed="false">
      <c r="A11" s="31" t="n">
        <v>7</v>
      </c>
      <c r="B11" s="31" t="s">
        <v>872</v>
      </c>
      <c r="C11" s="31" t="s">
        <v>873</v>
      </c>
      <c r="D11" s="31"/>
    </row>
    <row r="12" customFormat="false" ht="15" hidden="false" customHeight="false" outlineLevel="0" collapsed="false">
      <c r="A12" s="31" t="n">
        <v>8</v>
      </c>
      <c r="B12" s="31" t="s">
        <v>874</v>
      </c>
      <c r="C12" s="31" t="s">
        <v>875</v>
      </c>
      <c r="D12" s="31"/>
    </row>
    <row r="13" customFormat="false" ht="15" hidden="false" customHeight="false" outlineLevel="0" collapsed="false">
      <c r="A13" s="31" t="n">
        <v>9</v>
      </c>
      <c r="B13" s="31" t="s">
        <v>876</v>
      </c>
      <c r="C13" s="31" t="s">
        <v>877</v>
      </c>
      <c r="D13" s="31"/>
    </row>
    <row r="14" customFormat="false" ht="15" hidden="false" customHeight="false" outlineLevel="0" collapsed="false">
      <c r="A14" s="31" t="n">
        <v>10</v>
      </c>
      <c r="B14" s="31" t="s">
        <v>878</v>
      </c>
      <c r="C14" s="31" t="s">
        <v>879</v>
      </c>
      <c r="D14" s="31"/>
    </row>
    <row r="15" customFormat="false" ht="15" hidden="false" customHeight="false" outlineLevel="0" collapsed="false">
      <c r="A15" s="31" t="n">
        <v>11</v>
      </c>
      <c r="B15" s="31" t="s">
        <v>880</v>
      </c>
      <c r="C15" s="31" t="s">
        <v>881</v>
      </c>
      <c r="D15"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2026-10-09T10:00:43Z</dcterms:created>
  <dc:creator>openpyxl</dc:creator>
  <dc:description/>
  <dc:language>en-US</dc:language>
  <cp:lastModifiedBy/>
  <dcterms:modified xsi:type="dcterms:W3CDTF">2026-10-09T10:00:45Z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