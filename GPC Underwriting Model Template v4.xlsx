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Q:\-ACQUISITIONS DEAL FLOW\- UNDERWRITING\xx. TEMPLATE\"/>
    </mc:Choice>
  </mc:AlternateContent>
  <xr:revisionPtr revIDLastSave="0" documentId="13_ncr:1_{F694E3FC-D5CA-4E16-B455-4BAD2987DA28}" xr6:coauthVersionLast="47" xr6:coauthVersionMax="47" xr10:uidLastSave="{00000000-0000-0000-0000-000000000000}"/>
  <bookViews>
    <workbookView xWindow="3270" yWindow="825" windowWidth="39645" windowHeight="18540" activeTab="1" xr2:uid="{547DCAB4-A548-43F9-9302-3121877CEDD9}"/>
  </bookViews>
  <sheets>
    <sheet name="Cover Page" sheetId="2" r:id="rId1"/>
    <sheet name="Dashboard" sheetId="1" r:id="rId2"/>
    <sheet name="Models --&gt;" sheetId="5" r:id="rId3"/>
    <sheet name="Scenario 0" sheetId="28" r:id="rId4"/>
    <sheet name="Scenario 1" sheetId="30" r:id="rId5"/>
    <sheet name="Scenario 2" sheetId="32" r:id="rId6"/>
    <sheet name="Scenario 3" sheetId="46" r:id="rId7"/>
    <sheet name="Rent Roll Calcs --&gt;" sheetId="25" r:id="rId8"/>
    <sheet name="Unit Mix" sheetId="19" r:id="rId9"/>
    <sheet name="Rent Roll" sheetId="18" r:id="rId10"/>
    <sheet name="Summary Outputs --&gt;" sheetId="26" r:id="rId11"/>
    <sheet name="Op Ex per Unit" sheetId="23" r:id="rId12"/>
    <sheet name="Return Summary" sheetId="33" r:id="rId13"/>
    <sheet name="Waterfall --&gt;" sheetId="40" r:id="rId14"/>
    <sheet name="Partnership Terms + Fees" sheetId="43" r:id="rId15"/>
    <sheet name="Promote Cash Flow" sheetId="44" r:id="rId16"/>
    <sheet name="Waterfall Summary" sheetId="45" r:id="rId17"/>
    <sheet name="T-12 and Financials --&gt;" sheetId="35" r:id="rId18"/>
  </sheets>
  <definedNames>
    <definedName name="_" hidden="1">#REF!</definedName>
    <definedName name="__" hidden="1">#REF!</definedName>
    <definedName name="___" hidden="1">#REF!</definedName>
    <definedName name="____" hidden="1">#REF!</definedName>
    <definedName name="_______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a1" localSheetId="14" hidden="1">{"Assump",#N/A,TRUE,"Proforma";"first",#N/A,TRUE,"Proforma";"second",#N/A,TRUE,"Proforma";"lease1",#N/A,TRUE,"Proforma";"lease2",#N/A,TRUE,"Proforma"}</definedName>
    <definedName name="________________a1" hidden="1">{"Assump",#N/A,TRUE,"Proforma";"first",#N/A,TRUE,"Proforma";"second",#N/A,TRUE,"Proforma";"lease1",#N/A,TRUE,"Proforma";"lease2",#N/A,TRUE,"Proforma"}</definedName>
    <definedName name="________________jo2" localSheetId="14" hidden="1">{#N/A,#N/A,FALSE,"DCF-COM";#N/A,#N/A,FALSE,"VAC-COM"}</definedName>
    <definedName name="________________jo2" hidden="1">{#N/A,#N/A,FALSE,"DCF-COM";#N/A,#N/A,FALSE,"VAC-COM"}</definedName>
    <definedName name="________________jo3" localSheetId="14" hidden="1">{"CASHFLOW",#N/A,FALSE,"Northpointe"}</definedName>
    <definedName name="________________jo3" hidden="1">{"CASHFLOW",#N/A,FALSE,"Northpointe"}</definedName>
    <definedName name="________________jo4" localSheetId="14" hidden="1">{#N/A,#N/A,FALSE,"SHEET1";#N/A,#N/A,FALSE,"SHEET2";#N/A,#N/A,FALSE,"SHEET3";#N/A,#N/A,FALSE,"SHEET4"}</definedName>
    <definedName name="________________jo4" hidden="1">{#N/A,#N/A,FALSE,"SHEET1";#N/A,#N/A,FALSE,"SHEET2";#N/A,#N/A,FALSE,"SHEET3";#N/A,#N/A,FALSE,"SHEET4"}</definedName>
    <definedName name="_______________a1" localSheetId="14" hidden="1">{"Assump",#N/A,TRUE,"Proforma";"first",#N/A,TRUE,"Proforma";"second",#N/A,TRUE,"Proforma";"lease1",#N/A,TRUE,"Proforma";"lease2",#N/A,TRUE,"Proforma"}</definedName>
    <definedName name="_______________a1" hidden="1">{"Assump",#N/A,TRUE,"Proforma";"first",#N/A,TRUE,"Proforma";"second",#N/A,TRUE,"Proforma";"lease1",#N/A,TRUE,"Proforma";"lease2",#N/A,TRUE,"Proforma"}</definedName>
    <definedName name="_______________jo2" localSheetId="14" hidden="1">{#N/A,#N/A,FALSE,"DCF-COM";#N/A,#N/A,FALSE,"VAC-COM"}</definedName>
    <definedName name="_______________jo2" hidden="1">{#N/A,#N/A,FALSE,"DCF-COM";#N/A,#N/A,FALSE,"VAC-COM"}</definedName>
    <definedName name="_______________jo3" localSheetId="14" hidden="1">{"CASHFLOW",#N/A,FALSE,"Northpointe"}</definedName>
    <definedName name="_______________jo3" hidden="1">{"CASHFLOW",#N/A,FALSE,"Northpointe"}</definedName>
    <definedName name="_______________jo4" localSheetId="14" hidden="1">{#N/A,#N/A,FALSE,"SHEET1";#N/A,#N/A,FALSE,"SHEET2";#N/A,#N/A,FALSE,"SHEET3";#N/A,#N/A,FALSE,"SHEET4"}</definedName>
    <definedName name="_______________jo4" hidden="1">{#N/A,#N/A,FALSE,"SHEET1";#N/A,#N/A,FALSE,"SHEET2";#N/A,#N/A,FALSE,"SHEET3";#N/A,#N/A,FALSE,"SHEET4"}</definedName>
    <definedName name="__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a1" localSheetId="14" hidden="1">{"Assump",#N/A,TRUE,"Proforma";"first",#N/A,TRUE,"Proforma";"second",#N/A,TRUE,"Proforma";"lease1",#N/A,TRUE,"Proforma";"lease2",#N/A,TRUE,"Proforma"}</definedName>
    <definedName name="______________a1" hidden="1">{"Assump",#N/A,TRUE,"Proforma";"first",#N/A,TRUE,"Proforma";"second",#N/A,TRUE,"Proforma";"lease1",#N/A,TRUE,"Proforma";"lease2",#N/A,TRUE,"Proforma"}</definedName>
    <definedName name="______________jo2" localSheetId="14" hidden="1">{#N/A,#N/A,FALSE,"DCF-COM";#N/A,#N/A,FALSE,"VAC-COM"}</definedName>
    <definedName name="______________jo2" hidden="1">{#N/A,#N/A,FALSE,"DCF-COM";#N/A,#N/A,FALSE,"VAC-COM"}</definedName>
    <definedName name="______________jo3" localSheetId="14" hidden="1">{"CASHFLOW",#N/A,FALSE,"Northpointe"}</definedName>
    <definedName name="______________jo3" hidden="1">{"CASHFLOW",#N/A,FALSE,"Northpointe"}</definedName>
    <definedName name="______________jo4" localSheetId="14" hidden="1">{#N/A,#N/A,FALSE,"SHEET1";#N/A,#N/A,FALSE,"SHEET2";#N/A,#N/A,FALSE,"SHEET3";#N/A,#N/A,FALSE,"SHEET4"}</definedName>
    <definedName name="______________jo4" hidden="1">{#N/A,#N/A,FALSE,"SHEET1";#N/A,#N/A,FALSE,"SHEET2";#N/A,#N/A,FALSE,"SHEET3";#N/A,#N/A,FALSE,"SHEET4"}</definedName>
    <definedName name="_____________a1" localSheetId="14" hidden="1">{"Assump",#N/A,TRUE,"Proforma";"first",#N/A,TRUE,"Proforma";"second",#N/A,TRUE,"Proforma";"lease1",#N/A,TRUE,"Proforma";"lease2",#N/A,TRUE,"Proforma"}</definedName>
    <definedName name="_____________a1" hidden="1">{"Assump",#N/A,TRUE,"Proforma";"first",#N/A,TRUE,"Proforma";"second",#N/A,TRUE,"Proforma";"lease1",#N/A,TRUE,"Proforma";"lease2",#N/A,TRUE,"Proforma"}</definedName>
    <definedName name="_____________jo2" localSheetId="14" hidden="1">{#N/A,#N/A,FALSE,"DCF-COM";#N/A,#N/A,FALSE,"VAC-COM"}</definedName>
    <definedName name="_____________jo2" hidden="1">{#N/A,#N/A,FALSE,"DCF-COM";#N/A,#N/A,FALSE,"VAC-COM"}</definedName>
    <definedName name="_____________jo3" localSheetId="14" hidden="1">{"CASHFLOW",#N/A,FALSE,"Northpointe"}</definedName>
    <definedName name="_____________jo3" hidden="1">{"CASHFLOW",#N/A,FALSE,"Northpointe"}</definedName>
    <definedName name="_____________jo4" localSheetId="14" hidden="1">{#N/A,#N/A,FALSE,"SHEET1";#N/A,#N/A,FALSE,"SHEET2";#N/A,#N/A,FALSE,"SHEET3";#N/A,#N/A,FALSE,"SHEET4"}</definedName>
    <definedName name="_____________jo4" hidden="1">{#N/A,#N/A,FALSE,"SHEET1";#N/A,#N/A,FALSE,"SHEET2";#N/A,#N/A,FALSE,"SHEET3";#N/A,#N/A,FALSE,"SHEET4"}</definedName>
    <definedName name="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a1" localSheetId="14" hidden="1">{"Assump",#N/A,TRUE,"Proforma";"first",#N/A,TRUE,"Proforma";"second",#N/A,TRUE,"Proforma";"lease1",#N/A,TRUE,"Proforma";"lease2",#N/A,TRUE,"Proforma"}</definedName>
    <definedName name="____________a1" hidden="1">{"Assump",#N/A,TRUE,"Proforma";"first",#N/A,TRUE,"Proforma";"second",#N/A,TRUE,"Proforma";"lease1",#N/A,TRUE,"Proforma";"lease2",#N/A,TRUE,"Proforma"}</definedName>
    <definedName name="____________jo2" localSheetId="14" hidden="1">{#N/A,#N/A,FALSE,"DCF-COM";#N/A,#N/A,FALSE,"VAC-COM"}</definedName>
    <definedName name="____________jo2" hidden="1">{#N/A,#N/A,FALSE,"DCF-COM";#N/A,#N/A,FALSE,"VAC-COM"}</definedName>
    <definedName name="____________jo3" localSheetId="14" hidden="1">{"CASHFLOW",#N/A,FALSE,"Northpointe"}</definedName>
    <definedName name="____________jo3" hidden="1">{"CASHFLOW",#N/A,FALSE,"Northpointe"}</definedName>
    <definedName name="____________jo4" localSheetId="14" hidden="1">{#N/A,#N/A,FALSE,"SHEET1";#N/A,#N/A,FALSE,"SHEET2";#N/A,#N/A,FALSE,"SHEET3";#N/A,#N/A,FALSE,"SHEET4"}</definedName>
    <definedName name="____________jo4" hidden="1">{#N/A,#N/A,FALSE,"SHEET1";#N/A,#N/A,FALSE,"SHEET2";#N/A,#N/A,FALSE,"SHEET3";#N/A,#N/A,FALSE,"SHEET4"}</definedName>
    <definedName name="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a1" localSheetId="14" hidden="1">{"Assump",#N/A,TRUE,"Proforma";"first",#N/A,TRUE,"Proforma";"second",#N/A,TRUE,"Proforma";"lease1",#N/A,TRUE,"Proforma";"lease2",#N/A,TRUE,"Proforma"}</definedName>
    <definedName name="___________a1" hidden="1">{"Assump",#N/A,TRUE,"Proforma";"first",#N/A,TRUE,"Proforma";"second",#N/A,TRUE,"Proforma";"lease1",#N/A,TRUE,"Proforma";"lease2",#N/A,TRUE,"Proforma"}</definedName>
    <definedName name="___________jo2" localSheetId="14" hidden="1">{#N/A,#N/A,FALSE,"DCF-COM";#N/A,#N/A,FALSE,"VAC-COM"}</definedName>
    <definedName name="___________jo2" hidden="1">{#N/A,#N/A,FALSE,"DCF-COM";#N/A,#N/A,FALSE,"VAC-COM"}</definedName>
    <definedName name="___________jo3" localSheetId="14" hidden="1">{"CASHFLOW",#N/A,FALSE,"Northpointe"}</definedName>
    <definedName name="___________jo3" hidden="1">{"CASHFLOW",#N/A,FALSE,"Northpointe"}</definedName>
    <definedName name="___________jo4" localSheetId="14" hidden="1">{#N/A,#N/A,FALSE,"SHEET1";#N/A,#N/A,FALSE,"SHEET2";#N/A,#N/A,FALSE,"SHEET3";#N/A,#N/A,FALSE,"SHEET4"}</definedName>
    <definedName name="___________jo4" hidden="1">{#N/A,#N/A,FALSE,"SHEET1";#N/A,#N/A,FALSE,"SHEET2";#N/A,#N/A,FALSE,"SHEET3";#N/A,#N/A,FALSE,"SHEET4"}</definedName>
    <definedName name="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a1" localSheetId="14" hidden="1">{"Assump",#N/A,TRUE,"Proforma";"first",#N/A,TRUE,"Proforma";"second",#N/A,TRUE,"Proforma";"lease1",#N/A,TRUE,"Proforma";"lease2",#N/A,TRUE,"Proforma"}</definedName>
    <definedName name="_________a1" hidden="1">{"Assump",#N/A,TRUE,"Proforma";"first",#N/A,TRUE,"Proforma";"second",#N/A,TRUE,"Proforma";"lease1",#N/A,TRUE,"Proforma";"lease2",#N/A,TRUE,"Proforma"}</definedName>
    <definedName name="_________jo2" localSheetId="14" hidden="1">{#N/A,#N/A,FALSE,"DCF-COM";#N/A,#N/A,FALSE,"VAC-COM"}</definedName>
    <definedName name="_________jo2" hidden="1">{#N/A,#N/A,FALSE,"DCF-COM";#N/A,#N/A,FALSE,"VAC-COM"}</definedName>
    <definedName name="_________jo3" localSheetId="14" hidden="1">{"CASHFLOW",#N/A,FALSE,"Northpointe"}</definedName>
    <definedName name="_________jo3" hidden="1">{"CASHFLOW",#N/A,FALSE,"Northpointe"}</definedName>
    <definedName name="_________jo4" localSheetId="14" hidden="1">{#N/A,#N/A,FALSE,"SHEET1";#N/A,#N/A,FALSE,"SHEET2";#N/A,#N/A,FALSE,"SHEET3";#N/A,#N/A,FALSE,"SHEET4"}</definedName>
    <definedName name="_________jo4" hidden="1">{#N/A,#N/A,FALSE,"SHEET1";#N/A,#N/A,FALSE,"SHEET2";#N/A,#N/A,FALSE,"SHEET3";#N/A,#N/A,FALSE,"SHEET4"}</definedName>
    <definedName name="_________key1" hidden="1">#REF!</definedName>
    <definedName name="_________key2" hidden="1">#REF!</definedName>
    <definedName name="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a1" localSheetId="14" hidden="1">{"Assump",#N/A,TRUE,"Proforma";"first",#N/A,TRUE,"Proforma";"second",#N/A,TRUE,"Proforma";"lease1",#N/A,TRUE,"Proforma";"lease2",#N/A,TRUE,"Proforma"}</definedName>
    <definedName name="________a1" hidden="1">{"Assump",#N/A,TRUE,"Proforma";"first",#N/A,TRUE,"Proforma";"second",#N/A,TRUE,"Proforma";"lease1",#N/A,TRUE,"Proforma";"lease2",#N/A,TRUE,"Proforma"}</definedName>
    <definedName name="________jo2" localSheetId="14" hidden="1">{#N/A,#N/A,FALSE,"DCF-COM";#N/A,#N/A,FALSE,"VAC-COM"}</definedName>
    <definedName name="________jo2" hidden="1">{#N/A,#N/A,FALSE,"DCF-COM";#N/A,#N/A,FALSE,"VAC-COM"}</definedName>
    <definedName name="________jo3" localSheetId="14" hidden="1">{"CASHFLOW",#N/A,FALSE,"Northpointe"}</definedName>
    <definedName name="________jo3" hidden="1">{"CASHFLOW",#N/A,FALSE,"Northpointe"}</definedName>
    <definedName name="________jo4" localSheetId="14" hidden="1">{#N/A,#N/A,FALSE,"SHEET1";#N/A,#N/A,FALSE,"SHEET2";#N/A,#N/A,FALSE,"SHEET3";#N/A,#N/A,FALSE,"SHEET4"}</definedName>
    <definedName name="________jo4" hidden="1">{#N/A,#N/A,FALSE,"SHEET1";#N/A,#N/A,FALSE,"SHEET2";#N/A,#N/A,FALSE,"SHEET3";#N/A,#N/A,FALSE,"SHEET4"}</definedName>
    <definedName name="________key1" hidden="1">#REF!</definedName>
    <definedName name="________key2" hidden="1">#REF!</definedName>
    <definedName name="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a1" localSheetId="14" hidden="1">{"Assump",#N/A,TRUE,"Proforma";"first",#N/A,TRUE,"Proforma";"second",#N/A,TRUE,"Proforma";"lease1",#N/A,TRUE,"Proforma";"lease2",#N/A,TRUE,"Proforma"}</definedName>
    <definedName name="_______a1" hidden="1">{"Assump",#N/A,TRUE,"Proforma";"first",#N/A,TRUE,"Proforma";"second",#N/A,TRUE,"Proforma";"lease1",#N/A,TRUE,"Proforma";"lease2",#N/A,TRUE,"Proforma"}</definedName>
    <definedName name="_______jo2" localSheetId="14" hidden="1">{#N/A,#N/A,FALSE,"DCF-COM";#N/A,#N/A,FALSE,"VAC-COM"}</definedName>
    <definedName name="_______jo2" hidden="1">{#N/A,#N/A,FALSE,"DCF-COM";#N/A,#N/A,FALSE,"VAC-COM"}</definedName>
    <definedName name="_______jo3" localSheetId="14" hidden="1">{"CASHFLOW",#N/A,FALSE,"Northpointe"}</definedName>
    <definedName name="_______jo3" hidden="1">{"CASHFLOW",#N/A,FALSE,"Northpointe"}</definedName>
    <definedName name="_______jo4" localSheetId="14" hidden="1">{#N/A,#N/A,FALSE,"SHEET1";#N/A,#N/A,FALSE,"SHEET2";#N/A,#N/A,FALSE,"SHEET3";#N/A,#N/A,FALSE,"SHEET4"}</definedName>
    <definedName name="_______jo4" hidden="1">{#N/A,#N/A,FALSE,"SHEET1";#N/A,#N/A,FALSE,"SHEET2";#N/A,#N/A,FALSE,"SHEET3";#N/A,#N/A,FALSE,"SHEET4"}</definedName>
    <definedName name="_______key1" hidden="1">#REF!</definedName>
    <definedName name="_______key2" hidden="1">#REF!</definedName>
    <definedName name="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a1" localSheetId="14" hidden="1">{"Assump",#N/A,TRUE,"Proforma";"first",#N/A,TRUE,"Proforma";"second",#N/A,TRUE,"Proforma";"lease1",#N/A,TRUE,"Proforma";"lease2",#N/A,TRUE,"Proforma"}</definedName>
    <definedName name="______a1" hidden="1">{"Assump",#N/A,TRUE,"Proforma";"first",#N/A,TRUE,"Proforma";"second",#N/A,TRUE,"Proforma";"lease1",#N/A,TRUE,"Proforma";"lease2",#N/A,TRUE,"Proforma"}</definedName>
    <definedName name="______jo2" localSheetId="14" hidden="1">{#N/A,#N/A,FALSE,"DCF-COM";#N/A,#N/A,FALSE,"VAC-COM"}</definedName>
    <definedName name="______jo2" hidden="1">{#N/A,#N/A,FALSE,"DCF-COM";#N/A,#N/A,FALSE,"VAC-COM"}</definedName>
    <definedName name="______jo3" localSheetId="14" hidden="1">{"CASHFLOW",#N/A,FALSE,"Northpointe"}</definedName>
    <definedName name="______jo3" hidden="1">{"CASHFLOW",#N/A,FALSE,"Northpointe"}</definedName>
    <definedName name="______jo4" localSheetId="14" hidden="1">{#N/A,#N/A,FALSE,"SHEET1";#N/A,#N/A,FALSE,"SHEET2";#N/A,#N/A,FALSE,"SHEET3";#N/A,#N/A,FALSE,"SHEET4"}</definedName>
    <definedName name="______jo4" hidden="1">{#N/A,#N/A,FALSE,"SHEET1";#N/A,#N/A,FALSE,"SHEET2";#N/A,#N/A,FALSE,"SHEET3";#N/A,#N/A,FALSE,"SHEET4"}</definedName>
    <definedName name="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a1" localSheetId="14" hidden="1">{"Assump",#N/A,TRUE,"Proforma";"first",#N/A,TRUE,"Proforma";"second",#N/A,TRUE,"Proforma";"lease1",#N/A,TRUE,"Proforma";"lease2",#N/A,TRUE,"Proforma"}</definedName>
    <definedName name="_____a1" hidden="1">{"Assump",#N/A,TRUE,"Proforma";"first",#N/A,TRUE,"Proforma";"second",#N/A,TRUE,"Proforma";"lease1",#N/A,TRUE,"Proforma";"lease2",#N/A,TRUE,"Proforma"}</definedName>
    <definedName name="_____al1" hidden="1">{"sheet a",#N/A,FALSE,"A";"sheet b 1",#N/A,FALSE,"B";"sheet b 2",#N/A,FALSE,"B"}</definedName>
    <definedName name="_____jo2" localSheetId="14" hidden="1">{#N/A,#N/A,FALSE,"DCF-COM";#N/A,#N/A,FALSE,"VAC-COM"}</definedName>
    <definedName name="_____jo2" hidden="1">{#N/A,#N/A,FALSE,"DCF-COM";#N/A,#N/A,FALSE,"VAC-COM"}</definedName>
    <definedName name="_____jo3" localSheetId="14" hidden="1">{"CASHFLOW",#N/A,FALSE,"Northpointe"}</definedName>
    <definedName name="_____jo3" hidden="1">{"CASHFLOW",#N/A,FALSE,"Northpointe"}</definedName>
    <definedName name="_____jo4" localSheetId="14" hidden="1">{#N/A,#N/A,FALSE,"SHEET1";#N/A,#N/A,FALSE,"SHEET2";#N/A,#N/A,FALSE,"SHEET3";#N/A,#N/A,FALSE,"SHEET4"}</definedName>
    <definedName name="_____jo4" hidden="1">{#N/A,#N/A,FALSE,"SHEET1";#N/A,#N/A,FALSE,"SHEET2";#N/A,#N/A,FALSE,"SHEET3";#N/A,#N/A,FALSE,"SHEET4"}</definedName>
    <definedName name="_____key1" hidden="1">#REF!</definedName>
    <definedName name="_____key2" hidden="1">#REF!</definedName>
    <definedName name="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wrn1" hidden="1">{"schedule1",#N/A,FALSE,"Sheet1";"schedule2",#N/A,FALSE,"Sheet1";"schedule3",#N/A,FALSE,"Sheet1";"schedule4",#N/A,FALSE,"Sheet1";"schedule5",#N/A,FALSE,"Sheet1";"schedule6",#N/A,FALSE,"Sheet1"}</definedName>
    <definedName name="____a1" localSheetId="14" hidden="1">{"Assump",#N/A,TRUE,"Proforma";"first",#N/A,TRUE,"Proforma";"second",#N/A,TRUE,"Proforma";"lease1",#N/A,TRUE,"Proforma";"lease2",#N/A,TRUE,"Proforma"}</definedName>
    <definedName name="____a1" hidden="1">{"Assump",#N/A,TRUE,"Proforma";"first",#N/A,TRUE,"Proforma";"second",#N/A,TRUE,"Proforma";"lease1",#N/A,TRUE,"Proforma";"lease2",#N/A,TRUE,"Proforma"}</definedName>
    <definedName name="____al1" hidden="1">{"sheet a",#N/A,FALSE,"A";"sheet b 1",#N/A,FALSE,"B";"sheet b 2",#N/A,FALSE,"B"}</definedName>
    <definedName name="____jo2" localSheetId="14" hidden="1">{#N/A,#N/A,FALSE,"DCF-COM";#N/A,#N/A,FALSE,"VAC-COM"}</definedName>
    <definedName name="____jo2" hidden="1">{#N/A,#N/A,FALSE,"DCF-COM";#N/A,#N/A,FALSE,"VAC-COM"}</definedName>
    <definedName name="____jo3" localSheetId="14" hidden="1">{"CASHFLOW",#N/A,FALSE,"Northpointe"}</definedName>
    <definedName name="____jo3" hidden="1">{"CASHFLOW",#N/A,FALSE,"Northpointe"}</definedName>
    <definedName name="____jo4" localSheetId="14" hidden="1">{#N/A,#N/A,FALSE,"SHEET1";#N/A,#N/A,FALSE,"SHEET2";#N/A,#N/A,FALSE,"SHEET3";#N/A,#N/A,FALSE,"SHEET4"}</definedName>
    <definedName name="____jo4" hidden="1">{#N/A,#N/A,FALSE,"SHEET1";#N/A,#N/A,FALSE,"SHEET2";#N/A,#N/A,FALSE,"SHEET3";#N/A,#N/A,FALSE,"SHEET4"}</definedName>
    <definedName name="____key1" hidden="1">#REF!</definedName>
    <definedName name="____key2" hidden="1">#REF!</definedName>
    <definedName name="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2__123Graph_ACHART_2" localSheetId="14" hidden="1">#REF!</definedName>
    <definedName name="___2__123Graph_ACHART_2" localSheetId="16" hidden="1">#REF!</definedName>
    <definedName name="___2__123Graph_ACHART_2" hidden="1">#REF!</definedName>
    <definedName name="___a1" localSheetId="14" hidden="1">{"Assump",#N/A,TRUE,"Proforma";"first",#N/A,TRUE,"Proforma";"second",#N/A,TRUE,"Proforma";"lease1",#N/A,TRUE,"Proforma";"lease2",#N/A,TRUE,"Proforma"}</definedName>
    <definedName name="___a1" hidden="1">{"Assump",#N/A,TRUE,"Proforma";"first",#N/A,TRUE,"Proforma";"second",#N/A,TRUE,"Proforma";"lease1",#N/A,TRUE,"Proforma";"lease2",#N/A,TRUE,"Proforma"}</definedName>
    <definedName name="___al1" hidden="1">{"sheet a",#N/A,FALSE,"A";"sheet b 1",#N/A,FALSE,"B";"sheet b 2",#N/A,FALSE,"B"}</definedName>
    <definedName name="___del1" localSheetId="14" hidden="1">{"Page1",#N/A,FALSE,"7979";"Page2",#N/A,FALSE,"7979";"Page3",#N/A,FALSE,"7979"}</definedName>
    <definedName name="___del1" hidden="1">{"Page1",#N/A,FALSE,"7979";"Page2",#N/A,FALSE,"7979";"Page3",#N/A,FALSE,"7979"}</definedName>
    <definedName name="___JE1299" hidden="1">#REF!</definedName>
    <definedName name="___jo2" localSheetId="14" hidden="1">{#N/A,#N/A,FALSE,"DCF-COM";#N/A,#N/A,FALSE,"VAC-COM"}</definedName>
    <definedName name="___jo2" hidden="1">{#N/A,#N/A,FALSE,"DCF-COM";#N/A,#N/A,FALSE,"VAC-COM"}</definedName>
    <definedName name="___jo3" localSheetId="14" hidden="1">{"CASHFLOW",#N/A,FALSE,"Northpointe"}</definedName>
    <definedName name="___jo3" hidden="1">{"CASHFLOW",#N/A,FALSE,"Northpointe"}</definedName>
    <definedName name="___jo4" localSheetId="14" hidden="1">{#N/A,#N/A,FALSE,"SHEET1";#N/A,#N/A,FALSE,"SHEET2";#N/A,#N/A,FALSE,"SHEET3";#N/A,#N/A,FALSE,"SHEET4"}</definedName>
    <definedName name="___jo4" hidden="1">{#N/A,#N/A,FALSE,"SHEET1";#N/A,#N/A,FALSE,"SHEET2";#N/A,#N/A,FALSE,"SHEET3";#N/A,#N/A,FALSE,"SHEET4"}</definedName>
    <definedName name="___key1" hidden="1">#REF!</definedName>
    <definedName name="___key2" hidden="1">#REF!</definedName>
    <definedName name="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1__123Graph_ACHART_1" hidden="1">#REF!</definedName>
    <definedName name="__10__123Graph_XCHART_2" hidden="1">#REF!</definedName>
    <definedName name="__11__123Graph_XCHART_3" hidden="1">#REF!</definedName>
    <definedName name="__123Graph_A" localSheetId="14" hidden="1">#REF!</definedName>
    <definedName name="__123Graph_A" hidden="1">#REF!</definedName>
    <definedName name="__123Graph_ACASHFLOW" localSheetId="16" hidden="1">#REF!</definedName>
    <definedName name="__123Graph_ACASHFLOW" hidden="1">#REF!</definedName>
    <definedName name="__123Graph_ACOLLECTIONS" hidden="1">#REF!</definedName>
    <definedName name="__123Graph_ACONC" hidden="1">#REF!</definedName>
    <definedName name="__123Graph_AGRAPH1" hidden="1">#REF!</definedName>
    <definedName name="__123Graph_AOAR" hidden="1">#REF!</definedName>
    <definedName name="__123Graph_AOAREDR" localSheetId="16" hidden="1">#REF!</definedName>
    <definedName name="__123Graph_AOAREDR" hidden="1">#REF!</definedName>
    <definedName name="__123Graph_ARELACUIN" hidden="1">#REF!</definedName>
    <definedName name="__123Graph_ARELTACUM.PIC" hidden="1">#REF!</definedName>
    <definedName name="__123Graph_B" hidden="1">#REF!</definedName>
    <definedName name="__123Graph_BCASHFLOW" localSheetId="16" hidden="1">#REF!</definedName>
    <definedName name="__123Graph_BCASHFLOW" hidden="1">#REF!</definedName>
    <definedName name="__123Graph_BCOLLECTIONS" hidden="1">#REF!</definedName>
    <definedName name="__123Graph_BOAREDR" localSheetId="16" hidden="1">#REF!</definedName>
    <definedName name="__123Graph_BOAREDR" hidden="1">#REF!</definedName>
    <definedName name="__123Graph_BRELACUIN" hidden="1">#REF!</definedName>
    <definedName name="__123Graph_BRELTACUM.PIC" hidden="1">#REF!</definedName>
    <definedName name="__123Graph_C" hidden="1">#REF!</definedName>
    <definedName name="__123Graph_CCASHFLOW" localSheetId="16" hidden="1">#REF!</definedName>
    <definedName name="__123Graph_CCASHFLOW" hidden="1">#REF!</definedName>
    <definedName name="__123Graph_COAREDR" localSheetId="16" hidden="1">#REF!</definedName>
    <definedName name="__123Graph_COAREDR" hidden="1">#REF!</definedName>
    <definedName name="__123Graph_CRELACUIN" hidden="1">#REF!</definedName>
    <definedName name="__123Graph_CRELTACUM.PIC" hidden="1">#REF!</definedName>
    <definedName name="__123Graph_D" hidden="1">#REF!</definedName>
    <definedName name="__123Graph_DRELACUIN" hidden="1">#REF!</definedName>
    <definedName name="__123Graph_DRELTACUM.PIC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METPLX" hidden="1">#REF!</definedName>
    <definedName name="__123Graph_LBL_ANDALLAS" hidden="1">#REF!</definedName>
    <definedName name="__123Graph_LBL_B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X" localSheetId="14" hidden="1">#REF!</definedName>
    <definedName name="__123Graph_X" hidden="1">#REF!</definedName>
    <definedName name="__123Graph_XCASHFLOW" localSheetId="16" hidden="1">#REF!</definedName>
    <definedName name="__123Graph_XCASHFLOW" hidden="1">#REF!</definedName>
    <definedName name="__123Graph_XCOLLECTIONS" hidden="1">#REF!</definedName>
    <definedName name="__123Graph_XCONC" hidden="1">#REF!</definedName>
    <definedName name="__123Graph_XGRAPH1" hidden="1">#REF!</definedName>
    <definedName name="__123Graph_XOAR" hidden="1">#REF!</definedName>
    <definedName name="__123Graph_XOAREDR" localSheetId="16" hidden="1">#REF!</definedName>
    <definedName name="__123Graph_XOAREDR" hidden="1">#REF!</definedName>
    <definedName name="__123Graph_XRELACUIN" hidden="1">#REF!</definedName>
    <definedName name="__123Graph_XRELTACUM.PIC" hidden="1">#REF!</definedName>
    <definedName name="__2__123Graph_ACHART_2" hidden="1">#REF!</definedName>
    <definedName name="__3__123Graph_ACHART_3" hidden="1">#REF!</definedName>
    <definedName name="__4__123Graph_BCHART_1" hidden="1">#REF!</definedName>
    <definedName name="__5__123Graph_CCHART_1" hidden="1">#REF!</definedName>
    <definedName name="__6__123Graph_DCHART_1" hidden="1">#REF!</definedName>
    <definedName name="__7__123Graph_ECHART_1" hidden="1">#REF!</definedName>
    <definedName name="__8__123Graph_FCHART_1" hidden="1">#REF!</definedName>
    <definedName name="__9__123Graph_XCHART_1" hidden="1">#REF!</definedName>
    <definedName name="__a1" localSheetId="14" hidden="1">{"Assump",#N/A,TRUE,"Proforma";"first",#N/A,TRUE,"Proforma";"second",#N/A,TRUE,"Proforma";"lease1",#N/A,TRUE,"Proforma";"lease2",#N/A,TRUE,"Proforma"}</definedName>
    <definedName name="__a1" hidden="1">{"Assump",#N/A,TRUE,"Proforma";"first",#N/A,TRUE,"Proforma";"second",#N/A,TRUE,"Proforma";"lease1",#N/A,TRUE,"Proforma";"lease2",#N/A,TRUE,"Proforma"}</definedName>
    <definedName name="__adv2" localSheetId="14" hidden="1">{"Proforma",#N/A,FALSE,"Sheet1"}</definedName>
    <definedName name="__adv2" hidden="1">{"Proforma",#N/A,FALSE,"Sheet1"}</definedName>
    <definedName name="__adv3" localSheetId="14" hidden="1">{"Proforma",#N/A,FALSE,"Sheet1"}</definedName>
    <definedName name="__adv3" hidden="1">{"Proforma",#N/A,FALSE,"Sheet1"}</definedName>
    <definedName name="__adv4" localSheetId="14" hidden="1">{"Proforma",#N/A,FALSE,"Sheet1"}</definedName>
    <definedName name="__adv4" hidden="1">{"Proforma",#N/A,FALSE,"Sheet1"}</definedName>
    <definedName name="__del1" localSheetId="14" hidden="1">{"Page1",#N/A,FALSE,"7979";"Page2",#N/A,FALSE,"7979";"Page3",#N/A,FALSE,"7979"}</definedName>
    <definedName name="__del1" hidden="1">{"Page1",#N/A,FALSE,"7979";"Page2",#N/A,FALSE,"7979";"Page3",#N/A,FALSE,"7979"}</definedName>
    <definedName name="__FDS_HYPERLINK_TOGGLE_STATE__" hidden="1">"ON"</definedName>
    <definedName name="__FT08" hidden="1">"3OYHDJRF05V1IN1D1R6C32J5E"</definedName>
    <definedName name="_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_IntlFixup" hidden="1">TRUE</definedName>
    <definedName name="__IntlFixupTable" localSheetId="16" hidden="1">#REF!</definedName>
    <definedName name="__IntlFixupTable" hidden="1">#REF!</definedName>
    <definedName name="__JE1299" localSheetId="16" hidden="1">#REF!</definedName>
    <definedName name="__JE1299" hidden="1">#REF!</definedName>
    <definedName name="__jo2" localSheetId="14" hidden="1">{#N/A,#N/A,FALSE,"DCF-COM";#N/A,#N/A,FALSE,"VAC-COM"}</definedName>
    <definedName name="__jo2" hidden="1">{#N/A,#N/A,FALSE,"DCF-COM";#N/A,#N/A,FALSE,"VAC-COM"}</definedName>
    <definedName name="__jo3" localSheetId="14" hidden="1">{"CASHFLOW",#N/A,FALSE,"Northpointe"}</definedName>
    <definedName name="__jo3" hidden="1">{"CASHFLOW",#N/A,FALSE,"Northpointe"}</definedName>
    <definedName name="__jo4" localSheetId="14" hidden="1">{#N/A,#N/A,FALSE,"SHEET1";#N/A,#N/A,FALSE,"SHEET2";#N/A,#N/A,FALSE,"SHEET3";#N/A,#N/A,FALSE,"SHEET4"}</definedName>
    <definedName name="__jo4" hidden="1">{#N/A,#N/A,FALSE,"SHEET1";#N/A,#N/A,FALSE,"SHEET2";#N/A,#N/A,FALSE,"SHEET3";#N/A,#N/A,FALSE,"SHEET4"}</definedName>
    <definedName name="__key1" hidden="1">#REF!</definedName>
    <definedName name="__key2" hidden="1">#REF!</definedName>
    <definedName name="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xlnm.Print_Area">#REF!</definedName>
    <definedName name="_1__123Graph_ACHART_1" localSheetId="14" hidden="1">#REF!</definedName>
    <definedName name="_1__123Graph_ACHART_1" hidden="1">#REF!</definedName>
    <definedName name="_1__123Graph_ACHART_2" localSheetId="14" hidden="1">#REF!</definedName>
    <definedName name="_1__123Graph_ACHART_2" localSheetId="16" hidden="1">#REF!</definedName>
    <definedName name="_1__123Graph_ACHART_2" hidden="1">#REF!</definedName>
    <definedName name="_1__FDSAUDITLINK__" localSheetId="14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0ACwvu.Pag" localSheetId="14" hidden="1">#REF!</definedName>
    <definedName name="_1_0ACwvu.Pag" localSheetId="16" hidden="1">#REF!</definedName>
    <definedName name="_1_0ACwvu.Pag" hidden="1">#REF!</definedName>
    <definedName name="_10__123Graph_ACHART_6" localSheetId="16" hidden="1">#REF!</definedName>
    <definedName name="_10__123Graph_ACHART_6" hidden="1">#REF!</definedName>
    <definedName name="_10__123Graph_BCHART_5" localSheetId="16" hidden="1">#REF!</definedName>
    <definedName name="_10__123Graph_BCHART_5" hidden="1">#REF!</definedName>
    <definedName name="_10__123Graph_BGRAFICO_20" localSheetId="14" hidden="1">#REF!</definedName>
    <definedName name="_10__123Graph_BGRAFICO_20" localSheetId="16" hidden="1">#REF!</definedName>
    <definedName name="_10__123Graph_BGRAFICO_20" hidden="1">#REF!</definedName>
    <definedName name="_10__123Graph_CCHART_3" localSheetId="16" hidden="1">#REF!</definedName>
    <definedName name="_10__123Graph_CCHART_3" hidden="1">#REF!</definedName>
    <definedName name="_10__123Graph_XCHART_1" localSheetId="16" hidden="1">#REF!</definedName>
    <definedName name="_10__123Graph_XCHART_1" hidden="1">#REF!</definedName>
    <definedName name="_10__123Graph_XCHART_2" hidden="1">#REF!</definedName>
    <definedName name="_10__FDSAUDITLINK__" localSheetId="14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0__123Graph_DCHART_17" hidden="1">#REF!</definedName>
    <definedName name="_11__123Graph_BCHART_6" hidden="1">#REF!</definedName>
    <definedName name="_11__123Graph_BGRAFICO_7" localSheetId="14" hidden="1">#REF!</definedName>
    <definedName name="_11__123Graph_BGRAFICO_7" localSheetId="16" hidden="1">#REF!</definedName>
    <definedName name="_11__123Graph_BGRAFICO_7" hidden="1">#REF!</definedName>
    <definedName name="_11__123Graph_DCHART_1" hidden="1">#REF!</definedName>
    <definedName name="_11__123Graph_XCHART_3" hidden="1">#REF!</definedName>
    <definedName name="_11__FDSAUDITLINK__" localSheetId="14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ACHART_7" hidden="1">#REF!</definedName>
    <definedName name="_12__123Graph_BCHART_7" hidden="1">#REF!</definedName>
    <definedName name="_12__123Graph_BGRAFICO_8" localSheetId="14" hidden="1">#REF!</definedName>
    <definedName name="_12__123Graph_BGRAFICO_8" localSheetId="16" hidden="1">#REF!</definedName>
    <definedName name="_12__123Graph_BGRAFICO_8" hidden="1">#REF!</definedName>
    <definedName name="_12__123Graph_ECHART_1" hidden="1">#REF!</definedName>
    <definedName name="_12__FDSAUDITLINK__" localSheetId="14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3__123Graph_CCHART_4" hidden="1">#REF!</definedName>
    <definedName name="_13__123Graph_CGRAFICO_20" localSheetId="14" hidden="1">#REF!</definedName>
    <definedName name="_13__123Graph_CGRAFICO_20" localSheetId="16" hidden="1">#REF!</definedName>
    <definedName name="_13__123Graph_CGRAFICO_20" hidden="1">#REF!</definedName>
    <definedName name="_13__123Graph_FCHART_1" hidden="1">#REF!</definedName>
    <definedName name="_14__123Graph_BCHART_4" hidden="1">#REF!</definedName>
    <definedName name="_14__123Graph_LBL_ACHART_2" hidden="1">#REF!</definedName>
    <definedName name="_14__123Graph_XCHART_5" hidden="1">#REF!</definedName>
    <definedName name="_15__123Graph_DGRAFICO_20" localSheetId="14" hidden="1">#REF!</definedName>
    <definedName name="_15__123Graph_DGRAFICO_20" localSheetId="16" hidden="1">#REF!</definedName>
    <definedName name="_15__123Graph_DGRAFICO_20" hidden="1">#REF!</definedName>
    <definedName name="_15__123Graph_LBL_ACHART_3" localSheetId="16" hidden="1">#REF!</definedName>
    <definedName name="_15__123Graph_LBL_ACHART_3" hidden="1">#REF!</definedName>
    <definedName name="_15__123Graph_XCHART_6" localSheetId="16" hidden="1">#REF!</definedName>
    <definedName name="_15__123Graph_XCHART_6" hidden="1">#REF!</definedName>
    <definedName name="_150__123Graph_XCHART_15" localSheetId="16" hidden="1">#REF!</definedName>
    <definedName name="_150__123Graph_XCHART_15" hidden="1">#REF!</definedName>
    <definedName name="_16__123Graph_BCHART_5" localSheetId="16" hidden="1">#REF!</definedName>
    <definedName name="_16__123Graph_BCHART_5" hidden="1">#REF!</definedName>
    <definedName name="_16__123Graph_EGRAFICO_20" localSheetId="14" hidden="1">#REF!</definedName>
    <definedName name="_16__123Graph_EGRAFICO_20" localSheetId="16" hidden="1">#REF!</definedName>
    <definedName name="_16__123Graph_EGRAFICO_20" hidden="1">#REF!</definedName>
    <definedName name="_16__123Graph_LBL_ACHART_4" hidden="1">#REF!</definedName>
    <definedName name="_16__123Graph_XCHART_7" hidden="1">#REF!</definedName>
    <definedName name="_17__123Graph_FGRAFICO_20" localSheetId="16" hidden="1">#REF!</definedName>
    <definedName name="_17__123Graph_FGRAFICO_20" hidden="1">#REF!</definedName>
    <definedName name="_17__123Graph_LBL_BCHART_2" hidden="1">#REF!</definedName>
    <definedName name="_18__123Graph_BCHART_6" hidden="1">#REF!</definedName>
    <definedName name="_18__123Graph_LBL_BCHART_3" hidden="1">#REF!</definedName>
    <definedName name="_19__123Graph_LBL_ACHART_3" localSheetId="16" hidden="1">#REF!</definedName>
    <definedName name="_19__123Graph_LBL_ACHART_3" hidden="1">#REF!</definedName>
    <definedName name="_19__123Graph_LBL_CCHART_2" hidden="1">#REF!</definedName>
    <definedName name="_2__123Graph_A5_15" localSheetId="16" hidden="1">#REF!</definedName>
    <definedName name="_2__123Graph_A5_15" hidden="1">#REF!</definedName>
    <definedName name="_2__123Graph_ACHART_1" hidden="1">#REF!</definedName>
    <definedName name="_2__123Graph_ACHART_2" localSheetId="14" hidden="1">#REF!</definedName>
    <definedName name="_2__123Graph_ACHART_2" hidden="1">#REF!</definedName>
    <definedName name="_2__123Graph_ACHART_3I" hidden="1">#REF!</definedName>
    <definedName name="_2__FDSAUDITLINK__" localSheetId="14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0Swvu.Pag" localSheetId="14" hidden="1">#REF!</definedName>
    <definedName name="_2_0Swvu.Pag" localSheetId="16" hidden="1">#REF!</definedName>
    <definedName name="_2_0Swvu.Pag" hidden="1">#REF!</definedName>
    <definedName name="_20__123Graph_ACHART_5" localSheetId="16" hidden="1">#REF!</definedName>
    <definedName name="_20__123Graph_ACHART_5" hidden="1">#REF!</definedName>
    <definedName name="_20__123Graph_BCHART_7" localSheetId="16" hidden="1">#REF!</definedName>
    <definedName name="_20__123Graph_BCHART_7" hidden="1">#REF!</definedName>
    <definedName name="_20__123Graph_LBL_AGRAFICO_20" localSheetId="14" hidden="1">#REF!</definedName>
    <definedName name="_20__123Graph_LBL_AGRAFICO_20" localSheetId="16" hidden="1">#REF!</definedName>
    <definedName name="_20__123Graph_LBL_AGRAFICO_20" hidden="1">#REF!</definedName>
    <definedName name="_20__123Graph_LBL_CCHART_3" localSheetId="16" hidden="1">#REF!</definedName>
    <definedName name="_20__123Graph_LBL_CCHART_3" hidden="1">#REF!</definedName>
    <definedName name="_21__123Graph_ACHART_4" localSheetId="16" hidden="1">#REF!</definedName>
    <definedName name="_21__123Graph_ACHART_4" hidden="1">#REF!</definedName>
    <definedName name="_21__123Graph_LBL_BGRAFICO_20" localSheetId="14" hidden="1">#REF!</definedName>
    <definedName name="_21__123Graph_LBL_BGRAFICO_20" localSheetId="16" hidden="1">#REF!</definedName>
    <definedName name="_21__123Graph_LBL_BGRAFICO_20" hidden="1">#REF!</definedName>
    <definedName name="_21_0_S" localSheetId="16" hidden="1">#REF!</definedName>
    <definedName name="_21_0_S" hidden="1">#REF!</definedName>
    <definedName name="_22__123Graph_ACHART_4" localSheetId="16" hidden="1">#REF!</definedName>
    <definedName name="_22__123Graph_ACHART_4" hidden="1">#REF!</definedName>
    <definedName name="_22__123Graph_ACHART_5" localSheetId="16" hidden="1">#REF!</definedName>
    <definedName name="_22__123Graph_ACHART_5" hidden="1">#REF!</definedName>
    <definedName name="_22__123Graph_CCHART_4" localSheetId="16" hidden="1">#REF!</definedName>
    <definedName name="_22__123Graph_CCHART_4" hidden="1">#REF!</definedName>
    <definedName name="_22__123Graph_LBL_CGRAFICO_20" localSheetId="16" hidden="1">#REF!</definedName>
    <definedName name="_22__123Graph_LBL_CGRAFICO_20" hidden="1">#REF!</definedName>
    <definedName name="_23__123Graph_ACHART_6" localSheetId="16" hidden="1">#REF!</definedName>
    <definedName name="_23__123Graph_ACHART_6" hidden="1">#REF!</definedName>
    <definedName name="_24__123Graph_ACHART_5" localSheetId="16" hidden="1">#REF!</definedName>
    <definedName name="_24__123Graph_ACHART_5" hidden="1">#REF!</definedName>
    <definedName name="_24__123Graph_ACHART_7" localSheetId="16" hidden="1">#REF!</definedName>
    <definedName name="_24__123Graph_ACHART_7" hidden="1">#REF!</definedName>
    <definedName name="_24__123Graph_LBL_DGRAFICO_20" localSheetId="16" hidden="1">#REF!</definedName>
    <definedName name="_24__123Graph_LBL_DGRAFICO_20" hidden="1">#REF!</definedName>
    <definedName name="_24__123Graph_XCHART_5" localSheetId="16" hidden="1">#REF!</definedName>
    <definedName name="_24__123Graph_XCHART_5" hidden="1">#REF!</definedName>
    <definedName name="_25__123Graph_BCHART_4" localSheetId="16" hidden="1">#REF!</definedName>
    <definedName name="_25__123Graph_BCHART_4" hidden="1">#REF!</definedName>
    <definedName name="_25__123Graph_LBL_EGRAFICO_20" localSheetId="16" hidden="1">#REF!</definedName>
    <definedName name="_25__123Graph_LBL_EGRAFICO_20" hidden="1">#REF!</definedName>
    <definedName name="_26__123Graph_ACHART_6" localSheetId="16" hidden="1">#REF!</definedName>
    <definedName name="_26__123Graph_ACHART_6" hidden="1">#REF!</definedName>
    <definedName name="_26__123Graph_BCHART_5" localSheetId="16" hidden="1">#REF!</definedName>
    <definedName name="_26__123Graph_BCHART_5" hidden="1">#REF!</definedName>
    <definedName name="_26__123Graph_LBL_FGRAFICO_20" localSheetId="16" hidden="1">#REF!</definedName>
    <definedName name="_26__123Graph_LBL_FGRAFICO_20" hidden="1">#REF!</definedName>
    <definedName name="_26__123Graph_XCHART_6" localSheetId="16" hidden="1">#REF!</definedName>
    <definedName name="_26__123Graph_XCHART_6" hidden="1">#REF!</definedName>
    <definedName name="_27__123Graph_BCHART_6" localSheetId="16" hidden="1">#REF!</definedName>
    <definedName name="_27__123Graph_BCHART_6" hidden="1">#REF!</definedName>
    <definedName name="_27__123Graph_XGRAFICO_8" localSheetId="16" hidden="1">#REF!</definedName>
    <definedName name="_27__123Graph_XGRAFICO_8" hidden="1">#REF!</definedName>
    <definedName name="_28__123Graph_ACHART_7" localSheetId="16" hidden="1">#REF!</definedName>
    <definedName name="_28__123Graph_ACHART_7" hidden="1">#REF!</definedName>
    <definedName name="_28__123Graph_BCHART_7" localSheetId="16" hidden="1">#REF!</definedName>
    <definedName name="_28__123Graph_BCHART_7" hidden="1">#REF!</definedName>
    <definedName name="_28__123Graph_XCHART_7" localSheetId="16" hidden="1">#REF!</definedName>
    <definedName name="_28__123Graph_XCHART_7" hidden="1">#REF!</definedName>
    <definedName name="_28_0Rwvu.Pag" localSheetId="16" hidden="1">#REF!</definedName>
    <definedName name="_28_0Rwvu.Pag" hidden="1">#REF!</definedName>
    <definedName name="_29__123Graph_CCHART_4" localSheetId="16" hidden="1">#REF!</definedName>
    <definedName name="_29__123Graph_CCHART_4" hidden="1">#REF!</definedName>
    <definedName name="_2F" hidden="1">#REF!</definedName>
    <definedName name="_3__123Graph_ACHART_2" localSheetId="16" hidden="1">#REF!</definedName>
    <definedName name="_3__123Graph_ACHART_2" hidden="1">#REF!</definedName>
    <definedName name="_3__123Graph_ACHART_3" hidden="1">#REF!</definedName>
    <definedName name="_3__123Graph_ACHART_3I" hidden="1">#REF!</definedName>
    <definedName name="_3__123Graph_BCHART_1" hidden="1">#REF!</definedName>
    <definedName name="_3__123Graph_LBL_ACHART_1" hidden="1">#REF!</definedName>
    <definedName name="_3__FDSAUDITLINK__" localSheetId="14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0__123Graph_BCHART_4" hidden="1">#REF!</definedName>
    <definedName name="_30__123Graph_BCHART_6" hidden="1">#REF!</definedName>
    <definedName name="_30__123Graph_XCHART_5" hidden="1">#REF!</definedName>
    <definedName name="_31__123Graph_XCHART_6" hidden="1">#REF!</definedName>
    <definedName name="_32__123Graph_BCHART_5" hidden="1">#REF!</definedName>
    <definedName name="_32__123Graph_XCHART_7" hidden="1">#REF!</definedName>
    <definedName name="_34__123Graph_BCHART_6" hidden="1">#REF!</definedName>
    <definedName name="_36__123Graph_BCHART_7" hidden="1">#REF!</definedName>
    <definedName name="_38__123Graph_CCHART_4" hidden="1">#REF!</definedName>
    <definedName name="_4__123Graph_ACHART_3" localSheetId="14" hidden="1">#REF!</definedName>
    <definedName name="_4__123Graph_ACHART_3" localSheetId="16" hidden="1">#REF!</definedName>
    <definedName name="_4__123Graph_ACHART_3" hidden="1">#REF!</definedName>
    <definedName name="_4__123Graph_ACHART_4" hidden="1">#REF!</definedName>
    <definedName name="_4__123Graph_BCHART_1" hidden="1">#REF!</definedName>
    <definedName name="_4__123Graph_LBL_ACHART_1" hidden="1">#REF!</definedName>
    <definedName name="_4__123Graph_LBL_ACHART_3I" hidden="1">#REF!</definedName>
    <definedName name="_4__123Graph_X5_15" localSheetId="16" hidden="1">#REF!</definedName>
    <definedName name="_4__123Graph_X5_15" hidden="1">#REF!</definedName>
    <definedName name="_4__123Graph_XCHART_1" hidden="1">#REF!</definedName>
    <definedName name="_4__FDSAUDITLINK__" localSheetId="14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0__123Graph_XCHART_5" hidden="1">#REF!</definedName>
    <definedName name="_42__123Graph_XCHART_6" hidden="1">#REF!</definedName>
    <definedName name="_44__123Graph_XCHART_7" hidden="1">#REF!</definedName>
    <definedName name="_5__123Graph_ACHART_4" hidden="1">#REF!</definedName>
    <definedName name="_5__123Graph_AGRAFICO_20" localSheetId="14" hidden="1">#REF!</definedName>
    <definedName name="_5__123Graph_AGRAFICO_20" localSheetId="16" hidden="1">#REF!</definedName>
    <definedName name="_5__123Graph_AGRAFICO_20" hidden="1">#REF!</definedName>
    <definedName name="_5__123Graph_BCHART_1" hidden="1">#REF!</definedName>
    <definedName name="_5__123Graph_CCHART_1" hidden="1">#REF!</definedName>
    <definedName name="_5__123Graph_LBL_ACHART_3I" hidden="1">#REF!</definedName>
    <definedName name="_5__123Graph_XCHART_1" hidden="1">#REF!</definedName>
    <definedName name="_5__123Graph_XCHART_2" hidden="1">#REF!</definedName>
    <definedName name="_5__FDSAUDITLINK__" localSheetId="14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0__123Graph_BCHART_16" hidden="1">#REF!</definedName>
    <definedName name="_6__123Graph_ACHART_4" hidden="1">#REF!</definedName>
    <definedName name="_6__123Graph_ACHART_5" hidden="1">#REF!</definedName>
    <definedName name="_6__123Graph_AGRAFICO_7" localSheetId="14" hidden="1">#REF!</definedName>
    <definedName name="_6__123Graph_AGRAFICO_7" localSheetId="16" hidden="1">#REF!</definedName>
    <definedName name="_6__123Graph_AGRAFICO_7" hidden="1">#REF!</definedName>
    <definedName name="_6__123Graph_BCHART_2" hidden="1">#REF!</definedName>
    <definedName name="_6__123Graph_DCHART_1" hidden="1">#REF!</definedName>
    <definedName name="_6__123Graph_XCHART_1" hidden="1">#REF!</definedName>
    <definedName name="_6__FDSAUDITLINK__" localSheetId="14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0_Table2_" hidden="1">#REF!</definedName>
    <definedName name="_7__123Graph_ACHART_6" hidden="1">#REF!</definedName>
    <definedName name="_7__123Graph_AGRAFICO_8" localSheetId="14" hidden="1">#REF!</definedName>
    <definedName name="_7__123Graph_AGRAFICO_8" localSheetId="16" hidden="1">#REF!</definedName>
    <definedName name="_7__123Graph_AGRAFICO_8" hidden="1">#REF!</definedName>
    <definedName name="_7__123Graph_BCHART_3" localSheetId="16" hidden="1">#REF!</definedName>
    <definedName name="_7__123Graph_BCHART_3" hidden="1">#REF!</definedName>
    <definedName name="_7__123Graph_ECHART_1" hidden="1">#REF!</definedName>
    <definedName name="_7__FDSAUDITLINK__" localSheetId="14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0_Table2_" hidden="1">#REF!</definedName>
    <definedName name="_8__123Graph_ACHART_5" hidden="1">#REF!</definedName>
    <definedName name="_8__123Graph_ACHART_7" hidden="1">#REF!</definedName>
    <definedName name="_8__123Graph_CCHART_1" hidden="1">#REF!</definedName>
    <definedName name="_8__123Graph_FCHART_1" hidden="1">#REF!</definedName>
    <definedName name="_8__FDSAUDITLINK__" localSheetId="14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9__123Graph_BCHART_3" localSheetId="14" hidden="1">#REF!</definedName>
    <definedName name="_9__123Graph_BCHART_3" localSheetId="16" hidden="1">#REF!</definedName>
    <definedName name="_9__123Graph_BCHART_3" hidden="1">#REF!</definedName>
    <definedName name="_9__123Graph_BCHART_4" localSheetId="16" hidden="1">#REF!</definedName>
    <definedName name="_9__123Graph_BCHART_4" hidden="1">#REF!</definedName>
    <definedName name="_9__123Graph_CCHART_2" hidden="1">#REF!</definedName>
    <definedName name="_9__123Graph_XCHART_1" hidden="1">#REF!</definedName>
    <definedName name="_9__FDSAUDITLINK__" localSheetId="14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a1" localSheetId="14" hidden="1">{"Assump",#N/A,TRUE,"Proforma";"first",#N/A,TRUE,"Proforma";"second",#N/A,TRUE,"Proforma";"lease1",#N/A,TRUE,"Proforma";"lease2",#N/A,TRUE,"Proforma"}</definedName>
    <definedName name="_a1" hidden="1">{"Assump",#N/A,TRUE,"Proforma";"first",#N/A,TRUE,"Proforma";"second",#N/A,TRUE,"Proforma";"lease1",#N/A,TRUE,"Proforma";"lease2",#N/A,TRUE,"Proforma"}</definedName>
    <definedName name="_adv2" localSheetId="14" hidden="1">{"Proforma",#N/A,FALSE,"Sheet1"}</definedName>
    <definedName name="_adv2" hidden="1">{"Proforma",#N/A,FALSE,"Sheet1"}</definedName>
    <definedName name="_adv3" localSheetId="14" hidden="1">{"Proforma",#N/A,FALSE,"Sheet1"}</definedName>
    <definedName name="_adv3" hidden="1">{"Proforma",#N/A,FALSE,"Sheet1"}</definedName>
    <definedName name="_adv4" localSheetId="14" hidden="1">{"Proforma",#N/A,FALSE,"Sheet1"}</definedName>
    <definedName name="_adv4" hidden="1">{"Proforma",#N/A,FALSE,"Sheet1"}</definedName>
    <definedName name="_bdm.00A30EEC70914950886ACA1DA54ED705.edm" hidden="1">#REF!</definedName>
    <definedName name="_bdm.04C024BA2CA647408B384C4E8434AF11.edm" hidden="1">#REF!</definedName>
    <definedName name="_bdm.0E3CBD3E264B41B28F3F526873678CBA.edm" hidden="1">#REF!</definedName>
    <definedName name="_bdm.1EE47C4AA0064280819CC19BB4690A1F.edm" localSheetId="16" hidden="1">#REF!</definedName>
    <definedName name="_bdm.1EE47C4AA0064280819CC19BB4690A1F.edm" hidden="1">#REF!</definedName>
    <definedName name="_bdm.1FA5713C12A349E887E6CE04DE7000C5.edm" hidden="1">#REF!</definedName>
    <definedName name="_bdm.294AA496D34A43399372281D01706956.edm" localSheetId="16" hidden="1">#REF!</definedName>
    <definedName name="_bdm.294AA496D34A43399372281D01706956.edm" hidden="1">#REF!</definedName>
    <definedName name="_bdm.2CCD44ACE8EF422D88045C2A0F5B824C.edm" localSheetId="16" hidden="1">#REF!</definedName>
    <definedName name="_bdm.2CCD44ACE8EF422D88045C2A0F5B824C.edm" hidden="1">#REF!</definedName>
    <definedName name="_bdm.2F2B2B5E0A7F41A5A5153533F14B2F3B.edm" localSheetId="16" hidden="1">#REF!</definedName>
    <definedName name="_bdm.2F2B2B5E0A7F41A5A5153533F14B2F3B.edm" hidden="1">#REF!</definedName>
    <definedName name="_bdm.3288F7267AD84412A6BBE42C27EAAEDF.edm" hidden="1">#REF!</definedName>
    <definedName name="_bdm.396E33553A8446A8AA4873AE62900D27.edm" hidden="1">#REF!</definedName>
    <definedName name="_bdm.3FF9BF0CD07843B6B0C473B9EA33B256.edm" hidden="1">#REF!</definedName>
    <definedName name="_bdm.41BB7010280A4F17A60A7A2EC65762F2.edm" localSheetId="16" hidden="1">#REF!</definedName>
    <definedName name="_bdm.41BB7010280A4F17A60A7A2EC65762F2.edm" hidden="1">#REF!</definedName>
    <definedName name="_bdm.4A5C97D8A8B4461BB06808C9781CCA97.edm" localSheetId="16" hidden="1">#REF!</definedName>
    <definedName name="_bdm.4A5C97D8A8B4461BB06808C9781CCA97.edm" hidden="1">#REF!</definedName>
    <definedName name="_bdm.4CC45777DB794402B638D2F5A2762696.edm" localSheetId="16" hidden="1">#REF!</definedName>
    <definedName name="_bdm.4CC45777DB794402B638D2F5A2762696.edm" hidden="1">#REF!</definedName>
    <definedName name="_bdm.506BB95D5FF74692ACB6C4DCCF0C02A1.edm" localSheetId="16" hidden="1">#REF!</definedName>
    <definedName name="_bdm.506BB95D5FF74692ACB6C4DCCF0C02A1.edm" hidden="1">#REF!</definedName>
    <definedName name="_bdm.532855C8713A4ED2BE65859A52DE38A6.edm" hidden="1">#REF!</definedName>
    <definedName name="_bdm.5A06B77531BB40EAB24074C943DCD22A.edm" localSheetId="16" hidden="1">#REF!</definedName>
    <definedName name="_bdm.5A06B77531BB40EAB24074C943DCD22A.edm" hidden="1">#REF!</definedName>
    <definedName name="_bdm.5AD944435AAB4E59BE5754CEE8639177.edm" hidden="1">#REF!</definedName>
    <definedName name="_bdm.5B01567551CF4D0F9516DB9616A4CC65.edm" hidden="1">#REF!</definedName>
    <definedName name="_bdm.5CF81FEE6E9A4189820ECA41DD31C6C1.edm" localSheetId="16" hidden="1">#REF!</definedName>
    <definedName name="_bdm.5CF81FEE6E9A4189820ECA41DD31C6C1.edm" hidden="1">#REF!</definedName>
    <definedName name="_bdm.60D496C198B94FE88AAC240F81DA2AE4.edm" localSheetId="16" hidden="1">#REF!</definedName>
    <definedName name="_bdm.60D496C198B94FE88AAC240F81DA2AE4.edm" hidden="1">#REF!</definedName>
    <definedName name="_bdm.63CE9CF74A934A2CABE43E0C9A5325A7.edm" hidden="1">#REF!</definedName>
    <definedName name="_bdm.654C8EDA268E41A0BB9FEA30B24668CE.edm" hidden="1">#REF!</definedName>
    <definedName name="_bdm.6854F5B3A1074E21A7E29A900CF9C0FD.edm" hidden="1">#REF!</definedName>
    <definedName name="_bdm.6F69026AB7F74852B6E976FF69BD3B79.edm" hidden="1">#REF!</definedName>
    <definedName name="_bdm.7356D19C508E45D5BCA036988C40826A.edm" hidden="1">#REF!</definedName>
    <definedName name="_bdm.763E9B061D824965ABE00FECE1C119CE.edm" hidden="1">#REF!</definedName>
    <definedName name="_bdm.8DCCCB4B2BC14C1AA84A9FF8A30B1264.edm" hidden="1">#REF!</definedName>
    <definedName name="_bdm.91A0B11909A947559083CFFAB8CC725C.edm" localSheetId="16" hidden="1">#REF!</definedName>
    <definedName name="_bdm.91A0B11909A947559083CFFAB8CC725C.edm" hidden="1">#REF!</definedName>
    <definedName name="_bdm.A247B1D77986400F9A61095B26F4A68A.edm" localSheetId="16" hidden="1">#REF!</definedName>
    <definedName name="_bdm.A247B1D77986400F9A61095B26F4A68A.edm" hidden="1">#REF!</definedName>
    <definedName name="_bdm.A2D7D32E999A42C693AC64234B320B5F.edm" localSheetId="16" hidden="1">#REF!</definedName>
    <definedName name="_bdm.A2D7D32E999A42C693AC64234B320B5F.edm" hidden="1">#REF!</definedName>
    <definedName name="_bdm.A3A75D4C593949B9B996FE51C9585838.edm" hidden="1">#REF!</definedName>
    <definedName name="_bdm.AB5EC28A3C6F4DBBB2909BDAFC1FA969.edm" hidden="1">#REF!</definedName>
    <definedName name="_bdm.B238B0BF07174C20BE49BB50D2EFA2EF.edm" localSheetId="16" hidden="1">#REF!</definedName>
    <definedName name="_bdm.B238B0BF07174C20BE49BB50D2EFA2EF.edm" hidden="1">#REF!</definedName>
    <definedName name="_bdm.B31F0C67559C40CFBA36A3D04EB3FD7C.edm" hidden="1">#REF!</definedName>
    <definedName name="_bdm.C6B7218D518D4DEFBDE91D23E5344CC7.edm" localSheetId="16" hidden="1">#REF!</definedName>
    <definedName name="_bdm.C6B7218D518D4DEFBDE91D23E5344CC7.edm" hidden="1">#REF!</definedName>
    <definedName name="_bdm.C92855286E524CC6AA6FE531BB1AC235.edm" hidden="1">#REF!</definedName>
    <definedName name="_bdm.D0423E6A4FFC436AA4D38948B7D7A19E.edm" hidden="1">#REF!</definedName>
    <definedName name="_bdm.D2CCADD4FC5B49ACA9EC2095F713590B.edm" hidden="1">#REF!</definedName>
    <definedName name="_bdm.E43160091D894E4682594BC359201658.edm" hidden="1">#REF!</definedName>
    <definedName name="_bdm.E6EAF6EA2CB94A3988683635710F111D.edm" hidden="1">#REF!</definedName>
    <definedName name="_bdm.E82B9A19CF4343EC9674771C65B0EBE1.edm" localSheetId="16" hidden="1">#REF!</definedName>
    <definedName name="_bdm.E82B9A19CF4343EC9674771C65B0EBE1.edm" hidden="1">#REF!</definedName>
    <definedName name="_bdm.E9E307659C3C4FBF897790A0D326B4A8.edm" hidden="1">#REF!</definedName>
    <definedName name="_bdm.E9EE559E6F4248D18E2D4C03DF8C296A.edm" hidden="1">#REF!</definedName>
    <definedName name="_bdm.ECD7CD27800F4C01A85872A2A17ACFFB.edm" hidden="1">#REF!</definedName>
    <definedName name="_DCF1" localSheetId="14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l1" localSheetId="14" hidden="1">{"Page1",#N/A,FALSE,"7979";"Page2",#N/A,FALSE,"7979";"Page3",#N/A,FALSE,"7979"}</definedName>
    <definedName name="_del1" hidden="1">{"Page1",#N/A,FALSE,"7979";"Page2",#N/A,FALSE,"7979";"Page3",#N/A,FALSE,"7979"}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Bin" localSheetId="16" hidden="1">#REF!</definedName>
    <definedName name="_Dist_Bin" hidden="1">#REF!</definedName>
    <definedName name="_Dist_Values" localSheetId="16" hidden="1">#REF!</definedName>
    <definedName name="_Dist_Values" hidden="1">#REF!</definedName>
    <definedName name="_DSP50" hidden="1">OFFSET(#REF!,0,0,COUNTA(#REF!)-2)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1" hidden="1">#REF!</definedName>
    <definedName name="_Fill" localSheetId="16" hidden="1">#REF!</definedName>
    <definedName name="_Fill" hidden="1">#REF!</definedName>
    <definedName name="_Fill_HO" localSheetId="16" hidden="1">#REF!</definedName>
    <definedName name="_Fill_HO" hidden="1">#REF!</definedName>
    <definedName name="_Fill2" localSheetId="16" hidden="1">#REF!</definedName>
    <definedName name="_Fill2" hidden="1">#REF!</definedName>
    <definedName name="_xlnm._FilterDatabase" localSheetId="16" hidden="1">#REF!</definedName>
    <definedName name="_xlnm._FilterDatabase" hidden="1">#REF!</definedName>
    <definedName name="_FT08" hidden="1">"3OYHDJRF05V1IN1D1R6C32J5E"</definedName>
    <definedName name="_gf1" hidden="1">{"incomemth",#N/A,TRUE,"forecast00";"incomepercentmth",#N/A,TRUE,"forecast00";"balancemth",#N/A,TRUE,"forecast00";"cashmth",#N/A,TRUE,"forecast00";"covenantmth",#N/A,TRUE,"forecast00"}</definedName>
    <definedName name="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JE1299" localSheetId="16" hidden="1">#REF!</definedName>
    <definedName name="_JE1299" hidden="1">#REF!</definedName>
    <definedName name="_jo2" localSheetId="14" hidden="1">{#N/A,#N/A,FALSE,"DCF-COM";#N/A,#N/A,FALSE,"VAC-COM"}</definedName>
    <definedName name="_jo2" hidden="1">{#N/A,#N/A,FALSE,"DCF-COM";#N/A,#N/A,FALSE,"VAC-COM"}</definedName>
    <definedName name="_jo3" localSheetId="14" hidden="1">{"CASHFLOW",#N/A,FALSE,"Northpointe"}</definedName>
    <definedName name="_jo3" hidden="1">{"CASHFLOW",#N/A,FALSE,"Northpointe"}</definedName>
    <definedName name="_jo4" localSheetId="14" hidden="1">{#N/A,#N/A,FALSE,"SHEET1";#N/A,#N/A,FALSE,"SHEET2";#N/A,#N/A,FALSE,"SHEET3";#N/A,#N/A,FALSE,"SHEET4"}</definedName>
    <definedName name="_jo4" hidden="1">{#N/A,#N/A,FALSE,"SHEET1";#N/A,#N/A,FALSE,"SHEET2";#N/A,#N/A,FALSE,"SHEET3";#N/A,#N/A,FALSE,"SHEET4"}</definedName>
    <definedName name="_Key1" localSheetId="14" hidden="1">#REF!</definedName>
    <definedName name="_Key1" localSheetId="16" hidden="1">#REF!</definedName>
    <definedName name="_Key1" hidden="1">#REF!</definedName>
    <definedName name="_Key2" localSheetId="16" hidden="1">#REF!</definedName>
    <definedName name="_Key2" hidden="1">#REF!</definedName>
    <definedName name="_Key5" localSheetId="16" hidden="1">#REF!</definedName>
    <definedName name="_Key5" hidden="1">#REF!</definedName>
    <definedName name="_Key6" localSheetId="16" hidden="1">#REF!</definedName>
    <definedName name="_Key6" hidden="1">#REF!</definedName>
    <definedName name="_Key8" localSheetId="16" hidden="1">#REF!</definedName>
    <definedName name="_Key8" hidden="1">#REF!</definedName>
    <definedName name="_Key9" localSheetId="16" hidden="1">#REF!</definedName>
    <definedName name="_Key9" hidden="1">#REF!</definedName>
    <definedName name="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Old11" hidden="1">#REF!</definedName>
    <definedName name="_Old13" hidden="1">#REF!</definedName>
    <definedName name="_Old15" hidden="1">#REF!</definedName>
    <definedName name="_Old5" hidden="1">#REF!</definedName>
    <definedName name="_Old7" hidden="1">#REF!</definedName>
    <definedName name="_Old9" hidden="1">#REF!</definedName>
    <definedName name="_Order1" localSheetId="14" hidden="1">255</definedName>
    <definedName name="_Order1" hidden="1">0</definedName>
    <definedName name="_Order2" localSheetId="14" hidden="1">0</definedName>
    <definedName name="_Order2" hidden="1">255</definedName>
    <definedName name="_pro2" localSheetId="14" hidden="1">{"Construction Costs",#N/A,FALSE,"Budget";"Income Statement",#N/A,FALSE,"Budget"}</definedName>
    <definedName name="_pro2" hidden="1">{"Construction Costs",#N/A,FALSE,"Budget";"Income Statement",#N/A,FALSE,"Budget"}</definedName>
    <definedName name="_Regression_Int" hidden="1">1</definedName>
    <definedName name="_Regression_Out" hidden="1">#REF!</definedName>
    <definedName name="_Regression_X" localSheetId="16" hidden="1">#REF!</definedName>
    <definedName name="_Regression_X" hidden="1">#REF!</definedName>
    <definedName name="_Regression_Y" localSheetId="16" hidden="1">#REF!</definedName>
    <definedName name="_Regression_Y" hidden="1">#REF!</definedName>
    <definedName name="_sad2" hidden="1">{"MonthlyRentRoll",#N/A,FALSE,"RentRoll"}</definedName>
    <definedName name="_Sort" localSheetId="14" hidden="1">#REF!</definedName>
    <definedName name="_Sort" localSheetId="16" hidden="1">#REF!</definedName>
    <definedName name="_Sort" hidden="1">#REF!</definedName>
    <definedName name="_sort2" hidden="1">#REF!</definedName>
    <definedName name="_Tab2_In2" localSheetId="16" hidden="1">#REF!</definedName>
    <definedName name="_Tab2_In2" hidden="1">#REF!</definedName>
    <definedName name="_Table1_In1" localSheetId="14" hidden="1">#REF!</definedName>
    <definedName name="_Table1_In1" hidden="1">#REF!</definedName>
    <definedName name="_Table1_Out" localSheetId="14" hidden="1">#REF!</definedName>
    <definedName name="_Table1_Out" localSheetId="16" hidden="1">#REF!</definedName>
    <definedName name="_Table1_Out" hidden="1">#REF!</definedName>
    <definedName name="_Table2" localSheetId="16" hidden="1">#REF!</definedName>
    <definedName name="_Table2" hidden="1">#REF!</definedName>
    <definedName name="_Table2_In1" localSheetId="14" hidden="1">#REF!</definedName>
    <definedName name="_Table2_In1" hidden="1">#REF!</definedName>
    <definedName name="_Table2_In2" localSheetId="14" hidden="1">#REF!</definedName>
    <definedName name="_Table2_In2" hidden="1">#REF!</definedName>
    <definedName name="_Table2_Out" localSheetId="16" hidden="1">#REF!</definedName>
    <definedName name="_Table2_Out" hidden="1">#REF!</definedName>
    <definedName name="_Table3_In2" localSheetId="16" hidden="1">#REF!</definedName>
    <definedName name="_Table3_In2" hidden="1">#REF!</definedName>
    <definedName name="_wrn1" localSheetId="14" hidden="1">{"schedule1",#N/A,FALSE,"Sheet1";"schedule2",#N/A,FALSE,"Sheet1";"schedule3",#N/A,FALSE,"Sheet1";"schedule4",#N/A,FALSE,"Sheet1";"schedule5",#N/A,FALSE,"Sheet1";"schedule6",#N/A,FALSE,"Sheet1"}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" localSheetId="14" hidden="1">{"Output-BaseYear",#N/A,FALSE,"Output"}</definedName>
    <definedName name="A" hidden="1">{"Output-BaseYear",#N/A,FALSE,"Output"}</definedName>
    <definedName name="a_Key1" hidden="1">#REF!</definedName>
    <definedName name="a_Key2" hidden="1">#REF!</definedName>
    <definedName name="a1a1" localSheetId="14" hidden="1">{"Assump",#N/A,TRUE,"Proforma";"first",#N/A,TRUE,"Proforma";"second",#N/A,TRUE,"Proforma";"lease1",#N/A,TRUE,"Proforma";"lease2",#N/A,TRUE,"Proforma"}</definedName>
    <definedName name="a1a1" hidden="1">{"Assump",#N/A,TRUE,"Proforma";"first",#N/A,TRUE,"Proforma";"second",#N/A,TRUE,"Proforma";"lease1",#N/A,TRUE,"Proforma";"lease2",#N/A,TRUE,"Proforma"}</definedName>
    <definedName name="aa" localSheetId="14" hidden="1">{"AnnualRentRoll",#N/A,FALSE,"RentRoll"}</definedName>
    <definedName name="aa" hidden="1">{"AnnualRentRoll",#N/A,FALSE,"RentRoll"}</definedName>
    <definedName name="aa.2" hidden="1">{#N/A,#N/A,FALSE,"Cashflow Analysis";#N/A,#N/A,FALSE,"Sensitivity Analysis";#N/A,#N/A,FALSE,"PV";#N/A,#N/A,FALSE,"Pro Forma"}</definedName>
    <definedName name="aaa" localSheetId="14" hidden="1">{"AnnualRentRoll",#N/A,FALSE,"RentRoll"}</definedName>
    <definedName name="aaa" hidden="1">{"AnnualRentRoll",#N/A,FALSE,"RentRoll"}</definedName>
    <definedName name="AAA_DOCTOPS" hidden="1">"AAA_SET"</definedName>
    <definedName name="AAA_duser" hidden="1">"OFF"</definedName>
    <definedName name="aaaaa" localSheetId="14" hidden="1">{"Assump",#N/A,TRUE,"Proforma";"first",#N/A,TRUE,"Proforma";"second",#N/A,TRUE,"Proforma";"lease1",#N/A,TRUE,"Proforma";"lease2",#N/A,TRUE,"Proforma"}</definedName>
    <definedName name="aaaaa" hidden="1">{"Assump",#N/A,TRUE,"Proforma";"first",#N/A,TRUE,"Proforma";"second",#N/A,TRUE,"Proforma";"lease1",#N/A,TRUE,"Proforma";"lease2",#N/A,TRUE,"Proforma"}</definedName>
    <definedName name="aaaaaa1" localSheetId="14" hidden="1">{#N/A,#N/A,FALSE,"Adm comp";#N/A,#N/A,FALSE,"Adm ajust";"adm",#N/A,FALSE,"Administration";#N/A,#N/A,FALSE,"Adm Bgt 97 vs Prév. 96";#N/A,#N/A,FALSE,"Adm Bgt 97 vs 96"}</definedName>
    <definedName name="aaaaaa1" hidden="1">{#N/A,#N/A,FALSE,"Adm comp";#N/A,#N/A,FALSE,"Adm ajust";"adm",#N/A,FALSE,"Administration";#N/A,#N/A,FALSE,"Adm Bgt 97 vs Prév. 96";#N/A,#N/A,FALSE,"Adm Bgt 97 vs 96"}</definedName>
    <definedName name="aaaaaaa" localSheetId="14" hidden="1">{#N/A,#N/A,FALSE,"Adm comp";#N/A,#N/A,FALSE,"Adm ajust";"adm",#N/A,FALSE,"Administration";#N/A,#N/A,FALSE,"Adm Bgt 97 vs Prév. 96";#N/A,#N/A,FALSE,"Adm Bgt 97 vs 96"}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fa" hidden="1">{"rtn",#N/A,FALSE,"RTN";"tables",#N/A,FALSE,"RTN";"cf",#N/A,FALSE,"CF";"stats",#N/A,FALSE,"Stats";"prop",#N/A,FALSE,"Prop"}</definedName>
    <definedName name="ab" localSheetId="14" hidden="1">{#N/A,#N/A,TRUE,"Ericsson Stadium PCD ";#N/A,#N/A,TRUE,"Ericsson Stadium IOR"}</definedName>
    <definedName name="ab" hidden="1">{#N/A,#N/A,TRUE,"Ericsson Stadium PCD ";#N/A,#N/A,TRUE,"Ericsson Stadium IOR"}</definedName>
    <definedName name="ab_condo" localSheetId="14" hidden="1">{#N/A,#N/A,TRUE,"Ericsson Stadium PCD ";#N/A,#N/A,TRUE,"Ericsson Stadium IOR"}</definedName>
    <definedName name="ab_condo" hidden="1">{#N/A,#N/A,TRUE,"Ericsson Stadium PCD ";#N/A,#N/A,TRUE,"Ericsson Stadium IOR"}</definedName>
    <definedName name="abc" hidden="1">{"Construction_Short",#N/A,FALSE,"Construction"}</definedName>
    <definedName name="Access_Button" hidden="1">"Loan_Front_End_Input_List"</definedName>
    <definedName name="AccessDatabase" hidden="1">"\\Tc-atl-2\investment\Office &amp; Industrial\Principal Capital\Southhall\Southhall Center.mdb"</definedName>
    <definedName name="ACwvu.activo." hidden="1">#REF!</definedName>
    <definedName name="ACwvu.CAM._.RECOVERIES." localSheetId="16" hidden="1">#REF!</definedName>
    <definedName name="ACwvu.CAM._.RECOVERIES." hidden="1">#REF!</definedName>
    <definedName name="ACwvu.CAM._.TABLE." localSheetId="16" hidden="1">#REF!</definedName>
    <definedName name="ACwvu.CAM._.TABLE." hidden="1">#REF!</definedName>
    <definedName name="ACwvu.ingresos." hidden="1">#REF!</definedName>
    <definedName name="ACwvu.INSURANCE._.RECOVERIES." localSheetId="16" hidden="1">#REF!</definedName>
    <definedName name="ACwvu.INSURANCE._.RECOVERIES." hidden="1">#REF!</definedName>
    <definedName name="ACwvu.MINIMUM._.RENT." localSheetId="16" hidden="1">#REF!</definedName>
    <definedName name="ACwvu.MINIMUM._.RENT." hidden="1">#REF!</definedName>
    <definedName name="ACwvu.OCCUPANCY._.ANALYSIS." localSheetId="16" hidden="1">#REF!</definedName>
    <definedName name="ACwvu.OCCUPANCY._.ANALYSIS." hidden="1">#REF!</definedName>
    <definedName name="ACwvu.PERCENTAGE._.RENT." localSheetId="16" hidden="1">#REF!</definedName>
    <definedName name="ACwvu.PERCENTAGE._.RENT." hidden="1">#REF!</definedName>
    <definedName name="ACwvu.TAX._.RECOVERIES." localSheetId="16" hidden="1">#REF!</definedName>
    <definedName name="ACwvu.TAX._.RECOVERIES." hidden="1">#REF!</definedName>
    <definedName name="ACwvu.WAT." localSheetId="16" hidden="1">#REF!</definedName>
    <definedName name="ACwvu.WAT." hidden="1">#REF!</definedName>
    <definedName name="AD" localSheetId="14" hidden="1">{#N/A,#N/A,FALSE,"Adm comp";#N/A,#N/A,FALSE,"Adm ajust";"adm",#N/A,FALSE,"Administration";#N/A,#N/A,FALSE,"Adm Bgt 97 vs Prév. 96";#N/A,#N/A,FALSE,"Adm Bgt 97 vs 96"}</definedName>
    <definedName name="AD" hidden="1">{#N/A,#N/A,FALSE,"Adm comp";#N/A,#N/A,FALSE,"Adm ajust";"adm",#N/A,FALSE,"Administration";#N/A,#N/A,FALSE,"Adm Bgt 97 vs Prév. 96";#N/A,#N/A,FALSE,"Adm Bgt 97 vs 96"}</definedName>
    <definedName name="ADAD" localSheetId="14" hidden="1">{#N/A,#N/A,FALSE,"Adm comp";#N/A,#N/A,FALSE,"Adm ajust";"adm",#N/A,FALSE,"Administration";#N/A,#N/A,FALSE,"Adm Bgt 97 vs Prév. 96";#N/A,#N/A,FALSE,"Adm Bgt 97 vs 96"}</definedName>
    <definedName name="ADAD" hidden="1">{#N/A,#N/A,FALSE,"Adm comp";#N/A,#N/A,FALSE,"Adm ajust";"adm",#N/A,FALSE,"Administration";#N/A,#N/A,FALSE,"Adm Bgt 97 vs Prév. 96";#N/A,#N/A,FALSE,"Adm Bgt 97 vs 96"}</definedName>
    <definedName name="Add_Budget_Selection">#REF!</definedName>
    <definedName name="adf" localSheetId="14" hidden="1">{#N/A,#N/A,FALSE,"SCHEDULE G"}</definedName>
    <definedName name="adf" hidden="1">{#N/A,#N/A,FALSE,"SCHEDULE G"}</definedName>
    <definedName name="adfa" localSheetId="14" hidden="1">{"cap_structure",#N/A,FALSE,"Graph-Mkt Cap";"price",#N/A,FALSE,"Graph-Price";"ebit",#N/A,FALSE,"Graph-EBITDA";"ebitda",#N/A,FALSE,"Graph-EBITDA"}</definedName>
    <definedName name="adfa" hidden="1">{"cap_structure",#N/A,FALSE,"Graph-Mkt Cap";"price",#N/A,FALSE,"Graph-Price";"ebit",#N/A,FALSE,"Graph-EBITDA";"ebitda",#N/A,FALSE,"Graph-EBITDA"}</definedName>
    <definedName name="ADFWAE" localSheetId="14" hidden="1">{"summary1",#N/A,TRUE,"Comps";"summary2",#N/A,TRUE,"Comps";"summary3",#N/A,TRUE,"Comps"}</definedName>
    <definedName name="ADFWAE" hidden="1">{"summary1",#N/A,TRUE,"Comps";"summary2",#N/A,TRUE,"Comps";"summary3",#N/A,TRUE,"Comps"}</definedName>
    <definedName name="adgad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MAMD" localSheetId="14" hidden="1">{#N/A,#N/A,FALSE,"Adm comp";#N/A,#N/A,FALSE,"Adm ajust";"adm",#N/A,FALSE,"Administration";#N/A,#N/A,FALSE,"Adm Bgt 97 vs Prév. 96";#N/A,#N/A,FALSE,"Adm Bgt 97 vs 96"}</definedName>
    <definedName name="ADMAMD" hidden="1">{#N/A,#N/A,FALSE,"Adm comp";#N/A,#N/A,FALSE,"Adm ajust";"adm",#N/A,FALSE,"Administration";#N/A,#N/A,FALSE,"Adm Bgt 97 vs Prév. 96";#N/A,#N/A,FALSE,"Adm Bgt 97 vs 96"}</definedName>
    <definedName name="ads" localSheetId="14" hidden="1">{"inputs raw data",#N/A,TRUE,"INPUT"}</definedName>
    <definedName name="ads" hidden="1">{"inputs raw data",#N/A,TRUE,"INPUT"}</definedName>
    <definedName name="ADSA" localSheetId="14" hidden="1">{#N/A,#N/A,FALSE,"Adm comp";#N/A,#N/A,FALSE,"Adm ajust";"adm",#N/A,FALSE,"Administration";#N/A,#N/A,FALSE,"Adm Bgt 97 vs Prév. 96";#N/A,#N/A,FALSE,"Adm Bgt 97 vs 96"}</definedName>
    <definedName name="ADSA" hidden="1">{#N/A,#N/A,FALSE,"Adm comp";#N/A,#N/A,FALSE,"Adm ajust";"adm",#N/A,FALSE,"Administration";#N/A,#N/A,FALSE,"Adm Bgt 97 vs Prév. 96";#N/A,#N/A,FALSE,"Adm Bgt 97 vs 96"}</definedName>
    <definedName name="ADSFA" localSheetId="14" hidden="1">{"inputs raw data",#N/A,TRUE,"INPUT"}</definedName>
    <definedName name="ADSFA" hidden="1">{"inputs raw data",#N/A,TRUE,"INPUT"}</definedName>
    <definedName name="adssa" localSheetId="14" hidden="1">{"Page1",#N/A,FALSE,"Summary";"Page2",#N/A,FALSE,"Summary";"Page3",#N/A,FALSE,"Summary";"Page4",#N/A,FALSE,"Summary"}</definedName>
    <definedName name="adssa" hidden="1">{"Page1",#N/A,FALSE,"Summary";"Page2",#N/A,FALSE,"Summary";"Page3",#N/A,FALSE,"Summary";"Page4",#N/A,FALSE,"Summary"}</definedName>
    <definedName name="adv" localSheetId="14" hidden="1">{"Proforma",#N/A,FALSE,"Sheet1"}</definedName>
    <definedName name="adv" hidden="1">{"Proforma",#N/A,FALSE,"Sheet1"}</definedName>
    <definedName name="AEWEW" localSheetId="14" hidden="1">{"inputs raw data",#N/A,TRUE,"INPUT"}</definedName>
    <definedName name="AEWEW" hidden="1">{"inputs raw data",#N/A,TRUE,"INPUT"}</definedName>
    <definedName name="afd" hidden="1">#REF!</definedName>
    <definedName name="afdfadsf" hidden="1">{#N/A,#N/A,FALSE,"RENT ROLL"}</definedName>
    <definedName name="afe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e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gf" hidden="1">{#N/A,#N/A,FALSE,"ExecSum";#N/A,#N/A,FALSE,"total summary";#N/A,#N/A,FALSE,"Budget";#N/A,#N/A,FALSE,"CashFlow"}</definedName>
    <definedName name="AJSXBDEI" localSheetId="14" hidden="1">{#N/A,#N/A,FALSE,"Min compa cad";#N/A,#N/A,FALSE,"Min CAN Equité ";#N/A,#N/A,FALSE,"Analyse can"}</definedName>
    <definedName name="AJSXBDEI" hidden="1">{#N/A,#N/A,FALSE,"Min compa cad";#N/A,#N/A,FALSE,"Min CAN Equité ";#N/A,#N/A,FALSE,"Analyse can"}</definedName>
    <definedName name="AKKQIW" localSheetId="14" hidden="1">{#N/A,#N/A,FALSE,"Adm comp";#N/A,#N/A,FALSE,"Adm ajust";"adm",#N/A,FALSE,"Administration";#N/A,#N/A,FALSE,"Adm Bgt 97 vs Prév. 96";#N/A,#N/A,FALSE,"Adm Bgt 97 vs 96"}</definedName>
    <definedName name="AKKQIW" hidden="1">{#N/A,#N/A,FALSE,"Adm comp";#N/A,#N/A,FALSE,"Adm ajust";"adm",#N/A,FALSE,"Administration";#N/A,#N/A,FALSE,"Adm Bgt 97 vs Prév. 96";#N/A,#N/A,FALSE,"Adm Bgt 97 vs 96"}</definedName>
    <definedName name="AKQIS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QI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SJD" localSheetId="14" hidden="1">{#N/A,#N/A,FALSE,"Min compa cad";#N/A,#N/A,FALSE,"Min CAN Equité ";#N/A,#N/A,FALSE,"Analyse can"}</definedName>
    <definedName name="AKSJD" hidden="1">{#N/A,#N/A,FALSE,"Min compa cad";#N/A,#N/A,FALSE,"Min CAN Equité ";#N/A,#N/A,FALSE,"Analyse can"}</definedName>
    <definedName name="ALKSKDJ" localSheetId="14" hidden="1">{#N/A,#N/A,FALSE,"Centres";#N/A,#N/A,FALSE,"Partenariats";#N/A,#N/A,FALSE,"P.Diverses";#N/A,#N/A,FALSE,"Adm";#N/A,#N/A,FALSE,"Autres R-D";#N/A,#N/A,FALSE,"Intérêts"}</definedName>
    <definedName name="ALKSKDJ" hidden="1">{#N/A,#N/A,FALSE,"Centres";#N/A,#N/A,FALSE,"Partenariats";#N/A,#N/A,FALSE,"P.Diverses";#N/A,#N/A,FALSE,"Adm";#N/A,#N/A,FALSE,"Autres R-D";#N/A,#N/A,FALSE,"Intérêts"}</definedName>
    <definedName name="ALSKDJFH" localSheetId="14" hidden="1">{#N/A,#N/A,FALSE,"Min compa cad";#N/A,#N/A,FALSE,"Min CAN Equité ";#N/A,#N/A,FALSE,"Analyse can"}</definedName>
    <definedName name="ALSKDJFH" hidden="1">{#N/A,#N/A,FALSE,"Min compa cad";#N/A,#N/A,FALSE,"Min CAN Equité ";#N/A,#N/A,FALSE,"Analyse can"}</definedName>
    <definedName name="Analysis_End_Date">#REF!</definedName>
    <definedName name="Analysis_End_Month">#REF!</definedName>
    <definedName name="Analysis_Length_Months">#REF!</definedName>
    <definedName name="Analysis_Length_Years">#REF!</definedName>
    <definedName name="Analysis_Start_Date">#REF!</definedName>
    <definedName name="Analysis_Start_Month">#REF!</definedName>
    <definedName name="andrew" hidden="1">{"eca",#N/A,TRUE,"E-C1 (R)";"ecb",#N/A,TRUE,"E-C1 (R)"}</definedName>
    <definedName name="anscount" hidden="1">2</definedName>
    <definedName name="aool" hidden="1">{#N/A,#N/A,FALSE,"RENT ROLL"}</definedName>
    <definedName name="AOQBD" localSheetId="14" hidden="1">{#N/A,#N/A,FALSE,"Adm comp";#N/A,#N/A,FALSE,"Adm ajust";"adm",#N/A,FALSE,"Administration";#N/A,#N/A,FALSE,"Adm Bgt 97 vs Prév. 96";#N/A,#N/A,FALSE,"Adm Bgt 97 vs 96"}</definedName>
    <definedName name="AOQBD" hidden="1">{#N/A,#N/A,FALSE,"Adm comp";#N/A,#N/A,FALSE,"Adm ajust";"adm",#N/A,FALSE,"Administration";#N/A,#N/A,FALSE,"Adm Bgt 97 vs Prév. 96";#N/A,#N/A,FALSE,"Adm Bgt 97 vs 96"}</definedName>
    <definedName name="arew" localSheetId="14" hidden="1">{"cap_structure",#N/A,FALSE,"Graph-Mkt Cap";"price",#N/A,FALSE,"Graph-Price";"ebit",#N/A,FALSE,"Graph-EBITDA";"ebitda",#N/A,FALSE,"Graph-EBITDA"}</definedName>
    <definedName name="arew" hidden="1">{"cap_structure",#N/A,FALSE,"Graph-Mkt Cap";"price",#N/A,FALSE,"Graph-Price";"ebit",#N/A,FALSE,"Graph-EBITDA";"ebitda",#N/A,FALSE,"Graph-EBITDA"}</definedName>
    <definedName name="arg" localSheetId="14" hidden="1">{"inputs raw data",#N/A,TRUE,"INPUT"}</definedName>
    <definedName name="arg" hidden="1">{"inputs raw data",#N/A,TRUE,"INPUT"}</definedName>
    <definedName name="as" localSheetId="14" hidden="1">{"FCB_ALL",#N/A,FALSE,"FCB"}</definedName>
    <definedName name="as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HasNoAutoHeaderFooter" hidden="1">" "</definedName>
    <definedName name="AS2NamedRange" hidden="1">3</definedName>
    <definedName name="asd" localSheetId="14" hidden="1">{#N/A,#N/A,FALSE,"Adm comp";#N/A,#N/A,FALSE,"Adm ajust";"adm",#N/A,FALSE,"Administration";#N/A,#N/A,FALSE,"Adm Bgt 97 vs Prév. 96";#N/A,#N/A,FALSE,"Adm Bgt 97 vs 96"}</definedName>
    <definedName name="asd" hidden="1">{#N/A,#N/A,FALSE,"Adm comp";#N/A,#N/A,FALSE,"Adm ajust";"adm",#N/A,FALSE,"Administration";#N/A,#N/A,FALSE,"Adm Bgt 97 vs Prév. 96";#N/A,#N/A,FALSE,"Adm Bgt 97 vs 96"}</definedName>
    <definedName name="asda" localSheetId="14" hidden="1">{#N/A,#N/A,FALSE,"Centres";#N/A,#N/A,FALSE,"Partenariats";#N/A,#N/A,FALSE,"P.Diverses";#N/A,#N/A,FALSE,"Adm";#N/A,#N/A,FALSE,"Autres R-D";#N/A,#N/A,FALSE,"Intérêts"}</definedName>
    <definedName name="asda" hidden="1">{#N/A,#N/A,FALSE,"Centres";#N/A,#N/A,FALSE,"Partenariats";#N/A,#N/A,FALSE,"P.Diverses";#N/A,#N/A,FALSE,"Adm";#N/A,#N/A,FALSE,"Autres R-D";#N/A,#N/A,FALSE,"Intérêts"}</definedName>
    <definedName name="asdf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2" hidden="1">{#N/A,#N/A,FALSE,"OperatingAssumptions"}</definedName>
    <definedName name="asdf22" hidden="1">{#N/A,#N/A,FALSE,"OperatingAssumptions"}</definedName>
    <definedName name="asdf3" hidden="1">{#N/A,#N/A,FALSE,"LoanAssumptions"}</definedName>
    <definedName name="asdf33" hidden="1">{#N/A,#N/A,FALSE,"LoanAssumptions"}</definedName>
    <definedName name="asdf5" hidden="1">{"MonthlyRentRoll",#N/A,FALSE,"RentRoll"}</definedName>
    <definedName name="asdf55" hidden="1">{"MonthlyRentRoll",#N/A,FALSE,"RentRoll"}</definedName>
    <definedName name="asdf7" hidden="1">{#N/A,#N/A,TRUE,"Summary";"AnnualRentRoll",#N/A,TRUE,"RentRoll";#N/A,#N/A,TRUE,"ExitStratigy";#N/A,#N/A,TRUE,"OperatingAssumptions"}</definedName>
    <definedName name="asdf77" hidden="1">{#N/A,#N/A,TRUE,"Summary";"AnnualRentRoll",#N/A,TRUE,"RentRoll";#N/A,#N/A,TRUE,"ExitStratigy";#N/A,#N/A,TRUE,"OperatingAssumptions"}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asdfasdfsdf" localSheetId="16" hidden="1">#REF!</definedName>
    <definedName name="asdfasdfasdfsdf" hidden="1">#REF!</definedName>
    <definedName name="ASDFG" localSheetId="14" hidden="1">{#N/A,#N/A,FALSE,"Min compar us";#N/A,#N/A,FALSE,"Min US Equité ";#N/A,#N/A,FALSE,"Analyse U.S."}</definedName>
    <definedName name="asdfg" hidden="1">{"rtn",#N/A,FALSE,"RTN";"tables",#N/A,FALSE,"RTN";"cf",#N/A,FALSE,"CF";"stats",#N/A,FALSE,"Stats";"prop",#N/A,FALSE,"Prop"}</definedName>
    <definedName name="asdfsadfasdf" hidden="1">#REF!</definedName>
    <definedName name="asdfsdfsdf" localSheetId="14" hidden="1">{#N/A,#N/A,FALSE,"Expense Comparison"}</definedName>
    <definedName name="asdfsdfsdf" hidden="1">{#N/A,#N/A,FALSE,"Expense Comparison"}</definedName>
    <definedName name="asdssad" localSheetId="14" hidden="1">{"Section 1",#N/A,TRUE,"Summary";"Section 2",#N/A,TRUE,"Summary";"Section 3",#N/A,TRUE,"Summary";"Section 4",#N/A,TRUE,"Summary"}</definedName>
    <definedName name="asdssad" hidden="1">{"Section 1",#N/A,TRUE,"Summary";"Section 2",#N/A,TRUE,"Summary";"Section 3",#N/A,TRUE,"Summary";"Section 4",#N/A,TRUE,"Summary"}</definedName>
    <definedName name="asfaF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get" localSheetId="14" hidden="1">{"Page1",#N/A,FALSE,"7979";"Page2",#N/A,FALSE,"7979";"Page3",#N/A,FALSE,"7979"}</definedName>
    <definedName name="asfget" hidden="1">{"Page1",#N/A,FALSE,"7979";"Page2",#N/A,FALSE,"7979";"Page3",#N/A,FALSE,"7979"}</definedName>
    <definedName name="ashish" localSheetId="14" hidden="1">{"'Assump'!$F$6:$J$6"}</definedName>
    <definedName name="ashish" hidden="1">{"'Assump'!$F$6:$J$6"}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b" localSheetId="14" hidden="1">{#N/A,#N/A,FALSE,"ExitStratigy"}</definedName>
    <definedName name="b" hidden="1">{#N/A,#N/A,FALSE,"ExitStratigy"}</definedName>
    <definedName name="b_Key1" hidden="1">#REF!</definedName>
    <definedName name="b_Key2" hidden="1">#REF!</definedName>
    <definedName name="BadLink" localSheetId="14" hidden="1">#REF!</definedName>
    <definedName name="BadLink" localSheetId="16" hidden="1">#REF!</definedName>
    <definedName name="BadLink" hidden="1">#REF!</definedName>
    <definedName name="bb" localSheetId="14" hidden="1">{#N/A,#N/A,FALSE,"ExitStratigy"}</definedName>
    <definedName name="bb" hidden="1">{#N/A,#N/A,FALSE,"ExitStratigy"}</definedName>
    <definedName name="bbb" localSheetId="14" hidden="1">{#N/A,#N/A,FALSE,"ExitStratigy"}</definedName>
    <definedName name="bbb" hidden="1">{#N/A,#N/A,FALSE,"ExitStratigy"}</definedName>
    <definedName name="BBBBBB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1" localSheetId="14" hidden="1">{#N/A,#N/A,FALSE,"Adm comp";#N/A,#N/A,FALSE,"Adm ajust";"adm",#N/A,FALSE,"Administration";#N/A,#N/A,FALSE,"Adm Bgt 97 vs Prév. 96";#N/A,#N/A,FALSE,"Adm Bgt 97 vs 96"}</definedName>
    <definedName name="bbbbbb1" hidden="1">{#N/A,#N/A,FALSE,"Adm comp";#N/A,#N/A,FALSE,"Adm ajust";"adm",#N/A,FALSE,"Administration";#N/A,#N/A,FALSE,"Adm Bgt 97 vs Prév. 96";#N/A,#N/A,FALSE,"Adm Bgt 97 vs 96"}</definedName>
    <definedName name="be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tle" localSheetId="14" hidden="1">{"Full Sheet",#N/A,FALSE,"Expense Comparison"}</definedName>
    <definedName name="beattle" hidden="1">{"Full Sheet",#N/A,FALSE,"Expense Comparison"}</definedName>
    <definedName name="Bed" hidden="1">#REF!</definedName>
    <definedName name="bf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GR" localSheetId="14" hidden="1">{#N/A,#N/A,FALSE,"Centres";#N/A,#N/A,FALSE,"Partenariats";#N/A,#N/A,FALSE,"P.Diverses";#N/A,#N/A,FALSE,"Adm";#N/A,#N/A,FALSE,"Autres R-D";#N/A,#N/A,FALSE,"Intérêts"}</definedName>
    <definedName name="BGR" hidden="1">{#N/A,#N/A,FALSE,"Centres";#N/A,#N/A,FALSE,"Partenariats";#N/A,#N/A,FALSE,"P.Diverses";#N/A,#N/A,FALSE,"Adm";#N/A,#N/A,FALSE,"Autres R-D";#N/A,#N/A,FALSE,"Intérêts"}</definedName>
    <definedName name="BGRFVG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GRFV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hbhbhbh" localSheetId="14" hidden="1">{#N/A,#N/A,FALSE,"Centres";#N/A,#N/A,FALSE,"Partenariats";#N/A,#N/A,FALSE,"P.Diverses";#N/A,#N/A,FALSE,"Adm";#N/A,#N/A,FALSE,"Autres R-D";#N/A,#N/A,FALSE,"Intérêts"}</definedName>
    <definedName name="bhbhbhbh" hidden="1">{#N/A,#N/A,FALSE,"Centres";#N/A,#N/A,FALSE,"Partenariats";#N/A,#N/A,FALSE,"P.Diverses";#N/A,#N/A,FALSE,"Adm";#N/A,#N/A,FALSE,"Autres R-D";#N/A,#N/A,FALSE,"Intérêts"}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_2" localSheetId="14" hidden="1">#REF!</definedName>
    <definedName name="BLPH_2" localSheetId="16" hidden="1">#REF!</definedName>
    <definedName name="BLPH_2" hidden="1">#REF!</definedName>
    <definedName name="BLPH1" localSheetId="14" hidden="1">#REF!</definedName>
    <definedName name="BLPH1" localSheetId="16" hidden="1">#REF!</definedName>
    <definedName name="BLPH1" hidden="1">#REF!</definedName>
    <definedName name="BLPH10" localSheetId="16" hidden="1">#REF!</definedName>
    <definedName name="BLPH10" hidden="1">#REF!</definedName>
    <definedName name="BLPH1000001" hidden="1">#REF!</definedName>
    <definedName name="BLPH1000003" localSheetId="14" hidden="1">#REF!</definedName>
    <definedName name="BLPH1000003" localSheetId="16" hidden="1">#REF!</definedName>
    <definedName name="BLPH1000003" hidden="1">#REF!</definedName>
    <definedName name="BLPH11" localSheetId="16" hidden="1">#REF!</definedName>
    <definedName name="BLPH11" hidden="1">#REF!</definedName>
    <definedName name="BLPH12" localSheetId="14" hidden="1">#REF!</definedName>
    <definedName name="BLPH12" localSheetId="16" hidden="1">#REF!</definedName>
    <definedName name="BLPH12" hidden="1">#REF!</definedName>
    <definedName name="BLPH13" localSheetId="14" hidden="1">#REF!</definedName>
    <definedName name="BLPH13" localSheetId="16" hidden="1">#REF!</definedName>
    <definedName name="BLPH13" hidden="1">#REF!</definedName>
    <definedName name="BLPH14" localSheetId="16" hidden="1">#REF!</definedName>
    <definedName name="BLPH14" hidden="1">#REF!</definedName>
    <definedName name="BLPH2" localSheetId="16" hidden="1">#REF!</definedName>
    <definedName name="BLPH2" hidden="1">#REF!</definedName>
    <definedName name="BLPH3" localSheetId="16" hidden="1">#REF!</definedName>
    <definedName name="BLPH3" hidden="1">#REF!</definedName>
    <definedName name="BLPH4" localSheetId="16" hidden="1">#REF!</definedName>
    <definedName name="BLPH4" hidden="1">#REF!</definedName>
    <definedName name="BLPH5" localSheetId="16" hidden="1">#REF!</definedName>
    <definedName name="BLPH5" hidden="1">#REF!</definedName>
    <definedName name="BLPH6" localSheetId="16" hidden="1">#REF!</definedName>
    <definedName name="BLPH6" hidden="1">#REF!</definedName>
    <definedName name="BLPH7" localSheetId="16" hidden="1">#REF!</definedName>
    <definedName name="BLPH7" hidden="1">#REF!</definedName>
    <definedName name="BLPH8" localSheetId="16" hidden="1">#REF!</definedName>
    <definedName name="BLPH8" hidden="1">#REF!</definedName>
    <definedName name="BLPH9" localSheetId="16" hidden="1">#REF!</definedName>
    <definedName name="BLPH9" hidden="1">#REF!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T" localSheetId="14" hidden="1">{"all",#N/A,FALSE,"Compco";"summary",#N/A,FALSE,"Compco"}</definedName>
    <definedName name="BT" hidden="1">{"all",#N/A,FALSE,"Compco";"summary",#N/A,FALSE,"Compco"}</definedName>
    <definedName name="budget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VBVB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VBV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xxcxcx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Capex" hidden="1">{"bs",#N/A,FALSE,"SCF"}</definedName>
    <definedName name="cat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egory_1">#REF!</definedName>
    <definedName name="Category_2">#REF!</definedName>
    <definedName name="Category_3">#REF!</definedName>
    <definedName name="Category_4">#REF!</definedName>
    <definedName name="Category_5">#REF!</definedName>
    <definedName name="Category_6">#REF!</definedName>
    <definedName name="Category_7">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b_sChart41E9A35_opts" hidden="1">"1, 9, 1, False, 2, False, False, , 0, False, True, 1, 1"</definedName>
    <definedName name="cbre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c" localSheetId="14" hidden="1">{#N/A,#N/A,FALSE,"LoanAssumptions"}</definedName>
    <definedName name="cc" hidden="1">{#N/A,#N/A,FALSE,"LoanAssumptions"}</definedName>
    <definedName name="cc." hidden="1">{"CD1",#N/A,TRUE,"C-D (R)";"CD2",#N/A,TRUE,"C-D (R)"}</definedName>
    <definedName name="ccc" localSheetId="14" hidden="1">{#N/A,#N/A,FALSE,"LoanAssumptions"}</definedName>
    <definedName name="ccc" hidden="1">{#N/A,#N/A,FALSE,"LoanAssumptions"}</definedName>
    <definedName name="CCCCC" localSheetId="14" hidden="1">{#N/A,#N/A,FALSE,"Adm comp";#N/A,#N/A,FALSE,"Adm ajust";"adm",#N/A,FALSE,"Administration";#N/A,#N/A,FALSE,"Adm Bgt 97 vs Prév. 96";#N/A,#N/A,FALSE,"Adm Bgt 97 vs 96"}</definedName>
    <definedName name="CCCCC" hidden="1">{#N/A,#N/A,FALSE,"Adm comp";#N/A,#N/A,FALSE,"Adm ajust";"adm",#N/A,FALSE,"Administration";#N/A,#N/A,FALSE,"Adm Bgt 97 vs Prév. 96";#N/A,#N/A,FALSE,"Adm Bgt 97 vs 96"}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OOO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COO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EC_DATA" hidden="1">#REF!</definedName>
    <definedName name="Ceuta" localSheetId="14" hidden="1">{#N/A,#N/A,FALSE,"EOAF";#N/A,#N/A,FALSE,"Ingresos";#N/A,#N/A,FALSE,"Rat2";#N/A,#N/A,FALSE,"IFP";#N/A,#N/A,FALSE,"Anexo"}</definedName>
    <definedName name="Ceuta" hidden="1">{#N/A,#N/A,FALSE,"EOAF";#N/A,#N/A,FALSE,"Ingresos";#N/A,#N/A,FALSE,"Rat2";#N/A,#N/A,FALSE,"IFP";#N/A,#N/A,FALSE,"Anexo"}</definedName>
    <definedName name="cfdgdhtrgtrh" localSheetId="14" hidden="1">{#N/A,#N/A,FALSE,"Centres";#N/A,#N/A,FALSE,"Partenariats";#N/A,#N/A,FALSE,"P.Diverses";#N/A,#N/A,FALSE,"Adm";#N/A,#N/A,FALSE,"Autres R-D";#N/A,#N/A,FALSE,"Intérêts"}</definedName>
    <definedName name="cfdgdhtrgtrh" hidden="1">{#N/A,#N/A,FALSE,"Centres";#N/A,#N/A,FALSE,"Partenariats";#N/A,#N/A,FALSE,"P.Diverses";#N/A,#N/A,FALSE,"Adm";#N/A,#N/A,FALSE,"Autres R-D";#N/A,#N/A,FALSE,"Intérêts"}</definedName>
    <definedName name="Chart12345" hidden="1">#REF!</definedName>
    <definedName name="check2" hidden="1">{#N/A,#N/A,FALSE,"Cashflow Analysis";#N/A,#N/A,FALSE,"Sensitivity Analysis";#N/A,#N/A,FALSE,"PV";#N/A,#N/A,FALSE,"Pro Forma"}</definedName>
    <definedName name="CIQWBGuid" hidden="1">"GIC-Madison - Retail Model vDRAFT (JV)_v9.0.2 (ADIA).xlsx"</definedName>
    <definedName name="CMVNFH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MVNFH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OCO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C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mpanyName1" hidden="1">#REF!</definedName>
    <definedName name="CompanyName3" hidden="1">#REF!</definedName>
    <definedName name="CompRange1Main" hidden="1">#REF!</definedName>
    <definedName name="CompRange2Main" hidden="1">#REF!</definedName>
    <definedName name="CompRange3Main" hidden="1">#REF!</definedName>
    <definedName name="Comps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mps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N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t_End_Date">#REF!</definedName>
    <definedName name="Const_End_Month">#REF!</definedName>
    <definedName name="Const_Start_Date">#REF!</definedName>
    <definedName name="Construction_Int_Rate">#REF!</definedName>
    <definedName name="Construction_Length">#REF!</definedName>
    <definedName name="Construction_Loan_Amount">#REF!</definedName>
    <definedName name="Construction_Module_On?">#REF!</definedName>
    <definedName name="COO" hidden="1">{#N/A,#N/A,FALSE,"Matrix";#N/A,#N/A,FALSE,"Cash Flow";#N/A,#N/A,FALSE,"10 Year Cost Analysis"}</definedName>
    <definedName name="COPIA" localSheetId="14" hidden="1">{#N/A,#N/A,FALSE,"CONTROLE"}</definedName>
    <definedName name="COPIA" hidden="1">{#N/A,#N/A,FALSE,"CONTROLE"}</definedName>
    <definedName name="COPIA1" localSheetId="14" hidden="1">{#N/A,#N/A,FALSE,"CONTROLE"}</definedName>
    <definedName name="COPIA1" hidden="1">{#N/A,#N/A,FALSE,"CONTROLE"}</definedName>
    <definedName name="CostDetail" hidden="1">{"CF",#N/A,FALSE,"Cash Flow";"RET",#N/A,FALSE,"Returns";"NPV",#N/A,FALSE,"Values";"ASMPT",#N/A,FALSE,"Assumptions"}</definedName>
    <definedName name="CurrentLeaseExpirationDate" hidden="1">#REF!</definedName>
    <definedName name="CurrentLeaseSignedDate" hidden="1">#REF!</definedName>
    <definedName name="CurrentMoveInDate" hidden="1">#REF!</definedName>
    <definedName name="Cwvu._Current_." localSheetId="16" hidden="1">#REF!,#REF!,#REF!,#REF!,#REF!,#REF!,#REF!,#REF!,#REF!,#REF!,#REF!,#REF!,#REF!,#REF!,#REF!,#REF!,#REF!,#REF!,#REF!,#REF!,#REF!,#REF!,#REF!,#REF!</definedName>
    <definedName name="Cwvu._Current_." hidden="1">#REF!,#REF!,#REF!,#REF!,#REF!,#REF!,#REF!,#REF!,#REF!,#REF!,#REF!,#REF!,#REF!,#REF!,#REF!,#REF!,#REF!,#REF!,#REF!,#REF!,#REF!,#REF!,#REF!,#REF!</definedName>
    <definedName name="Cwvu.ACCOUNT._.DETAIL." localSheetId="16" hidden="1">#REF!</definedName>
    <definedName name="Cwvu.ACCOUNT._.DETAIL." hidden="1">#REF!</definedName>
    <definedName name="Cwvu.WAT." localSheetId="16" hidden="1">#REF!</definedName>
    <definedName name="Cwvu.WAT." hidden="1">#REF!</definedName>
    <definedName name="cx" localSheetId="14" hidden="1">{#N/A,#N/A,FALSE,"Min compa cad";#N/A,#N/A,FALSE,"Min CAN Equité ";#N/A,#N/A,FALSE,"Analyse can"}</definedName>
    <definedName name="cx" hidden="1">{#N/A,#N/A,FALSE,"Min compa cad";#N/A,#N/A,FALSE,"Min CAN Equité ";#N/A,#N/A,FALSE,"Analyse can"}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localSheetId="14" hidden="1">{#N/A,#N/A,FALSE,"LoanAssumptions"}</definedName>
    <definedName name="d" hidden="1">{#N/A,#N/A,FALSE,"LoanAssumptions"}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FAD" localSheetId="14" hidden="1">{"cap_structure",#N/A,FALSE,"Graph-Mkt Cap";"price",#N/A,FALSE,"Graph-Price";"ebit",#N/A,FALSE,"Graph-EBITDA";"ebitda",#N/A,FALSE,"Graph-EBITDA"}</definedName>
    <definedName name="DAFAD" hidden="1">{"cap_structure",#N/A,FALSE,"Graph-Mkt Cap";"price",#N/A,FALSE,"Graph-Price";"ebit",#N/A,FALSE,"Graph-EBITDA";"ebitda",#N/A,FALSE,"Graph-EBITDA"}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TA_0" hidden="1">#REF!</definedName>
    <definedName name="DATA_01" localSheetId="16" hidden="1">#REF!</definedName>
    <definedName name="DATA_01" hidden="1">#REF!</definedName>
    <definedName name="DATA_01_a" hidden="1">#REF!</definedName>
    <definedName name="DATA_01A" localSheetId="16" hidden="1">#REF!</definedName>
    <definedName name="DATA_01A" hidden="1">#REF!</definedName>
    <definedName name="data_02" localSheetId="16" hidden="1">#REF!</definedName>
    <definedName name="data_02" hidden="1">#REF!</definedName>
    <definedName name="DATA_03" localSheetId="16" hidden="1">#REF!</definedName>
    <definedName name="DATA_03" hidden="1">#REF!</definedName>
    <definedName name="data_04" localSheetId="16" hidden="1">#REF!</definedName>
    <definedName name="data_04" hidden="1">#REF!</definedName>
    <definedName name="DATA_05" hidden="1">#REF!</definedName>
    <definedName name="DATA_05A" hidden="1">#REF!</definedName>
    <definedName name="DATA_07" hidden="1">#REF!</definedName>
    <definedName name="DATA_07A" hidden="1">#REF!</definedName>
    <definedName name="DATA_08" hidden="1">#REF!</definedName>
    <definedName name="DateRangeCompMain" hidden="1">#REF!</definedName>
    <definedName name="DateStamp" hidden="1">#REF!</definedName>
    <definedName name="dd" localSheetId="14" hidden="1">{"MonthlyRentRoll",#N/A,FALSE,"RentRoll"}</definedName>
    <definedName name="dd" hidden="1">{"CF",#N/A,FALSE,"Cash Flow";"RET",#N/A,FALSE,"Returns";"NPV",#N/A,FALSE,"Values";"ASMPT",#N/A,FALSE,"Assumptions"}</definedName>
    <definedName name="dda" hidden="1">{#N/A,#N/A,FALSE}</definedName>
    <definedName name="ddd" localSheetId="14" hidden="1">{"MonthlyRentRoll",#N/A,FALSE,"RentRoll"}</definedName>
    <definedName name="ddd" hidden="1">{"MonthlyRentRoll",#N/A,FALSE,"RentRoll"}</definedName>
    <definedName name="dddd" hidden="1">{#N/A,#N/A,FALSE,"96 RENT SUM";#N/A,#N/A,FALSE,"LSGACTSCHED";#N/A,#N/A,FALSE,"Conc. Sched"}</definedName>
    <definedName name="dddddd" localSheetId="14" hidden="1">{#N/A,#N/A,FALSE,"CAPREIT"}</definedName>
    <definedName name="dddddd" localSheetId="16" hidden="1">{#N/A,#N/A,FALSE,"CAPREIT"}</definedName>
    <definedName name="dddddd" hidden="1">{#N/A,#N/A,FALSE,"CAPREIT"}</definedName>
    <definedName name="dddddd2" localSheetId="14" hidden="1">{#N/A,#N/A,FALSE,"CAPREIT"}</definedName>
    <definedName name="dddddd2" hidden="1">{#N/A,#N/A,FALSE,"CAPREIT"}</definedName>
    <definedName name="ddddddd" localSheetId="14" hidden="1">{#N/A,#N/A,FALSE,"CAPREIT"}</definedName>
    <definedName name="ddddddd" localSheetId="16" hidden="1">{#N/A,#N/A,FALSE,"CAPREIT"}</definedName>
    <definedName name="ddddddd" hidden="1">{#N/A,#N/A,FALSE,"CAPREIT"}</definedName>
    <definedName name="ddddddd2" localSheetId="14" hidden="1">{#N/A,#N/A,FALSE,"CAPREIT"}</definedName>
    <definedName name="ddddddd2" hidden="1">{#N/A,#N/A,FALSE,"CAPREIT"}</definedName>
    <definedName name="DealName" hidden="1">#REF!</definedName>
    <definedName name="DealUnits" hidden="1">#REF!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urchaseRange" hidden="1">0</definedName>
    <definedName name="Debt_RefiTypes" hidden="1">#REF!</definedName>
    <definedName name="Debt_Show1_Amort" hidden="1">#REF!</definedName>
    <definedName name="Debt_Show1_AmortHC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rtHC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rtHC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f" hidden="1">{"Construction_Short",#N/A,FALSE,"Construction"}</definedName>
    <definedName name="del" localSheetId="14" hidden="1">{"Page1",#N/A,FALSE,"7979";"Page2",#N/A,FALSE,"7979";"Page3",#N/A,FALSE,"7979"}</definedName>
    <definedName name="del" hidden="1">{"Page1",#N/A,FALSE,"7979";"Page2",#N/A,FALSE,"7979";"Page3",#N/A,FALSE,"7979"}</definedName>
    <definedName name="delete11" localSheetId="14" hidden="1">{"Page1",#N/A,FALSE,"CompCo";"Page2",#N/A,FALSE,"CompCo"}</definedName>
    <definedName name="delete11" hidden="1">{"Page1",#N/A,FALSE,"CompCo";"Page2",#N/A,FALSE,"CompCo"}</definedName>
    <definedName name="delete2" hidden="1">#REF!</definedName>
    <definedName name="delete5" localSheetId="14" hidden="1">{"Page1",#N/A,FALSE,"CompCo";"Page2",#N/A,FALSE,"CompCo"}</definedName>
    <definedName name="delete5" hidden="1">{"Page1",#N/A,FALSE,"CompCo";"Page2",#N/A,FALSE,"CompCo"}</definedName>
    <definedName name="DELME" localSheetId="14" hidden="1">{#N/A,#N/A,FALSE,"A";#N/A,#N/A,FALSE,"C"}</definedName>
    <definedName name="DELME" hidden="1">{#N/A,#N/A,FALSE,"A";#N/A,#N/A,FALSE,"C"}</definedName>
    <definedName name="DELME_condo" localSheetId="14" hidden="1">{#N/A,#N/A,FALSE,"A";#N/A,#N/A,FALSE,"C"}</definedName>
    <definedName name="DELME_condo" hidden="1">{#N/A,#N/A,FALSE,"A";#N/A,#N/A,FALSE,"C"}</definedName>
    <definedName name="DELME2" localSheetId="14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localSheetId="14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localSheetId="14" hidden="1">{#N/A,#N/A,FALSE,"Common Area Accrual";#N/A,#N/A,FALSE,"Unit One LaSalle";#N/A,#N/A,FALSE,"Unit One CW";#N/A,#N/A,FALSE,"Unit One LaSallle + C &amp; W";#N/A,#N/A,FALSE,"Consolidated Accrual"}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localSheetId="14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localSheetId="14" hidden="1">{#N/A,#N/A,FALSE,"399 Park Var";#N/A,#N/A,FALSE,"PK NOTES"}</definedName>
    <definedName name="DELME4" hidden="1">{#N/A,#N/A,FALSE,"399 Park Var";#N/A,#N/A,FALSE,"PK NOTES"}</definedName>
    <definedName name="DELME4_Condo" localSheetId="14" hidden="1">{#N/A,#N/A,FALSE,"399 Park Var";#N/A,#N/A,FALSE,"PK NOTES"}</definedName>
    <definedName name="DELME4_Condo" hidden="1">{#N/A,#N/A,FALSE,"399 Park Var";#N/A,#N/A,FALSE,"PK NOTES"}</definedName>
    <definedName name="DELME5" localSheetId="14" hidden="1">{#N/A,#N/A,FALSE,"Expense Detail ";#N/A,#N/A,FALSE,"Worksheet";#N/A,#N/A,FALSE,"Audit";#N/A,#N/A,FALSE,"Exclusions";#N/A,#N/A,FALSE,"Variance";#N/A,#N/A,FALSE,"Reconciliation"}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localSheetId="14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localSheetId="14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localSheetId="14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ta" localSheetId="14" hidden="1">{"ACCOUNTING COPY",#N/A,FALSE,"SCHEDULE A";"FINANCE COPY",#N/A,FALSE,"SCHEDULE A";"P.L. COPY",#N/A,FALSE,"SCHEDULE A"}</definedName>
    <definedName name="delta" hidden="1">{"ACCOUNTING COPY",#N/A,FALSE,"SCHEDULE A";"FINANCE COPY",#N/A,FALSE,"SCHEDULE A";"P.L. COPY",#N/A,FALSE,"SCHEDULE A"}</definedName>
    <definedName name="detail" localSheetId="1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localSheetId="1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edCosts" hidden="1">{"CF",#N/A,FALSE,"Cash Flow";"RET",#N/A,FALSE,"Returns";"NPV",#N/A,FALSE,"Values";"ASMPT",#N/A,FALSE,"Assumptions"}</definedName>
    <definedName name="df" hidden="1">{#N/A,#N/A,FALSE,"CF Yr3";#N/A,#N/A,FALSE,"Rent Roll";#N/A,#N/A,FALSE,"Rent Yr3";#N/A,#N/A,FALSE,"Occ Yr3";#N/A,#N/A,FALSE,"TI+Com Yr3";#N/A,#N/A,FALSE,"OER Yr3";#N/A,#N/A,FALSE,"OE Yr3"}</definedName>
    <definedName name="dfd" localSheetId="14" hidden="1">{"FCB_ALL",#N/A,FALSE,"FCB";"GREY_ALL",#N/A,FALSE,"GREY"}</definedName>
    <definedName name="dfd" hidden="1">{"FCB_ALL",#N/A,FALSE,"FCB";"GREY_ALL",#N/A,FALSE,"GREY"}</definedName>
    <definedName name="dfdas" localSheetId="14" hidden="1">{"FCB_ALL",#N/A,FALSE,"FCB";"GREY_ALL",#N/A,FALSE,"GREY"}</definedName>
    <definedName name="dfdas" hidden="1">{"FCB_ALL",#N/A,FALSE,"FCB";"GREY_ALL",#N/A,FALSE,"GREY"}</definedName>
    <definedName name="dfdf" localSheetId="14" hidden="1">{"History+Projection+5Comps",#N/A,FALSE,"HISTORY (2)";"$ Per Occupied History+Projection+5Comps",#N/A,FALSE,"HISTORY (2)";"History+Projection",#N/A,FALSE,"HISTORY (2)"}</definedName>
    <definedName name="dfdf" hidden="1">{"History+Projection+5Comps",#N/A,FALSE,"HISTORY (2)";"$ Per Occupied History+Projection+5Comps",#N/A,FALSE,"HISTORY (2)";"History+Projection",#N/A,FALSE,"HISTORY (2)"}</definedName>
    <definedName name="DFDFD" localSheetId="14" hidden="1">{#N/A,#N/A,FALSE,"Adm comp";#N/A,#N/A,FALSE,"Adm ajust";"adm",#N/A,FALSE,"Administration";#N/A,#N/A,FALSE,"Adm Bgt 97 vs Prév. 96";#N/A,#N/A,FALSE,"Adm Bgt 97 vs 96"}</definedName>
    <definedName name="DFDFD" hidden="1">{#N/A,#N/A,FALSE,"Adm comp";#N/A,#N/A,FALSE,"Adm ajust";"adm",#N/A,FALSE,"Administration";#N/A,#N/A,FALSE,"Adm Bgt 97 vs Prév. 96";#N/A,#N/A,FALSE,"Adm Bgt 97 vs 96"}</definedName>
    <definedName name="dfdfdfd" localSheetId="14" hidden="1">{"FCB_ALL",#N/A,FALSE,"FCB"}</definedName>
    <definedName name="dfdfdfd" hidden="1">{"FCB_ALL",#N/A,FALSE,"FCB"}</definedName>
    <definedName name="dfdsf" hidden="1">{#N/A,#N/A,FALSE,"RENT ROLL"}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d" hidden="1">{#N/A,#N/A,FALSE,"Cashflow Analysis";#N/A,#N/A,FALSE,"Sensitivity Analysis";#N/A,#N/A,FALSE,"PV";#N/A,#N/A,FALSE,"Pro Forma"}</definedName>
    <definedName name="dfjdklfj" localSheetId="14" hidden="1">{"$ Per Occupied History+Projection+5Comps",#N/A,FALSE,"HISTORY (2)";"History+Projection+5Comps",#N/A,FALSE,"HISTORY (2)";"History+Projection",#N/A,FALSE,"HISTORY (2)";"History+Projection per Occ'd",#N/A,FALSE,"HISTORY (2)"}</definedName>
    <definedName name="dfjdklfj" hidden="1">{"$ Per Occupied History+Projection+5Comps",#N/A,FALSE,"HISTORY (2)";"History+Projection+5Comps",#N/A,FALSE,"HISTORY (2)";"History+Projection",#N/A,FALSE,"HISTORY (2)";"History+Projection per Occ'd",#N/A,FALSE,"HISTORY (2)"}</definedName>
    <definedName name="DHG" localSheetId="14" hidden="1">{"cap_structure",#N/A,FALSE,"Graph-Mkt Cap";"price",#N/A,FALSE,"Graph-Price";"ebit",#N/A,FALSE,"Graph-EBITDA";"ebitda",#N/A,FALSE,"Graph-EBITDA"}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LSA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LS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ME_Dirty" hidden="1">"False"</definedName>
    <definedName name="DME_LocalFile" hidden="1">"True"</definedName>
    <definedName name="DME_ODMALinksCount" hidden="1">"1"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" hidden="1">{#N/A,#N/A,FALSE,"ExecSum";#N/A,#N/A,FALSE,"total summary";#N/A,#N/A,FALSE,"Budget";#N/A,#N/A,FALSE,"CashFlow"}</definedName>
    <definedName name="dsass" localSheetId="14" hidden="1">{#N/A,#N/A,FALSE,"Adm comp";#N/A,#N/A,FALSE,"Adm ajust";"adm",#N/A,FALSE,"Administration";#N/A,#N/A,FALSE,"Adm Bgt 97 vs Prév. 96";#N/A,#N/A,FALSE,"Adm Bgt 97 vs 96"}</definedName>
    <definedName name="dsass" hidden="1">{#N/A,#N/A,FALSE,"Adm comp";#N/A,#N/A,FALSE,"Adm ajust";"adm",#N/A,FALSE,"Administration";#N/A,#N/A,FALSE,"Adm Bgt 97 vs Prév. 96";#N/A,#N/A,FALSE,"Adm Bgt 97 vs 96"}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" localSheetId="14" hidden="1">{"Construction Costs",#N/A,FALSE,"Budget";"Income Statement",#N/A,FALSE,"Budget"}</definedName>
    <definedName name="e" hidden="1">{"MonthlyRentRoll",#N/A,FALSE,"RentRoll"}</definedName>
    <definedName name="edcdedc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dc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ed" localSheetId="14" hidden="1">{#N/A,#N/A,FALSE,"Adm comp";#N/A,#N/A,FALSE,"Adm ajust";"adm",#N/A,FALSE,"Administration";#N/A,#N/A,FALSE,"Adm Bgt 97 vs Prév. 96";#N/A,#N/A,FALSE,"Adm Bgt 97 vs 96"}</definedName>
    <definedName name="edcdeed" hidden="1">{#N/A,#N/A,FALSE,"Adm comp";#N/A,#N/A,FALSE,"Adm ajust";"adm",#N/A,FALSE,"Administration";#N/A,#N/A,FALSE,"Adm Bgt 97 vs Prév. 96";#N/A,#N/A,FALSE,"Adm Bgt 97 vs 96"}</definedName>
    <definedName name="EDCS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C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USW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USW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e" localSheetId="14" hidden="1">{#N/A,#N/A,FALSE,"OperatingAssumptions"}</definedName>
    <definedName name="ee" hidden="1">{#N/A,#N/A,FALSE,"OperatingAssumptions"}</definedName>
    <definedName name="eea" hidden="1">{#N/A,#N/A,FALSE}</definedName>
    <definedName name="eee" localSheetId="14" hidden="1">{#N/A,#N/A,FALSE,"OperatingAssumptions"}</definedName>
    <definedName name="eee" hidden="1">{#N/A,#N/A,FALSE,"OperatingAssumptions"}</definedName>
    <definedName name="eeee" localSheetId="14" hidden="1">{"Page1",#N/A,FALSE,"Summary";"Page2",#N/A,FALSE,"Summary";"Page3",#N/A,FALSE,"Summary";"Page4",#N/A,FALSE,"Summary"}</definedName>
    <definedName name="eeee" hidden="1">{"Page1",#N/A,FALSE,"Summary";"Page2",#N/A,FALSE,"Summary";"Page3",#N/A,FALSE,"Summary";"Page4",#N/A,FALSE,"Summary"}</definedName>
    <definedName name="eeeee" localSheetId="14" hidden="1">{"Section 1",#N/A,TRUE,"Summary";"Section 2",#N/A,TRUE,"Summary";"Section 3",#N/A,TRUE,"Summary";"Section 4",#N/A,TRUE,"Summary"}</definedName>
    <definedName name="eeeee" hidden="1">{"Section 1",#N/A,TRUE,"Summary";"Section 2",#N/A,TRUE,"Summary";"Section 3",#N/A,TRUE,"Summary";"Section 4",#N/A,TRUE,"Summary"}</definedName>
    <definedName name="eeeeee" localSheetId="14" hidden="1">{#N/A,#N/A,FALSE,"Adm comp";#N/A,#N/A,FALSE,"Adm ajust";"adm",#N/A,FALSE,"Administration";#N/A,#N/A,FALSE,"Adm Bgt 97 vs Prév. 96";#N/A,#N/A,FALSE,"Adm Bgt 97 vs 96"}</definedName>
    <definedName name="eeeeee" hidden="1">{#N/A,#N/A,FALSE,"Adm comp";#N/A,#N/A,FALSE,"Adm ajust";"adm",#N/A,FALSE,"Administration";#N/A,#N/A,FALSE,"Adm Bgt 97 vs Prév. 96";#N/A,#N/A,FALSE,"Adm Bgt 97 vs 96"}</definedName>
    <definedName name="ELAINE" hidden="1">{#N/A,#N/A,FALSE,"RENT ROLL"}</definedName>
    <definedName name="Equity_Contribution">#REF!</definedName>
    <definedName name="Equity_Share_LP">#REF!</definedName>
    <definedName name="Equity_Share_LP_Monthly">#REF!</definedName>
    <definedName name="Equity_Share_Sponsor">#REF!</definedName>
    <definedName name="Equity_Share_Sponsor_Monthly">#REF!</definedName>
    <definedName name="er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asdf" hidden="1">{"Assump",#N/A,TRUE,"Proforma";"first",#N/A,TRUE,"Proforma";"second",#N/A,TRUE,"Proforma";"lease1",#N/A,TRUE,"Proforma";"lease2",#N/A,TRUE,"Proforma"}</definedName>
    <definedName name="erederf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der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RE" localSheetId="14" hidden="1">{#N/A,#N/A,FALSE,"Min compar us";#N/A,#N/A,FALSE,"Min US Equité ";#N/A,#N/A,FALSE,"Analyse U.S."}</definedName>
    <definedName name="ERERE" hidden="1">{#N/A,#N/A,FALSE,"Min compar us";#N/A,#N/A,FALSE,"Min US Equité ";#N/A,#N/A,FALSE,"Analyse U.S."}</definedName>
    <definedName name="Estimate" localSheetId="14" hidden="1">{#N/A,#N/A,FALSE,"Detail";#N/A,#N/A,FALSE,"Totals"}</definedName>
    <definedName name="Estimate" hidden="1">{#N/A,#N/A,FALSE,"Detail";#N/A,#N/A,FALSE,"Totals"}</definedName>
    <definedName name="ev.Calculation" hidden="1">-4135</definedName>
    <definedName name="ev.Initialized" hidden="1">FALSE</definedName>
    <definedName name="EV__LASTREFTIME__" hidden="1">40980.5901157407</definedName>
    <definedName name="ewrwer" localSheetId="14" hidden="1">{#N/A,#N/A,FALSE,"Adm comp";#N/A,#N/A,FALSE,"Adm ajust";"adm",#N/A,FALSE,"Administration";#N/A,#N/A,FALSE,"Adm Bgt 97 vs Prév. 96";#N/A,#N/A,FALSE,"Adm Bgt 97 vs 96"}</definedName>
    <definedName name="ewrwer" hidden="1">{#N/A,#N/A,FALSE,"Adm comp";#N/A,#N/A,FALSE,"Adm ajust";"adm",#N/A,FALSE,"Administration";#N/A,#N/A,FALSE,"Adm Bgt 97 vs Prév. 96";#N/A,#N/A,FALSE,"Adm Bgt 97 vs 96"}</definedName>
    <definedName name="EX" localSheetId="14" hidden="1">{#N/A,#N/A,FALSE,"Centres";#N/A,#N/A,FALSE,"Partenariats";#N/A,#N/A,FALSE,"P.Diverses";#N/A,#N/A,FALSE,"Adm";#N/A,#N/A,FALSE,"Autres R-D";#N/A,#N/A,FALSE,"Intérêts"}</definedName>
    <definedName name="EX" hidden="1">{#N/A,#N/A,FALSE,"Centres";#N/A,#N/A,FALSE,"Partenariats";#N/A,#N/A,FALSE,"P.Diverses";#N/A,#N/A,FALSE,"Adm";#N/A,#N/A,FALSE,"Autres R-D";#N/A,#N/A,FALSE,"Intérêts"}</definedName>
    <definedName name="exc" localSheetId="14" hidden="1">{#N/A,#N/A,FALSE,"Centres";#N/A,#N/A,FALSE,"Partenariats";#N/A,#N/A,FALSE,"P.Diverses";#N/A,#N/A,FALSE,"Adm";#N/A,#N/A,FALSE,"Autres R-D";#N/A,#N/A,FALSE,"Intérêts"}</definedName>
    <definedName name="exc" hidden="1">{#N/A,#N/A,FALSE,"Centres";#N/A,#N/A,FALSE,"Partenariats";#N/A,#N/A,FALSE,"P.Diverses";#N/A,#N/A,FALSE,"Adm";#N/A,#N/A,FALSE,"Autres R-D";#N/A,#N/A,FALSE,"Intérêts"}</definedName>
    <definedName name="EXCCC" localSheetId="14" hidden="1">{#N/A,#N/A,FALSE,"Centres";#N/A,#N/A,FALSE,"Partenariats";#N/A,#N/A,FALSE,"P.Diverses";#N/A,#N/A,FALSE,"Adm";#N/A,#N/A,FALSE,"Autres R-D";#N/A,#N/A,FALSE,"Intérêts"}</definedName>
    <definedName name="EXCCC" hidden="1">{#N/A,#N/A,FALSE,"Centres";#N/A,#N/A,FALSE,"Partenariats";#N/A,#N/A,FALSE,"P.Diverses";#N/A,#N/A,FALSE,"Adm";#N/A,#N/A,FALSE,"Autres R-D";#N/A,#N/A,FALSE,"Intérêts"}</definedName>
    <definedName name="EXCLU" localSheetId="14" hidden="1">{#N/A,#N/A,FALSE,"Centres";#N/A,#N/A,FALSE,"Partenariats";#N/A,#N/A,FALSE,"P.Diverses";#N/A,#N/A,FALSE,"Adm";#N/A,#N/A,FALSE,"Autres R-D";#N/A,#N/A,FALSE,"Intérêts"}</definedName>
    <definedName name="EXCLU" hidden="1">{#N/A,#N/A,FALSE,"Centres";#N/A,#N/A,FALSE,"Partenariats";#N/A,#N/A,FALSE,"P.Diverses";#N/A,#N/A,FALSE,"Adm";#N/A,#N/A,FALSE,"Autres R-D";#N/A,#N/A,FALSE,"Intérêts"}</definedName>
    <definedName name="EXIT" hidden="1">{#N/A,#N/A,FALSE,"96 RENT SUM";#N/A,#N/A,FALSE,"LSGACTSCHED";#N/A,#N/A,FALSE,"Conc. Sched"}</definedName>
    <definedName name="EXIT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pense" localSheetId="14" hidden="1">{"Construction Costs",#N/A,FALSE,"Budget";"Income Statement",#N/A,FALSE,"Budget"}</definedName>
    <definedName name="expense" hidden="1">{"Construction Costs",#N/A,FALSE,"Budget";"Income Statement",#N/A,FALSE,"Budget"}</definedName>
    <definedName name="experiment" hidden="1">{#N/A,#N/A,FALSE,"Cashflow Analysis";#N/A,#N/A,FALSE,"Sensitivity Analysis";#N/A,#N/A,FALSE,"PV";#N/A,#N/A,FALSE,"Pro Forma"}</definedName>
    <definedName name="EXX" localSheetId="14" hidden="1">{#N/A,#N/A,FALSE,"Centres";#N/A,#N/A,FALSE,"Partenariats";#N/A,#N/A,FALSE,"P.Diverses";#N/A,#N/A,FALSE,"Adm";#N/A,#N/A,FALSE,"Autres R-D";#N/A,#N/A,FALSE,"Intérêts"}</definedName>
    <definedName name="EXX" hidden="1">{#N/A,#N/A,FALSE,"Centres";#N/A,#N/A,FALSE,"Partenariats";#N/A,#N/A,FALSE,"P.Diverses";#N/A,#N/A,FALSE,"Adm";#N/A,#N/A,FALSE,"Autres R-D";#N/A,#N/A,FALSE,"Intérêts"}</definedName>
    <definedName name="EXXE" localSheetId="14" hidden="1">{#N/A,#N/A,FALSE,"Centres";#N/A,#N/A,FALSE,"Partenariats";#N/A,#N/A,FALSE,"P.Diverses";#N/A,#N/A,FALSE,"Adm";#N/A,#N/A,FALSE,"Autres R-D";#N/A,#N/A,FALSE,"Intérêts"}</definedName>
    <definedName name="EXXE" hidden="1">{#N/A,#N/A,FALSE,"Centres";#N/A,#N/A,FALSE,"Partenariats";#N/A,#N/A,FALSE,"P.Diverses";#N/A,#N/A,FALSE,"Adm";#N/A,#N/A,FALSE,"Autres R-D";#N/A,#N/A,FALSE,"Intérêts"}</definedName>
    <definedName name="F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.u." hidden="1">{#N/A,#N/A,FALSE,"LOAN ANALYSIS"}</definedName>
    <definedName name="f.u.2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f.u.3" hidden="1">{#N/A,#N/A,FALSE,"COMPLIANCE"}</definedName>
    <definedName name="f.u.4" hidden="1">{#N/A,#N/A,FALSE,"PROP. DESCRIPTION"}</definedName>
    <definedName name="fadsf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asfasd" hidden="1">{"bs",#N/A,FALSE,"SCF"}</definedName>
    <definedName name="FDC_0_0" hidden="1">"#"</definedName>
    <definedName name="FDC_0_1" hidden="1">"#"</definedName>
    <definedName name="FDC_0_10" hidden="1">"#"</definedName>
    <definedName name="FDC_0_11" hidden="1">"#"</definedName>
    <definedName name="FDC_0_12" hidden="1">"#"</definedName>
    <definedName name="FDC_0_13" hidden="1">"#"</definedName>
    <definedName name="FDC_0_14" hidden="1">"#"</definedName>
    <definedName name="FDC_0_2" hidden="1">"#"</definedName>
    <definedName name="FDC_0_3" hidden="1">"#"</definedName>
    <definedName name="FDC_0_4" hidden="1">"#"</definedName>
    <definedName name="FDC_0_5" hidden="1">"#"</definedName>
    <definedName name="FDC_0_6" hidden="1">"#"</definedName>
    <definedName name="FDC_0_7" hidden="1">"#"</definedName>
    <definedName name="FDC_0_8" hidden="1">"#"</definedName>
    <definedName name="FDC_0_9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00_0" hidden="1">"#"</definedName>
    <definedName name="FDC_100_1" hidden="1">"#"</definedName>
    <definedName name="FDC_100_10" hidden="1">"#"</definedName>
    <definedName name="FDC_100_11" hidden="1">"#"</definedName>
    <definedName name="FDC_100_12" hidden="1">"#"</definedName>
    <definedName name="FDC_100_13" hidden="1">"#"</definedName>
    <definedName name="FDC_100_2" hidden="1">"#"</definedName>
    <definedName name="FDC_100_3" hidden="1">"#"</definedName>
    <definedName name="FDC_100_4" hidden="1">"#"</definedName>
    <definedName name="FDC_100_5" hidden="1">"#"</definedName>
    <definedName name="FDC_100_6" hidden="1">"#"</definedName>
    <definedName name="FDC_100_7" hidden="1">"#"</definedName>
    <definedName name="FDC_100_8" hidden="1">"#"</definedName>
    <definedName name="FDC_100_9" hidden="1">"#"</definedName>
    <definedName name="FDC_101_0" hidden="1">"#"</definedName>
    <definedName name="FDC_101_1" hidden="1">"#"</definedName>
    <definedName name="FDC_101_10" hidden="1">"#"</definedName>
    <definedName name="FDC_101_11" hidden="1">"#"</definedName>
    <definedName name="FDC_101_12" hidden="1">"#"</definedName>
    <definedName name="FDC_101_13" hidden="1">"#"</definedName>
    <definedName name="FDC_101_2" hidden="1">"#"</definedName>
    <definedName name="FDC_101_3" hidden="1">"#"</definedName>
    <definedName name="FDC_101_4" hidden="1">"#"</definedName>
    <definedName name="FDC_101_5" hidden="1">"#"</definedName>
    <definedName name="FDC_101_6" hidden="1">"#"</definedName>
    <definedName name="FDC_101_7" hidden="1">"#"</definedName>
    <definedName name="FDC_101_8" hidden="1">"#"</definedName>
    <definedName name="FDC_101_9" hidden="1">"#"</definedName>
    <definedName name="FDC_102_0" hidden="1">"#"</definedName>
    <definedName name="FDC_102_1" hidden="1">"#"</definedName>
    <definedName name="FDC_102_10" hidden="1">"#"</definedName>
    <definedName name="FDC_102_11" hidden="1">"#"</definedName>
    <definedName name="FDC_102_12" hidden="1">"#"</definedName>
    <definedName name="FDC_102_13" hidden="1">"#"</definedName>
    <definedName name="FDC_102_2" hidden="1">"#"</definedName>
    <definedName name="FDC_102_3" hidden="1">"#"</definedName>
    <definedName name="FDC_102_4" hidden="1">"#"</definedName>
    <definedName name="FDC_102_5" hidden="1">"#"</definedName>
    <definedName name="FDC_102_6" hidden="1">"#"</definedName>
    <definedName name="FDC_102_7" hidden="1">"#"</definedName>
    <definedName name="FDC_102_8" hidden="1">"#"</definedName>
    <definedName name="FDC_102_9" hidden="1">"#"</definedName>
    <definedName name="FDC_103_0" hidden="1">"#"</definedName>
    <definedName name="FDC_104_0" hidden="1">"#"</definedName>
    <definedName name="FDC_105_0" hidden="1">"#"</definedName>
    <definedName name="FDC_106_0" hidden="1">"#"</definedName>
    <definedName name="FDC_107_0" hidden="1">"#"</definedName>
    <definedName name="FDC_108_0" hidden="1">"#"</definedName>
    <definedName name="FDC_109_0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10_0" hidden="1">"#"</definedName>
    <definedName name="FDC_111_0" hidden="1">"#"</definedName>
    <definedName name="FDC_112_0" hidden="1">"#"</definedName>
    <definedName name="FDC_113_0" hidden="1">"#"</definedName>
    <definedName name="FDC_114_0" hidden="1">"#"</definedName>
    <definedName name="FDC_115_0" hidden="1">"#"</definedName>
    <definedName name="FDC_116_0" hidden="1">"#"</definedName>
    <definedName name="FDC_116_1" hidden="1">"#"</definedName>
    <definedName name="FDC_116_10" hidden="1">"#"</definedName>
    <definedName name="FDC_116_11" hidden="1">"#"</definedName>
    <definedName name="FDC_116_12" hidden="1">"#"</definedName>
    <definedName name="FDC_116_13" hidden="1">"#"</definedName>
    <definedName name="FDC_116_14" hidden="1">"#"</definedName>
    <definedName name="FDC_116_2" hidden="1">"#"</definedName>
    <definedName name="FDC_116_3" hidden="1">"#"</definedName>
    <definedName name="FDC_116_4" hidden="1">"#"</definedName>
    <definedName name="FDC_116_5" hidden="1">"#"</definedName>
    <definedName name="FDC_116_6" hidden="1">"#"</definedName>
    <definedName name="FDC_116_7" hidden="1">"#"</definedName>
    <definedName name="FDC_116_8" hidden="1">"#"</definedName>
    <definedName name="FDC_116_9" hidden="1">"#"</definedName>
    <definedName name="FDC_117_0" hidden="1">"#"</definedName>
    <definedName name="FDC_117_1" hidden="1">"#"</definedName>
    <definedName name="FDC_117_10" hidden="1">"#"</definedName>
    <definedName name="FDC_117_11" hidden="1">"#"</definedName>
    <definedName name="FDC_117_12" hidden="1">"#"</definedName>
    <definedName name="FDC_117_13" hidden="1">"#"</definedName>
    <definedName name="FDC_117_14" hidden="1">"#"</definedName>
    <definedName name="FDC_117_2" hidden="1">"#"</definedName>
    <definedName name="FDC_117_3" hidden="1">"#"</definedName>
    <definedName name="FDC_117_4" hidden="1">"#"</definedName>
    <definedName name="FDC_117_5" hidden="1">"#"</definedName>
    <definedName name="FDC_117_6" hidden="1">"#"</definedName>
    <definedName name="FDC_117_7" hidden="1">"#"</definedName>
    <definedName name="FDC_117_8" hidden="1">"#"</definedName>
    <definedName name="FDC_117_9" hidden="1">"#"</definedName>
    <definedName name="FDC_118_0" hidden="1">"#"</definedName>
    <definedName name="FDC_118_1" hidden="1">"#"</definedName>
    <definedName name="FDC_118_10" hidden="1">"#"</definedName>
    <definedName name="FDC_118_11" hidden="1">"#"</definedName>
    <definedName name="FDC_118_12" hidden="1">"#"</definedName>
    <definedName name="FDC_118_13" hidden="1">"#"</definedName>
    <definedName name="FDC_118_14" hidden="1">"#"</definedName>
    <definedName name="FDC_118_2" hidden="1">"#"</definedName>
    <definedName name="FDC_118_3" hidden="1">"#"</definedName>
    <definedName name="FDC_118_4" hidden="1">"#"</definedName>
    <definedName name="FDC_118_5" hidden="1">"#"</definedName>
    <definedName name="FDC_118_6" hidden="1">"#"</definedName>
    <definedName name="FDC_118_7" hidden="1">"#"</definedName>
    <definedName name="FDC_118_8" hidden="1">"#"</definedName>
    <definedName name="FDC_118_9" hidden="1">"#"</definedName>
    <definedName name="FDC_119_0" hidden="1">"#"</definedName>
    <definedName name="FDC_119_1" hidden="1">"#"</definedName>
    <definedName name="FDC_119_10" hidden="1">"#"</definedName>
    <definedName name="FDC_119_11" hidden="1">"#"</definedName>
    <definedName name="FDC_119_12" hidden="1">"#"</definedName>
    <definedName name="FDC_119_13" hidden="1">"#"</definedName>
    <definedName name="FDC_119_14" hidden="1">"#"</definedName>
    <definedName name="FDC_119_2" hidden="1">"#"</definedName>
    <definedName name="FDC_119_3" hidden="1">"#"</definedName>
    <definedName name="FDC_119_4" hidden="1">"#"</definedName>
    <definedName name="FDC_119_5" hidden="1">"#"</definedName>
    <definedName name="FDC_119_6" hidden="1">"#"</definedName>
    <definedName name="FDC_119_7" hidden="1">"#"</definedName>
    <definedName name="FDC_119_8" hidden="1">"#"</definedName>
    <definedName name="FDC_119_9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20_0" hidden="1">"#"</definedName>
    <definedName name="FDC_120_1" hidden="1">"#"</definedName>
    <definedName name="FDC_120_10" hidden="1">"#"</definedName>
    <definedName name="FDC_120_11" hidden="1">"#"</definedName>
    <definedName name="FDC_120_12" hidden="1">"#"</definedName>
    <definedName name="FDC_120_13" hidden="1">"#"</definedName>
    <definedName name="FDC_120_14" hidden="1">"#"</definedName>
    <definedName name="FDC_120_2" hidden="1">"#"</definedName>
    <definedName name="FDC_120_3" hidden="1">"#"</definedName>
    <definedName name="FDC_120_4" hidden="1">"#"</definedName>
    <definedName name="FDC_120_5" hidden="1">"#"</definedName>
    <definedName name="FDC_120_6" hidden="1">"#"</definedName>
    <definedName name="FDC_120_7" hidden="1">"#"</definedName>
    <definedName name="FDC_120_8" hidden="1">"#"</definedName>
    <definedName name="FDC_120_9" hidden="1">"#"</definedName>
    <definedName name="FDC_121_0" hidden="1">"#"</definedName>
    <definedName name="FDC_121_1" hidden="1">"#"</definedName>
    <definedName name="FDC_121_10" hidden="1">"#"</definedName>
    <definedName name="FDC_121_11" hidden="1">"#"</definedName>
    <definedName name="FDC_121_12" hidden="1">"#"</definedName>
    <definedName name="FDC_121_13" hidden="1">"#"</definedName>
    <definedName name="FDC_121_14" hidden="1">"#"</definedName>
    <definedName name="FDC_121_2" hidden="1">"#"</definedName>
    <definedName name="FDC_121_3" hidden="1">"#"</definedName>
    <definedName name="FDC_121_4" hidden="1">"#"</definedName>
    <definedName name="FDC_121_5" hidden="1">"#"</definedName>
    <definedName name="FDC_121_6" hidden="1">"#"</definedName>
    <definedName name="FDC_121_7" hidden="1">"#"</definedName>
    <definedName name="FDC_121_8" hidden="1">"#"</definedName>
    <definedName name="FDC_121_9" hidden="1">"#"</definedName>
    <definedName name="FDC_122_0" hidden="1">"#"</definedName>
    <definedName name="FDC_122_1" hidden="1">"#"</definedName>
    <definedName name="FDC_122_10" hidden="1">"#"</definedName>
    <definedName name="FDC_122_11" hidden="1">"#"</definedName>
    <definedName name="FDC_122_12" hidden="1">"#"</definedName>
    <definedName name="FDC_122_13" hidden="1">"#"</definedName>
    <definedName name="FDC_122_14" hidden="1">"#"</definedName>
    <definedName name="FDC_122_2" hidden="1">"#"</definedName>
    <definedName name="FDC_122_3" hidden="1">"#"</definedName>
    <definedName name="FDC_122_4" hidden="1">"#"</definedName>
    <definedName name="FDC_122_5" hidden="1">"#"</definedName>
    <definedName name="FDC_122_6" hidden="1">"#"</definedName>
    <definedName name="FDC_122_7" hidden="1">"#"</definedName>
    <definedName name="FDC_122_8" hidden="1">"#"</definedName>
    <definedName name="FDC_122_9" hidden="1">"#"</definedName>
    <definedName name="FDC_123_0" hidden="1">"#"</definedName>
    <definedName name="FDC_123_1" hidden="1">"#"</definedName>
    <definedName name="FDC_123_10" hidden="1">"#"</definedName>
    <definedName name="FDC_123_11" hidden="1">"#"</definedName>
    <definedName name="FDC_123_12" hidden="1">"#"</definedName>
    <definedName name="FDC_123_13" hidden="1">"#"</definedName>
    <definedName name="FDC_123_14" hidden="1">"#"</definedName>
    <definedName name="FDC_123_2" hidden="1">"#"</definedName>
    <definedName name="FDC_123_3" hidden="1">"#"</definedName>
    <definedName name="FDC_123_4" hidden="1">"#"</definedName>
    <definedName name="FDC_123_5" hidden="1">"#"</definedName>
    <definedName name="FDC_123_6" hidden="1">"#"</definedName>
    <definedName name="FDC_123_7" hidden="1">"#"</definedName>
    <definedName name="FDC_123_8" hidden="1">"#"</definedName>
    <definedName name="FDC_123_9" hidden="1">"#"</definedName>
    <definedName name="FDC_124_0" hidden="1">"#"</definedName>
    <definedName name="FDC_124_1" hidden="1">"#"</definedName>
    <definedName name="FDC_124_10" hidden="1">"#"</definedName>
    <definedName name="FDC_124_11" hidden="1">"#"</definedName>
    <definedName name="FDC_124_12" hidden="1">"#"</definedName>
    <definedName name="FDC_124_13" hidden="1">"#"</definedName>
    <definedName name="FDC_124_14" hidden="1">"#"</definedName>
    <definedName name="FDC_124_2" hidden="1">"#"</definedName>
    <definedName name="FDC_124_3" hidden="1">"#"</definedName>
    <definedName name="FDC_124_4" hidden="1">"#"</definedName>
    <definedName name="FDC_124_5" hidden="1">"#"</definedName>
    <definedName name="FDC_124_6" hidden="1">"#"</definedName>
    <definedName name="FDC_124_7" hidden="1">"#"</definedName>
    <definedName name="FDC_124_8" hidden="1">"#"</definedName>
    <definedName name="FDC_124_9" hidden="1">"#"</definedName>
    <definedName name="FDC_125_0" hidden="1">"#"</definedName>
    <definedName name="FDC_125_1" hidden="1">"#"</definedName>
    <definedName name="FDC_125_10" hidden="1">"#"</definedName>
    <definedName name="FDC_125_11" hidden="1">"#"</definedName>
    <definedName name="FDC_125_12" hidden="1">"#"</definedName>
    <definedName name="FDC_125_13" hidden="1">"#"</definedName>
    <definedName name="FDC_125_14" hidden="1">"#"</definedName>
    <definedName name="FDC_125_2" hidden="1">"#"</definedName>
    <definedName name="FDC_125_3" hidden="1">"#"</definedName>
    <definedName name="FDC_125_4" hidden="1">"#"</definedName>
    <definedName name="FDC_125_5" hidden="1">"#"</definedName>
    <definedName name="FDC_125_6" hidden="1">"#"</definedName>
    <definedName name="FDC_125_7" hidden="1">"#"</definedName>
    <definedName name="FDC_125_8" hidden="1">"#"</definedName>
    <definedName name="FDC_125_9" hidden="1">"#"</definedName>
    <definedName name="FDC_126_0" hidden="1">"#"</definedName>
    <definedName name="FDC_126_1" hidden="1">"#"</definedName>
    <definedName name="FDC_126_10" hidden="1">"#"</definedName>
    <definedName name="FDC_126_11" hidden="1">"#"</definedName>
    <definedName name="FDC_126_12" hidden="1">"#"</definedName>
    <definedName name="FDC_126_13" hidden="1">"#"</definedName>
    <definedName name="FDC_126_14" hidden="1">"#"</definedName>
    <definedName name="FDC_126_2" hidden="1">"#"</definedName>
    <definedName name="FDC_126_3" hidden="1">"#"</definedName>
    <definedName name="FDC_126_4" hidden="1">"#"</definedName>
    <definedName name="FDC_126_5" hidden="1">"#"</definedName>
    <definedName name="FDC_126_6" hidden="1">"#"</definedName>
    <definedName name="FDC_126_7" hidden="1">"#"</definedName>
    <definedName name="FDC_126_8" hidden="1">"#"</definedName>
    <definedName name="FDC_126_9" hidden="1">"#"</definedName>
    <definedName name="FDC_127_0" hidden="1">"#"</definedName>
    <definedName name="FDC_127_1" hidden="1">"#"</definedName>
    <definedName name="FDC_127_10" hidden="1">"#"</definedName>
    <definedName name="FDC_127_11" hidden="1">"#"</definedName>
    <definedName name="FDC_127_12" hidden="1">"#"</definedName>
    <definedName name="FDC_127_13" hidden="1">"#"</definedName>
    <definedName name="FDC_127_14" hidden="1">"#"</definedName>
    <definedName name="FDC_127_2" hidden="1">"#"</definedName>
    <definedName name="FDC_127_3" hidden="1">"#"</definedName>
    <definedName name="FDC_127_4" hidden="1">"#"</definedName>
    <definedName name="FDC_127_5" hidden="1">"#"</definedName>
    <definedName name="FDC_127_6" hidden="1">"#"</definedName>
    <definedName name="FDC_127_7" hidden="1">"#"</definedName>
    <definedName name="FDC_127_8" hidden="1">"#"</definedName>
    <definedName name="FDC_127_9" hidden="1">"#"</definedName>
    <definedName name="FDC_128_0" hidden="1">"#"</definedName>
    <definedName name="FDC_128_1" hidden="1">"#"</definedName>
    <definedName name="FDC_128_10" hidden="1">"#"</definedName>
    <definedName name="FDC_128_11" hidden="1">"#"</definedName>
    <definedName name="FDC_128_12" hidden="1">"#"</definedName>
    <definedName name="FDC_128_13" hidden="1">"#"</definedName>
    <definedName name="FDC_128_14" hidden="1">"#"</definedName>
    <definedName name="FDC_128_2" hidden="1">"#"</definedName>
    <definedName name="FDC_128_3" hidden="1">"#"</definedName>
    <definedName name="FDC_128_4" hidden="1">"#"</definedName>
    <definedName name="FDC_128_5" hidden="1">"#"</definedName>
    <definedName name="FDC_128_6" hidden="1">"#"</definedName>
    <definedName name="FDC_128_7" hidden="1">"#"</definedName>
    <definedName name="FDC_128_8" hidden="1">"#"</definedName>
    <definedName name="FDC_128_9" hidden="1">"#"</definedName>
    <definedName name="FDC_129_0" hidden="1">"#"</definedName>
    <definedName name="FDC_129_1" hidden="1">"#"</definedName>
    <definedName name="FDC_129_10" hidden="1">"#"</definedName>
    <definedName name="FDC_129_11" hidden="1">"#"</definedName>
    <definedName name="FDC_129_12" hidden="1">"#"</definedName>
    <definedName name="FDC_129_13" hidden="1">"#"</definedName>
    <definedName name="FDC_129_14" hidden="1">"#"</definedName>
    <definedName name="FDC_129_2" hidden="1">"#"</definedName>
    <definedName name="FDC_129_3" hidden="1">"#"</definedName>
    <definedName name="FDC_129_4" hidden="1">"#"</definedName>
    <definedName name="FDC_129_5" hidden="1">"#"</definedName>
    <definedName name="FDC_129_6" hidden="1">"#"</definedName>
    <definedName name="FDC_129_7" hidden="1">"#"</definedName>
    <definedName name="FDC_129_8" hidden="1">"#"</definedName>
    <definedName name="FDC_129_9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30_0" hidden="1">"#"</definedName>
    <definedName name="FDC_130_1" hidden="1">"#"</definedName>
    <definedName name="FDC_130_10" hidden="1">"#"</definedName>
    <definedName name="FDC_130_11" hidden="1">"#"</definedName>
    <definedName name="FDC_130_12" hidden="1">"#"</definedName>
    <definedName name="FDC_130_13" hidden="1">"#"</definedName>
    <definedName name="FDC_130_14" hidden="1">"#"</definedName>
    <definedName name="FDC_130_2" hidden="1">"#"</definedName>
    <definedName name="FDC_130_3" hidden="1">"#"</definedName>
    <definedName name="FDC_130_4" hidden="1">"#"</definedName>
    <definedName name="FDC_130_5" hidden="1">"#"</definedName>
    <definedName name="FDC_130_6" hidden="1">"#"</definedName>
    <definedName name="FDC_130_7" hidden="1">"#"</definedName>
    <definedName name="FDC_130_8" hidden="1">"#"</definedName>
    <definedName name="FDC_130_9" hidden="1">"#"</definedName>
    <definedName name="FDC_131_0" hidden="1">"#"</definedName>
    <definedName name="FDC_131_1" hidden="1">"#"</definedName>
    <definedName name="FDC_131_10" hidden="1">"#"</definedName>
    <definedName name="FDC_131_11" hidden="1">"#"</definedName>
    <definedName name="FDC_131_12" hidden="1">"#"</definedName>
    <definedName name="FDC_131_13" hidden="1">"#"</definedName>
    <definedName name="FDC_131_14" hidden="1">"#"</definedName>
    <definedName name="FDC_131_2" hidden="1">"#"</definedName>
    <definedName name="FDC_131_3" hidden="1">"#"</definedName>
    <definedName name="FDC_131_4" hidden="1">"#"</definedName>
    <definedName name="FDC_131_5" hidden="1">"#"</definedName>
    <definedName name="FDC_131_6" hidden="1">"#"</definedName>
    <definedName name="FDC_131_7" hidden="1">"#"</definedName>
    <definedName name="FDC_131_8" hidden="1">"#"</definedName>
    <definedName name="FDC_131_9" hidden="1">"#"</definedName>
    <definedName name="FDC_132_0" hidden="1">"#"</definedName>
    <definedName name="FDC_132_1" hidden="1">"#"</definedName>
    <definedName name="FDC_132_10" hidden="1">"#"</definedName>
    <definedName name="FDC_132_11" hidden="1">"#"</definedName>
    <definedName name="FDC_132_12" hidden="1">"#"</definedName>
    <definedName name="FDC_132_13" hidden="1">"#"</definedName>
    <definedName name="FDC_132_14" hidden="1">"#"</definedName>
    <definedName name="FDC_132_2" hidden="1">"#"</definedName>
    <definedName name="FDC_132_3" hidden="1">"#"</definedName>
    <definedName name="FDC_132_4" hidden="1">"#"</definedName>
    <definedName name="FDC_132_5" hidden="1">"#"</definedName>
    <definedName name="FDC_132_6" hidden="1">"#"</definedName>
    <definedName name="FDC_132_7" hidden="1">"#"</definedName>
    <definedName name="FDC_132_8" hidden="1">"#"</definedName>
    <definedName name="FDC_132_9" hidden="1">"#"</definedName>
    <definedName name="FDC_133_0" hidden="1">"#"</definedName>
    <definedName name="FDC_133_1" hidden="1">"#"</definedName>
    <definedName name="FDC_133_10" hidden="1">"#"</definedName>
    <definedName name="FDC_133_11" hidden="1">"#"</definedName>
    <definedName name="FDC_133_12" hidden="1">"#"</definedName>
    <definedName name="FDC_133_13" hidden="1">"#"</definedName>
    <definedName name="FDC_133_14" hidden="1">"#"</definedName>
    <definedName name="FDC_133_2" hidden="1">"#"</definedName>
    <definedName name="FDC_133_3" hidden="1">"#"</definedName>
    <definedName name="FDC_133_4" hidden="1">"#"</definedName>
    <definedName name="FDC_133_5" hidden="1">"#"</definedName>
    <definedName name="FDC_133_6" hidden="1">"#"</definedName>
    <definedName name="FDC_133_7" hidden="1">"#"</definedName>
    <definedName name="FDC_133_8" hidden="1">"#"</definedName>
    <definedName name="FDC_133_9" hidden="1">"#"</definedName>
    <definedName name="FDC_134_0" hidden="1">"#"</definedName>
    <definedName name="FDC_134_1" hidden="1">"#"</definedName>
    <definedName name="FDC_134_10" hidden="1">"#"</definedName>
    <definedName name="FDC_134_11" hidden="1">"#"</definedName>
    <definedName name="FDC_134_12" hidden="1">"#"</definedName>
    <definedName name="FDC_134_13" hidden="1">"#"</definedName>
    <definedName name="FDC_134_14" hidden="1">"#"</definedName>
    <definedName name="FDC_134_2" hidden="1">"#"</definedName>
    <definedName name="FDC_134_3" hidden="1">"#"</definedName>
    <definedName name="FDC_134_4" hidden="1">"#"</definedName>
    <definedName name="FDC_134_5" hidden="1">"#"</definedName>
    <definedName name="FDC_134_6" hidden="1">"#"</definedName>
    <definedName name="FDC_134_7" hidden="1">"#"</definedName>
    <definedName name="FDC_134_8" hidden="1">"#"</definedName>
    <definedName name="FDC_134_9" hidden="1">"#"</definedName>
    <definedName name="FDC_135_0" hidden="1">"#"</definedName>
    <definedName name="FDC_135_1" hidden="1">"#"</definedName>
    <definedName name="FDC_135_10" hidden="1">"#"</definedName>
    <definedName name="FDC_135_11" hidden="1">"#"</definedName>
    <definedName name="FDC_135_12" hidden="1">"#"</definedName>
    <definedName name="FDC_135_13" hidden="1">"#"</definedName>
    <definedName name="FDC_135_14" hidden="1">"#"</definedName>
    <definedName name="FDC_135_2" hidden="1">"#"</definedName>
    <definedName name="FDC_135_3" hidden="1">"#"</definedName>
    <definedName name="FDC_135_4" hidden="1">"#"</definedName>
    <definedName name="FDC_135_5" hidden="1">"#"</definedName>
    <definedName name="FDC_135_6" hidden="1">"#"</definedName>
    <definedName name="FDC_135_7" hidden="1">"#"</definedName>
    <definedName name="FDC_135_8" hidden="1">"#"</definedName>
    <definedName name="FDC_135_9" hidden="1">"#"</definedName>
    <definedName name="FDC_136_0" hidden="1">"#"</definedName>
    <definedName name="FDC_136_1" hidden="1">"#"</definedName>
    <definedName name="FDC_136_10" hidden="1">"#"</definedName>
    <definedName name="FDC_136_11" hidden="1">"#"</definedName>
    <definedName name="FDC_136_12" hidden="1">"#"</definedName>
    <definedName name="FDC_136_13" hidden="1">"#"</definedName>
    <definedName name="FDC_136_14" hidden="1">"#"</definedName>
    <definedName name="FDC_136_2" hidden="1">"#"</definedName>
    <definedName name="FDC_136_3" hidden="1">"#"</definedName>
    <definedName name="FDC_136_4" hidden="1">"#"</definedName>
    <definedName name="FDC_136_5" hidden="1">"#"</definedName>
    <definedName name="FDC_136_6" hidden="1">"#"</definedName>
    <definedName name="FDC_136_7" hidden="1">"#"</definedName>
    <definedName name="FDC_136_8" hidden="1">"#"</definedName>
    <definedName name="FDC_136_9" hidden="1">"#"</definedName>
    <definedName name="FDC_137_0" hidden="1">"#"</definedName>
    <definedName name="FDC_137_1" hidden="1">"#"</definedName>
    <definedName name="FDC_137_10" hidden="1">"#"</definedName>
    <definedName name="FDC_137_11" hidden="1">"#"</definedName>
    <definedName name="FDC_137_12" hidden="1">"#"</definedName>
    <definedName name="FDC_137_13" hidden="1">"#"</definedName>
    <definedName name="FDC_137_14" hidden="1">"#"</definedName>
    <definedName name="FDC_137_2" hidden="1">"#"</definedName>
    <definedName name="FDC_137_3" hidden="1">"#"</definedName>
    <definedName name="FDC_137_4" hidden="1">"#"</definedName>
    <definedName name="FDC_137_5" hidden="1">"#"</definedName>
    <definedName name="FDC_137_6" hidden="1">"#"</definedName>
    <definedName name="FDC_137_7" hidden="1">"#"</definedName>
    <definedName name="FDC_137_8" hidden="1">"#"</definedName>
    <definedName name="FDC_137_9" hidden="1">"#"</definedName>
    <definedName name="FDC_138_0" hidden="1">"#"</definedName>
    <definedName name="FDC_138_1" hidden="1">"#"</definedName>
    <definedName name="FDC_138_10" hidden="1">"#"</definedName>
    <definedName name="FDC_138_11" hidden="1">"#"</definedName>
    <definedName name="FDC_138_12" hidden="1">"#"</definedName>
    <definedName name="FDC_138_13" hidden="1">"#"</definedName>
    <definedName name="FDC_138_14" hidden="1">"#"</definedName>
    <definedName name="FDC_138_2" hidden="1">"#"</definedName>
    <definedName name="FDC_138_3" hidden="1">"#"</definedName>
    <definedName name="FDC_138_4" hidden="1">"#"</definedName>
    <definedName name="FDC_138_5" hidden="1">"#"</definedName>
    <definedName name="FDC_138_6" hidden="1">"#"</definedName>
    <definedName name="FDC_138_7" hidden="1">"#"</definedName>
    <definedName name="FDC_138_8" hidden="1">"#"</definedName>
    <definedName name="FDC_138_9" hidden="1">"#"</definedName>
    <definedName name="FDC_139_0" hidden="1">"#"</definedName>
    <definedName name="FDC_139_1" hidden="1">"#"</definedName>
    <definedName name="FDC_139_10" hidden="1">"#"</definedName>
    <definedName name="FDC_139_11" hidden="1">"#"</definedName>
    <definedName name="FDC_139_12" hidden="1">"#"</definedName>
    <definedName name="FDC_139_13" hidden="1">"#"</definedName>
    <definedName name="FDC_139_14" hidden="1">"#"</definedName>
    <definedName name="FDC_139_2" hidden="1">"#"</definedName>
    <definedName name="FDC_139_3" hidden="1">"#"</definedName>
    <definedName name="FDC_139_4" hidden="1">"#"</definedName>
    <definedName name="FDC_139_5" hidden="1">"#"</definedName>
    <definedName name="FDC_139_6" hidden="1">"#"</definedName>
    <definedName name="FDC_139_7" hidden="1">"#"</definedName>
    <definedName name="FDC_139_8" hidden="1">"#"</definedName>
    <definedName name="FDC_139_9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40_0" hidden="1">"#"</definedName>
    <definedName name="FDC_140_1" hidden="1">"#"</definedName>
    <definedName name="FDC_140_10" hidden="1">"#"</definedName>
    <definedName name="FDC_140_11" hidden="1">"#"</definedName>
    <definedName name="FDC_140_12" hidden="1">"#"</definedName>
    <definedName name="FDC_140_13" hidden="1">"#"</definedName>
    <definedName name="FDC_140_14" hidden="1">"#"</definedName>
    <definedName name="FDC_140_2" hidden="1">"#"</definedName>
    <definedName name="FDC_140_3" hidden="1">"#"</definedName>
    <definedName name="FDC_140_4" hidden="1">"#"</definedName>
    <definedName name="FDC_140_5" hidden="1">"#"</definedName>
    <definedName name="FDC_140_6" hidden="1">"#"</definedName>
    <definedName name="FDC_140_7" hidden="1">"#"</definedName>
    <definedName name="FDC_140_8" hidden="1">"#"</definedName>
    <definedName name="FDC_140_9" hidden="1">"#"</definedName>
    <definedName name="FDC_141_0" hidden="1">"#"</definedName>
    <definedName name="FDC_141_1" hidden="1">"#"</definedName>
    <definedName name="FDC_141_10" hidden="1">"#"</definedName>
    <definedName name="FDC_141_11" hidden="1">"#"</definedName>
    <definedName name="FDC_141_12" hidden="1">"#"</definedName>
    <definedName name="FDC_141_13" hidden="1">"#"</definedName>
    <definedName name="FDC_141_14" hidden="1">"#"</definedName>
    <definedName name="FDC_141_2" hidden="1">"#"</definedName>
    <definedName name="FDC_141_3" hidden="1">"#"</definedName>
    <definedName name="FDC_141_4" hidden="1">"#"</definedName>
    <definedName name="FDC_141_5" hidden="1">"#"</definedName>
    <definedName name="FDC_141_6" hidden="1">"#"</definedName>
    <definedName name="FDC_141_7" hidden="1">"#"</definedName>
    <definedName name="FDC_141_8" hidden="1">"#"</definedName>
    <definedName name="FDC_141_9" hidden="1">"#"</definedName>
    <definedName name="FDC_142_0" hidden="1">"#"</definedName>
    <definedName name="FDC_142_1" hidden="1">"#"</definedName>
    <definedName name="FDC_142_10" hidden="1">"#"</definedName>
    <definedName name="FDC_142_11" hidden="1">"#"</definedName>
    <definedName name="FDC_142_12" hidden="1">"#"</definedName>
    <definedName name="FDC_142_13" hidden="1">"#"</definedName>
    <definedName name="FDC_142_14" hidden="1">"#"</definedName>
    <definedName name="FDC_142_2" hidden="1">"#"</definedName>
    <definedName name="FDC_142_3" hidden="1">"#"</definedName>
    <definedName name="FDC_142_4" hidden="1">"#"</definedName>
    <definedName name="FDC_142_5" hidden="1">"#"</definedName>
    <definedName name="FDC_142_6" hidden="1">"#"</definedName>
    <definedName name="FDC_142_7" hidden="1">"#"</definedName>
    <definedName name="FDC_142_8" hidden="1">"#"</definedName>
    <definedName name="FDC_142_9" hidden="1">"#"</definedName>
    <definedName name="FDC_143_0" hidden="1">"#"</definedName>
    <definedName name="FDC_143_1" hidden="1">"#"</definedName>
    <definedName name="FDC_143_10" hidden="1">"#"</definedName>
    <definedName name="FDC_143_11" hidden="1">"#"</definedName>
    <definedName name="FDC_143_12" hidden="1">"#"</definedName>
    <definedName name="FDC_143_13" hidden="1">"#"</definedName>
    <definedName name="FDC_143_14" hidden="1">"#"</definedName>
    <definedName name="FDC_143_2" hidden="1">"#"</definedName>
    <definedName name="FDC_143_3" hidden="1">"#"</definedName>
    <definedName name="FDC_143_4" hidden="1">"#"</definedName>
    <definedName name="FDC_143_5" hidden="1">"#"</definedName>
    <definedName name="FDC_143_6" hidden="1">"#"</definedName>
    <definedName name="FDC_143_7" hidden="1">"#"</definedName>
    <definedName name="FDC_143_8" hidden="1">"#"</definedName>
    <definedName name="FDC_143_9" hidden="1">"#"</definedName>
    <definedName name="FDC_144_0" hidden="1">"#"</definedName>
    <definedName name="FDC_144_1" hidden="1">"#"</definedName>
    <definedName name="FDC_144_10" hidden="1">"#"</definedName>
    <definedName name="FDC_144_11" hidden="1">"#"</definedName>
    <definedName name="FDC_144_12" hidden="1">"#"</definedName>
    <definedName name="FDC_144_13" hidden="1">"#"</definedName>
    <definedName name="FDC_144_14" hidden="1">"#"</definedName>
    <definedName name="FDC_144_2" hidden="1">"#"</definedName>
    <definedName name="FDC_144_3" hidden="1">"#"</definedName>
    <definedName name="FDC_144_4" hidden="1">"#"</definedName>
    <definedName name="FDC_144_5" hidden="1">"#"</definedName>
    <definedName name="FDC_144_6" hidden="1">"#"</definedName>
    <definedName name="FDC_144_7" hidden="1">"#"</definedName>
    <definedName name="FDC_144_8" hidden="1">"#"</definedName>
    <definedName name="FDC_144_9" hidden="1">"#"</definedName>
    <definedName name="FDC_145_0" hidden="1">"#"</definedName>
    <definedName name="FDC_145_1" hidden="1">"#"</definedName>
    <definedName name="FDC_145_10" hidden="1">"#"</definedName>
    <definedName name="FDC_145_11" hidden="1">"#"</definedName>
    <definedName name="FDC_145_12" hidden="1">"#"</definedName>
    <definedName name="FDC_145_13" hidden="1">"#"</definedName>
    <definedName name="FDC_145_14" hidden="1">"#"</definedName>
    <definedName name="FDC_145_2" hidden="1">"#"</definedName>
    <definedName name="FDC_145_3" hidden="1">"#"</definedName>
    <definedName name="FDC_145_4" hidden="1">"#"</definedName>
    <definedName name="FDC_145_5" hidden="1">"#"</definedName>
    <definedName name="FDC_145_6" hidden="1">"#"</definedName>
    <definedName name="FDC_145_7" hidden="1">"#"</definedName>
    <definedName name="FDC_145_8" hidden="1">"#"</definedName>
    <definedName name="FDC_145_9" hidden="1">"#"</definedName>
    <definedName name="FDC_146_0" hidden="1">"#"</definedName>
    <definedName name="FDC_146_1" hidden="1">"#"</definedName>
    <definedName name="FDC_146_10" hidden="1">"#"</definedName>
    <definedName name="FDC_146_11" hidden="1">"#"</definedName>
    <definedName name="FDC_146_12" hidden="1">"#"</definedName>
    <definedName name="FDC_146_13" hidden="1">"#"</definedName>
    <definedName name="FDC_146_14" hidden="1">"#"</definedName>
    <definedName name="FDC_146_2" hidden="1">"#"</definedName>
    <definedName name="FDC_146_3" hidden="1">"#"</definedName>
    <definedName name="FDC_146_4" hidden="1">"#"</definedName>
    <definedName name="FDC_146_5" hidden="1">"#"</definedName>
    <definedName name="FDC_146_6" hidden="1">"#"</definedName>
    <definedName name="FDC_146_7" hidden="1">"#"</definedName>
    <definedName name="FDC_146_8" hidden="1">"#"</definedName>
    <definedName name="FDC_146_9" hidden="1">"#"</definedName>
    <definedName name="FDC_147_0" hidden="1">"#"</definedName>
    <definedName name="FDC_147_1" hidden="1">"#"</definedName>
    <definedName name="FDC_147_10" hidden="1">"#"</definedName>
    <definedName name="FDC_147_11" hidden="1">"#"</definedName>
    <definedName name="FDC_147_12" hidden="1">"#"</definedName>
    <definedName name="FDC_147_13" hidden="1">"#"</definedName>
    <definedName name="FDC_147_14" hidden="1">"#"</definedName>
    <definedName name="FDC_147_2" hidden="1">"#"</definedName>
    <definedName name="FDC_147_3" hidden="1">"#"</definedName>
    <definedName name="FDC_147_4" hidden="1">"#"</definedName>
    <definedName name="FDC_147_5" hidden="1">"#"</definedName>
    <definedName name="FDC_147_6" hidden="1">"#"</definedName>
    <definedName name="FDC_147_7" hidden="1">"#"</definedName>
    <definedName name="FDC_147_8" hidden="1">"#"</definedName>
    <definedName name="FDC_147_9" hidden="1">"#"</definedName>
    <definedName name="FDC_148_0" hidden="1">"#"</definedName>
    <definedName name="FDC_148_1" hidden="1">"#"</definedName>
    <definedName name="FDC_148_10" hidden="1">"#"</definedName>
    <definedName name="FDC_148_11" hidden="1">"#"</definedName>
    <definedName name="FDC_148_12" hidden="1">"#"</definedName>
    <definedName name="FDC_148_13" hidden="1">"#"</definedName>
    <definedName name="FDC_148_14" hidden="1">"#"</definedName>
    <definedName name="FDC_148_2" hidden="1">"#"</definedName>
    <definedName name="FDC_148_3" hidden="1">"#"</definedName>
    <definedName name="FDC_148_4" hidden="1">"#"</definedName>
    <definedName name="FDC_148_5" hidden="1">"#"</definedName>
    <definedName name="FDC_148_6" hidden="1">"#"</definedName>
    <definedName name="FDC_148_7" hidden="1">"#"</definedName>
    <definedName name="FDC_148_8" hidden="1">"#"</definedName>
    <definedName name="FDC_148_9" hidden="1">"#"</definedName>
    <definedName name="FDC_149_0" hidden="1">"#"</definedName>
    <definedName name="FDC_149_1" hidden="1">"#"</definedName>
    <definedName name="FDC_149_10" hidden="1">"#"</definedName>
    <definedName name="FDC_149_11" hidden="1">"#"</definedName>
    <definedName name="FDC_149_12" hidden="1">"#"</definedName>
    <definedName name="FDC_149_13" hidden="1">"#"</definedName>
    <definedName name="FDC_149_14" hidden="1">"#"</definedName>
    <definedName name="FDC_149_2" hidden="1">"#"</definedName>
    <definedName name="FDC_149_3" hidden="1">"#"</definedName>
    <definedName name="FDC_149_4" hidden="1">"#"</definedName>
    <definedName name="FDC_149_5" hidden="1">"#"</definedName>
    <definedName name="FDC_149_6" hidden="1">"#"</definedName>
    <definedName name="FDC_149_7" hidden="1">"#"</definedName>
    <definedName name="FDC_149_8" hidden="1">"#"</definedName>
    <definedName name="FDC_149_9" hidden="1">"#"</definedName>
    <definedName name="FDC_15_0" hidden="1">"#"</definedName>
    <definedName name="FDC_150_0" hidden="1">"#"</definedName>
    <definedName name="FDC_150_1" hidden="1">"#"</definedName>
    <definedName name="FDC_150_10" hidden="1">"#"</definedName>
    <definedName name="FDC_150_11" hidden="1">"#"</definedName>
    <definedName name="FDC_150_12" hidden="1">"#"</definedName>
    <definedName name="FDC_150_13" hidden="1">"#"</definedName>
    <definedName name="FDC_150_14" hidden="1">"#"</definedName>
    <definedName name="FDC_150_2" hidden="1">"#"</definedName>
    <definedName name="FDC_150_3" hidden="1">"#"</definedName>
    <definedName name="FDC_150_4" hidden="1">"#"</definedName>
    <definedName name="FDC_150_5" hidden="1">"#"</definedName>
    <definedName name="FDC_150_6" hidden="1">"#"</definedName>
    <definedName name="FDC_150_7" hidden="1">"#"</definedName>
    <definedName name="FDC_150_8" hidden="1">"#"</definedName>
    <definedName name="FDC_150_9" hidden="1">"#"</definedName>
    <definedName name="FDC_151_0" hidden="1">"#"</definedName>
    <definedName name="FDC_151_1" hidden="1">"#"</definedName>
    <definedName name="FDC_151_10" hidden="1">"#"</definedName>
    <definedName name="FDC_151_11" hidden="1">"#"</definedName>
    <definedName name="FDC_151_12" hidden="1">"#"</definedName>
    <definedName name="FDC_151_13" hidden="1">"#"</definedName>
    <definedName name="FDC_151_14" hidden="1">"#"</definedName>
    <definedName name="FDC_151_15" hidden="1">"#"</definedName>
    <definedName name="FDC_151_2" hidden="1">"#"</definedName>
    <definedName name="FDC_151_3" hidden="1">"#"</definedName>
    <definedName name="FDC_151_4" hidden="1">"#"</definedName>
    <definedName name="FDC_151_5" hidden="1">"#"</definedName>
    <definedName name="FDC_151_6" hidden="1">"#"</definedName>
    <definedName name="FDC_151_7" hidden="1">"#"</definedName>
    <definedName name="FDC_151_8" hidden="1">"#"</definedName>
    <definedName name="FDC_151_9" hidden="1">"#"</definedName>
    <definedName name="FDC_152_0" hidden="1">"#"</definedName>
    <definedName name="FDC_152_1" hidden="1">"#"</definedName>
    <definedName name="FDC_152_10" hidden="1">"#"</definedName>
    <definedName name="FDC_152_11" hidden="1">"#"</definedName>
    <definedName name="FDC_152_12" hidden="1">"#"</definedName>
    <definedName name="FDC_152_13" hidden="1">"#"</definedName>
    <definedName name="FDC_152_14" hidden="1">"#"</definedName>
    <definedName name="FDC_152_15" hidden="1">"#"</definedName>
    <definedName name="FDC_152_2" hidden="1">"#"</definedName>
    <definedName name="FDC_152_3" hidden="1">"#"</definedName>
    <definedName name="FDC_152_4" hidden="1">"#"</definedName>
    <definedName name="FDC_152_5" hidden="1">"#"</definedName>
    <definedName name="FDC_152_6" hidden="1">"#"</definedName>
    <definedName name="FDC_152_7" hidden="1">"#"</definedName>
    <definedName name="FDC_152_8" hidden="1">"#"</definedName>
    <definedName name="FDC_152_9" hidden="1">"#"</definedName>
    <definedName name="FDC_153_0" hidden="1">"#"</definedName>
    <definedName name="FDC_153_1" hidden="1">"#"</definedName>
    <definedName name="FDC_153_10" hidden="1">"#"</definedName>
    <definedName name="FDC_153_11" hidden="1">"#"</definedName>
    <definedName name="FDC_153_12" hidden="1">"#"</definedName>
    <definedName name="FDC_153_13" hidden="1">"#"</definedName>
    <definedName name="FDC_153_14" hidden="1">"#"</definedName>
    <definedName name="FDC_153_2" hidden="1">"#"</definedName>
    <definedName name="FDC_153_3" hidden="1">"#"</definedName>
    <definedName name="FDC_153_4" hidden="1">"#"</definedName>
    <definedName name="FDC_153_5" hidden="1">"#"</definedName>
    <definedName name="FDC_153_6" hidden="1">"#"</definedName>
    <definedName name="FDC_153_7" hidden="1">"#"</definedName>
    <definedName name="FDC_153_8" hidden="1">"#"</definedName>
    <definedName name="FDC_153_9" hidden="1">"#"</definedName>
    <definedName name="FDC_154_0" hidden="1">"#"</definedName>
    <definedName name="FDC_154_1" hidden="1">"#"</definedName>
    <definedName name="FDC_154_10" hidden="1">"#"</definedName>
    <definedName name="FDC_154_11" hidden="1">"#"</definedName>
    <definedName name="FDC_154_12" hidden="1">"#"</definedName>
    <definedName name="FDC_154_13" hidden="1">"#"</definedName>
    <definedName name="FDC_154_14" hidden="1">"#"</definedName>
    <definedName name="FDC_154_2" hidden="1">"#"</definedName>
    <definedName name="FDC_154_3" hidden="1">"#"</definedName>
    <definedName name="FDC_154_4" hidden="1">"#"</definedName>
    <definedName name="FDC_154_5" hidden="1">"#"</definedName>
    <definedName name="FDC_154_6" hidden="1">"#"</definedName>
    <definedName name="FDC_154_7" hidden="1">"#"</definedName>
    <definedName name="FDC_154_8" hidden="1">"#"</definedName>
    <definedName name="FDC_154_9" hidden="1">"#"</definedName>
    <definedName name="FDC_155_0" hidden="1">"#"</definedName>
    <definedName name="FDC_155_1" hidden="1">"#"</definedName>
    <definedName name="FDC_155_10" hidden="1">"#"</definedName>
    <definedName name="FDC_155_11" hidden="1">"#"</definedName>
    <definedName name="FDC_155_12" hidden="1">"#"</definedName>
    <definedName name="FDC_155_13" hidden="1">"#"</definedName>
    <definedName name="FDC_155_14" hidden="1">"#"</definedName>
    <definedName name="FDC_155_15" hidden="1">"#"</definedName>
    <definedName name="FDC_155_2" hidden="1">"#"</definedName>
    <definedName name="FDC_155_3" hidden="1">"#"</definedName>
    <definedName name="FDC_155_4" hidden="1">"#"</definedName>
    <definedName name="FDC_155_5" hidden="1">"#"</definedName>
    <definedName name="FDC_155_6" hidden="1">"#"</definedName>
    <definedName name="FDC_155_7" hidden="1">"#"</definedName>
    <definedName name="FDC_155_8" hidden="1">"#"</definedName>
    <definedName name="FDC_155_9" hidden="1">"#"</definedName>
    <definedName name="FDC_156_0" hidden="1">"#"</definedName>
    <definedName name="FDC_156_1" hidden="1">"#"</definedName>
    <definedName name="FDC_156_10" hidden="1">"#"</definedName>
    <definedName name="FDC_156_11" hidden="1">"#"</definedName>
    <definedName name="FDC_156_12" hidden="1">"#"</definedName>
    <definedName name="FDC_156_13" hidden="1">"#"</definedName>
    <definedName name="FDC_156_14" hidden="1">"#"</definedName>
    <definedName name="FDC_156_15" hidden="1">"#"</definedName>
    <definedName name="FDC_156_2" hidden="1">"#"</definedName>
    <definedName name="FDC_156_3" hidden="1">"#"</definedName>
    <definedName name="FDC_156_4" hidden="1">"#"</definedName>
    <definedName name="FDC_156_5" hidden="1">"#"</definedName>
    <definedName name="FDC_156_6" hidden="1">"#"</definedName>
    <definedName name="FDC_156_7" hidden="1">"#"</definedName>
    <definedName name="FDC_156_8" hidden="1">"#"</definedName>
    <definedName name="FDC_156_9" hidden="1">"#"</definedName>
    <definedName name="FDC_157_0" hidden="1">"#"</definedName>
    <definedName name="FDC_157_1" hidden="1">"#"</definedName>
    <definedName name="FDC_157_10" hidden="1">"#"</definedName>
    <definedName name="FDC_157_100" hidden="1">"#"</definedName>
    <definedName name="FDC_157_101" hidden="1">"#"</definedName>
    <definedName name="FDC_157_102" hidden="1">"#"</definedName>
    <definedName name="FDC_157_103" hidden="1">"#"</definedName>
    <definedName name="FDC_157_104" hidden="1">"#"</definedName>
    <definedName name="FDC_157_105" hidden="1">"#"</definedName>
    <definedName name="FDC_157_106" hidden="1">"#"</definedName>
    <definedName name="FDC_157_107" hidden="1">"#"</definedName>
    <definedName name="FDC_157_108" hidden="1">"#"</definedName>
    <definedName name="FDC_157_109" hidden="1">"#"</definedName>
    <definedName name="FDC_157_11" hidden="1">"#"</definedName>
    <definedName name="FDC_157_110" hidden="1">"#"</definedName>
    <definedName name="FDC_157_111" hidden="1">"#"</definedName>
    <definedName name="FDC_157_112" hidden="1">"#"</definedName>
    <definedName name="FDC_157_113" hidden="1">"#"</definedName>
    <definedName name="FDC_157_114" hidden="1">"#"</definedName>
    <definedName name="FDC_157_115" hidden="1">"#"</definedName>
    <definedName name="FDC_157_116" hidden="1">"#"</definedName>
    <definedName name="FDC_157_117" hidden="1">"#"</definedName>
    <definedName name="FDC_157_118" hidden="1">"#"</definedName>
    <definedName name="FDC_157_119" hidden="1">"#"</definedName>
    <definedName name="FDC_157_12" hidden="1">"#"</definedName>
    <definedName name="FDC_157_120" hidden="1">"#"</definedName>
    <definedName name="FDC_157_121" hidden="1">"#"</definedName>
    <definedName name="FDC_157_122" hidden="1">"#"</definedName>
    <definedName name="FDC_157_123" hidden="1">"#"</definedName>
    <definedName name="FDC_157_124" hidden="1">"#"</definedName>
    <definedName name="FDC_157_125" hidden="1">"#"</definedName>
    <definedName name="FDC_157_126" hidden="1">"#"</definedName>
    <definedName name="FDC_157_127" hidden="1">"#"</definedName>
    <definedName name="FDC_157_128" hidden="1">"#"</definedName>
    <definedName name="FDC_157_129" hidden="1">"#"</definedName>
    <definedName name="FDC_157_13" hidden="1">"#"</definedName>
    <definedName name="FDC_157_130" hidden="1">"#"</definedName>
    <definedName name="FDC_157_131" hidden="1">"#"</definedName>
    <definedName name="FDC_157_132" hidden="1">"#"</definedName>
    <definedName name="FDC_157_133" hidden="1">"#"</definedName>
    <definedName name="FDC_157_134" hidden="1">"#"</definedName>
    <definedName name="FDC_157_135" hidden="1">"#"</definedName>
    <definedName name="FDC_157_136" hidden="1">"#"</definedName>
    <definedName name="FDC_157_137" hidden="1">"#"</definedName>
    <definedName name="FDC_157_138" hidden="1">"#"</definedName>
    <definedName name="FDC_157_139" hidden="1">"#"</definedName>
    <definedName name="FDC_157_14" hidden="1">"#"</definedName>
    <definedName name="FDC_157_140" hidden="1">"#"</definedName>
    <definedName name="FDC_157_141" hidden="1">"#"</definedName>
    <definedName name="FDC_157_142" hidden="1">"#"</definedName>
    <definedName name="FDC_157_143" hidden="1">"#"</definedName>
    <definedName name="FDC_157_144" hidden="1">"#"</definedName>
    <definedName name="FDC_157_145" hidden="1">"#"</definedName>
    <definedName name="FDC_157_146" hidden="1">"#"</definedName>
    <definedName name="FDC_157_147" hidden="1">"#"</definedName>
    <definedName name="FDC_157_148" hidden="1">"#"</definedName>
    <definedName name="FDC_157_149" hidden="1">"#"</definedName>
    <definedName name="FDC_157_15" hidden="1">"#"</definedName>
    <definedName name="FDC_157_150" hidden="1">"#"</definedName>
    <definedName name="FDC_157_151" hidden="1">"#"</definedName>
    <definedName name="FDC_157_152" hidden="1">"#"</definedName>
    <definedName name="FDC_157_153" hidden="1">"#"</definedName>
    <definedName name="FDC_157_154" hidden="1">"#"</definedName>
    <definedName name="FDC_157_155" hidden="1">"#"</definedName>
    <definedName name="FDC_157_156" hidden="1">"#"</definedName>
    <definedName name="FDC_157_157" hidden="1">"#"</definedName>
    <definedName name="FDC_157_158" hidden="1">"#"</definedName>
    <definedName name="FDC_157_159" hidden="1">"#"</definedName>
    <definedName name="FDC_157_16" hidden="1">"#"</definedName>
    <definedName name="FDC_157_160" hidden="1">"#"</definedName>
    <definedName name="FDC_157_161" hidden="1">"#"</definedName>
    <definedName name="FDC_157_162" hidden="1">"#"</definedName>
    <definedName name="FDC_157_163" hidden="1">"#"</definedName>
    <definedName name="FDC_157_164" hidden="1">"#"</definedName>
    <definedName name="FDC_157_165" hidden="1">"#"</definedName>
    <definedName name="FDC_157_166" hidden="1">"#"</definedName>
    <definedName name="FDC_157_167" hidden="1">"#"</definedName>
    <definedName name="FDC_157_168" hidden="1">"#"</definedName>
    <definedName name="FDC_157_169" hidden="1">"#"</definedName>
    <definedName name="FDC_157_17" hidden="1">"#"</definedName>
    <definedName name="FDC_157_170" hidden="1">"#"</definedName>
    <definedName name="FDC_157_171" hidden="1">"#"</definedName>
    <definedName name="FDC_157_172" hidden="1">"#"</definedName>
    <definedName name="FDC_157_173" hidden="1">"#"</definedName>
    <definedName name="FDC_157_174" hidden="1">"#"</definedName>
    <definedName name="FDC_157_175" hidden="1">"#"</definedName>
    <definedName name="FDC_157_176" hidden="1">"#"</definedName>
    <definedName name="FDC_157_177" hidden="1">"#"</definedName>
    <definedName name="FDC_157_178" hidden="1">"#"</definedName>
    <definedName name="FDC_157_179" hidden="1">"#"</definedName>
    <definedName name="FDC_157_18" hidden="1">"#"</definedName>
    <definedName name="FDC_157_180" hidden="1">"#"</definedName>
    <definedName name="FDC_157_181" hidden="1">"#"</definedName>
    <definedName name="FDC_157_182" hidden="1">"#"</definedName>
    <definedName name="FDC_157_183" hidden="1">"#"</definedName>
    <definedName name="FDC_157_184" hidden="1">"#"</definedName>
    <definedName name="FDC_157_185" hidden="1">"#"</definedName>
    <definedName name="FDC_157_186" hidden="1">"#"</definedName>
    <definedName name="FDC_157_187" hidden="1">"#"</definedName>
    <definedName name="FDC_157_188" hidden="1">"#"</definedName>
    <definedName name="FDC_157_189" hidden="1">"#"</definedName>
    <definedName name="FDC_157_19" hidden="1">"#"</definedName>
    <definedName name="FDC_157_190" hidden="1">"#"</definedName>
    <definedName name="FDC_157_191" hidden="1">"#"</definedName>
    <definedName name="FDC_157_192" hidden="1">"#"</definedName>
    <definedName name="FDC_157_193" hidden="1">"#"</definedName>
    <definedName name="FDC_157_194" hidden="1">"#"</definedName>
    <definedName name="FDC_157_195" hidden="1">"#"</definedName>
    <definedName name="FDC_157_196" hidden="1">"#"</definedName>
    <definedName name="FDC_157_197" hidden="1">"#"</definedName>
    <definedName name="FDC_157_198" hidden="1">"#"</definedName>
    <definedName name="FDC_157_199" hidden="1">"#"</definedName>
    <definedName name="FDC_157_2" hidden="1">"#"</definedName>
    <definedName name="FDC_157_20" hidden="1">"#"</definedName>
    <definedName name="FDC_157_200" hidden="1">"#"</definedName>
    <definedName name="FDC_157_201" hidden="1">"#"</definedName>
    <definedName name="FDC_157_202" hidden="1">"#"</definedName>
    <definedName name="FDC_157_203" hidden="1">"#"</definedName>
    <definedName name="FDC_157_204" hidden="1">"#"</definedName>
    <definedName name="FDC_157_205" hidden="1">"#"</definedName>
    <definedName name="FDC_157_206" hidden="1">"#"</definedName>
    <definedName name="FDC_157_207" hidden="1">"#"</definedName>
    <definedName name="FDC_157_208" hidden="1">"#"</definedName>
    <definedName name="FDC_157_209" hidden="1">"#"</definedName>
    <definedName name="FDC_157_21" hidden="1">"#"</definedName>
    <definedName name="FDC_157_210" hidden="1">"#"</definedName>
    <definedName name="FDC_157_211" hidden="1">"#"</definedName>
    <definedName name="FDC_157_212" hidden="1">"#"</definedName>
    <definedName name="FDC_157_213" hidden="1">"#"</definedName>
    <definedName name="FDC_157_214" hidden="1">"#"</definedName>
    <definedName name="FDC_157_215" hidden="1">"#"</definedName>
    <definedName name="FDC_157_216" hidden="1">"#"</definedName>
    <definedName name="FDC_157_217" hidden="1">"#"</definedName>
    <definedName name="FDC_157_218" hidden="1">"#"</definedName>
    <definedName name="FDC_157_219" hidden="1">"#"</definedName>
    <definedName name="FDC_157_22" hidden="1">"#"</definedName>
    <definedName name="FDC_157_220" hidden="1">"#"</definedName>
    <definedName name="FDC_157_221" hidden="1">"#"</definedName>
    <definedName name="FDC_157_222" hidden="1">"#"</definedName>
    <definedName name="FDC_157_223" hidden="1">"#"</definedName>
    <definedName name="FDC_157_224" hidden="1">"#"</definedName>
    <definedName name="FDC_157_225" hidden="1">"#"</definedName>
    <definedName name="FDC_157_226" hidden="1">"#"</definedName>
    <definedName name="FDC_157_227" hidden="1">"#"</definedName>
    <definedName name="FDC_157_228" hidden="1">"#"</definedName>
    <definedName name="FDC_157_229" hidden="1">"#"</definedName>
    <definedName name="FDC_157_23" hidden="1">"#"</definedName>
    <definedName name="FDC_157_230" hidden="1">"#"</definedName>
    <definedName name="FDC_157_231" hidden="1">"#"</definedName>
    <definedName name="FDC_157_232" hidden="1">"#"</definedName>
    <definedName name="FDC_157_233" hidden="1">"#"</definedName>
    <definedName name="FDC_157_234" hidden="1">"#"</definedName>
    <definedName name="FDC_157_235" hidden="1">"#"</definedName>
    <definedName name="FDC_157_236" hidden="1">"#"</definedName>
    <definedName name="FDC_157_237" hidden="1">"#"</definedName>
    <definedName name="FDC_157_238" hidden="1">"#"</definedName>
    <definedName name="FDC_157_239" hidden="1">"#"</definedName>
    <definedName name="FDC_157_24" hidden="1">"#"</definedName>
    <definedName name="FDC_157_240" hidden="1">"#"</definedName>
    <definedName name="FDC_157_241" hidden="1">"#"</definedName>
    <definedName name="FDC_157_242" hidden="1">"#"</definedName>
    <definedName name="FDC_157_243" hidden="1">"#"</definedName>
    <definedName name="FDC_157_244" hidden="1">"#"</definedName>
    <definedName name="FDC_157_245" hidden="1">"#"</definedName>
    <definedName name="FDC_157_246" hidden="1">"#"</definedName>
    <definedName name="FDC_157_247" hidden="1">"#"</definedName>
    <definedName name="FDC_157_248" hidden="1">"#"</definedName>
    <definedName name="FDC_157_249" hidden="1">"#"</definedName>
    <definedName name="FDC_157_25" hidden="1">"#"</definedName>
    <definedName name="FDC_157_250" hidden="1">"#"</definedName>
    <definedName name="FDC_157_251" hidden="1">"#"</definedName>
    <definedName name="FDC_157_252" hidden="1">"#"</definedName>
    <definedName name="FDC_157_26" hidden="1">"#"</definedName>
    <definedName name="FDC_157_27" hidden="1">"#"</definedName>
    <definedName name="FDC_157_28" hidden="1">"#"</definedName>
    <definedName name="FDC_157_29" hidden="1">"#"</definedName>
    <definedName name="FDC_157_3" hidden="1">"#"</definedName>
    <definedName name="FDC_157_30" hidden="1">"#"</definedName>
    <definedName name="FDC_157_31" hidden="1">"#"</definedName>
    <definedName name="FDC_157_32" hidden="1">"#"</definedName>
    <definedName name="FDC_157_33" hidden="1">"#"</definedName>
    <definedName name="FDC_157_34" hidden="1">"#"</definedName>
    <definedName name="FDC_157_35" hidden="1">"#"</definedName>
    <definedName name="FDC_157_36" hidden="1">"#"</definedName>
    <definedName name="FDC_157_37" hidden="1">"#"</definedName>
    <definedName name="FDC_157_38" hidden="1">"#"</definedName>
    <definedName name="FDC_157_39" hidden="1">"#"</definedName>
    <definedName name="FDC_157_4" hidden="1">"#"</definedName>
    <definedName name="FDC_157_40" hidden="1">"#"</definedName>
    <definedName name="FDC_157_41" hidden="1">"#"</definedName>
    <definedName name="FDC_157_42" hidden="1">"#"</definedName>
    <definedName name="FDC_157_43" hidden="1">"#"</definedName>
    <definedName name="FDC_157_44" hidden="1">"#"</definedName>
    <definedName name="FDC_157_45" hidden="1">"#"</definedName>
    <definedName name="FDC_157_46" hidden="1">"#"</definedName>
    <definedName name="FDC_157_47" hidden="1">"#"</definedName>
    <definedName name="FDC_157_48" hidden="1">"#"</definedName>
    <definedName name="FDC_157_49" hidden="1">"#"</definedName>
    <definedName name="FDC_157_5" hidden="1">"#"</definedName>
    <definedName name="FDC_157_50" hidden="1">"#"</definedName>
    <definedName name="FDC_157_51" hidden="1">"#"</definedName>
    <definedName name="FDC_157_52" hidden="1">"#"</definedName>
    <definedName name="FDC_157_53" hidden="1">"#"</definedName>
    <definedName name="FDC_157_54" hidden="1">"#"</definedName>
    <definedName name="FDC_157_55" hidden="1">"#"</definedName>
    <definedName name="FDC_157_56" hidden="1">"#"</definedName>
    <definedName name="FDC_157_57" hidden="1">"#"</definedName>
    <definedName name="FDC_157_58" hidden="1">"#"</definedName>
    <definedName name="FDC_157_59" hidden="1">"#"</definedName>
    <definedName name="FDC_157_6" hidden="1">"#"</definedName>
    <definedName name="FDC_157_60" hidden="1">"#"</definedName>
    <definedName name="FDC_157_61" hidden="1">"#"</definedName>
    <definedName name="FDC_157_62" hidden="1">"#"</definedName>
    <definedName name="FDC_157_63" hidden="1">"#"</definedName>
    <definedName name="FDC_157_64" hidden="1">"#"</definedName>
    <definedName name="FDC_157_65" hidden="1">"#"</definedName>
    <definedName name="FDC_157_66" hidden="1">"#"</definedName>
    <definedName name="FDC_157_67" hidden="1">"#"</definedName>
    <definedName name="FDC_157_68" hidden="1">"#"</definedName>
    <definedName name="FDC_157_69" hidden="1">"#"</definedName>
    <definedName name="FDC_157_7" hidden="1">"#"</definedName>
    <definedName name="FDC_157_70" hidden="1">"#"</definedName>
    <definedName name="FDC_157_71" hidden="1">"#"</definedName>
    <definedName name="FDC_157_72" hidden="1">"#"</definedName>
    <definedName name="FDC_157_73" hidden="1">"#"</definedName>
    <definedName name="FDC_157_74" hidden="1">"#"</definedName>
    <definedName name="FDC_157_75" hidden="1">"#"</definedName>
    <definedName name="FDC_157_76" hidden="1">"#"</definedName>
    <definedName name="FDC_157_77" hidden="1">"#"</definedName>
    <definedName name="FDC_157_78" hidden="1">"#"</definedName>
    <definedName name="FDC_157_79" hidden="1">"#"</definedName>
    <definedName name="FDC_157_8" hidden="1">"#"</definedName>
    <definedName name="FDC_157_80" hidden="1">"#"</definedName>
    <definedName name="FDC_157_81" hidden="1">"#"</definedName>
    <definedName name="FDC_157_82" hidden="1">"#"</definedName>
    <definedName name="FDC_157_83" hidden="1">"#"</definedName>
    <definedName name="FDC_157_84" hidden="1">"#"</definedName>
    <definedName name="FDC_157_85" hidden="1">"#"</definedName>
    <definedName name="FDC_157_86" hidden="1">"#"</definedName>
    <definedName name="FDC_157_87" hidden="1">"#"</definedName>
    <definedName name="FDC_157_88" hidden="1">"#"</definedName>
    <definedName name="FDC_157_89" hidden="1">"#"</definedName>
    <definedName name="FDC_157_9" hidden="1">"#"</definedName>
    <definedName name="FDC_157_90" hidden="1">"#"</definedName>
    <definedName name="FDC_157_91" hidden="1">"#"</definedName>
    <definedName name="FDC_157_92" hidden="1">"#"</definedName>
    <definedName name="FDC_157_93" hidden="1">"#"</definedName>
    <definedName name="FDC_157_94" hidden="1">"#"</definedName>
    <definedName name="FDC_157_95" hidden="1">"#"</definedName>
    <definedName name="FDC_157_96" hidden="1">"#"</definedName>
    <definedName name="FDC_157_97" hidden="1">"#"</definedName>
    <definedName name="FDC_157_98" hidden="1">"#"</definedName>
    <definedName name="FDC_157_99" hidden="1">"#"</definedName>
    <definedName name="FDC_158_0" hidden="1">"#"</definedName>
    <definedName name="FDC_158_1" hidden="1">"#"</definedName>
    <definedName name="FDC_158_10" hidden="1">"#"</definedName>
    <definedName name="FDC_158_11" hidden="1">"#"</definedName>
    <definedName name="FDC_158_12" hidden="1">"#"</definedName>
    <definedName name="FDC_158_13" hidden="1">"#"</definedName>
    <definedName name="FDC_158_14" hidden="1">"#"</definedName>
    <definedName name="FDC_158_15" hidden="1">"#"</definedName>
    <definedName name="FDC_158_2" hidden="1">"#"</definedName>
    <definedName name="FDC_158_3" hidden="1">"#"</definedName>
    <definedName name="FDC_158_4" hidden="1">"#"</definedName>
    <definedName name="FDC_158_5" hidden="1">"#"</definedName>
    <definedName name="FDC_158_6" hidden="1">"#"</definedName>
    <definedName name="FDC_158_7" hidden="1">"#"</definedName>
    <definedName name="FDC_158_8" hidden="1">"#"</definedName>
    <definedName name="FDC_158_9" hidden="1">"#"</definedName>
    <definedName name="FDC_159_0" hidden="1">"#"</definedName>
    <definedName name="FDC_159_1" hidden="1">"#"</definedName>
    <definedName name="FDC_159_10" hidden="1">"#"</definedName>
    <definedName name="FDC_159_11" hidden="1">"#"</definedName>
    <definedName name="FDC_159_12" hidden="1">"#"</definedName>
    <definedName name="FDC_159_13" hidden="1">"#"</definedName>
    <definedName name="FDC_159_14" hidden="1">"#"</definedName>
    <definedName name="FDC_159_15" hidden="1">"#"</definedName>
    <definedName name="FDC_159_2" hidden="1">"#"</definedName>
    <definedName name="FDC_159_3" hidden="1">"#"</definedName>
    <definedName name="FDC_159_4" hidden="1">"#"</definedName>
    <definedName name="FDC_159_5" hidden="1">"#"</definedName>
    <definedName name="FDC_159_6" hidden="1">"#"</definedName>
    <definedName name="FDC_159_7" hidden="1">"#"</definedName>
    <definedName name="FDC_159_8" hidden="1">"#"</definedName>
    <definedName name="FDC_159_9" hidden="1">"#"</definedName>
    <definedName name="FDC_16_0" hidden="1">"#"</definedName>
    <definedName name="FDC_160_0" hidden="1">"#"</definedName>
    <definedName name="FDC_160_1" hidden="1">"#"</definedName>
    <definedName name="FDC_160_10" hidden="1">"#"</definedName>
    <definedName name="FDC_160_11" hidden="1">"#"</definedName>
    <definedName name="FDC_160_12" hidden="1">"#"</definedName>
    <definedName name="FDC_160_13" hidden="1">"#"</definedName>
    <definedName name="FDC_160_14" hidden="1">"#"</definedName>
    <definedName name="FDC_160_15" hidden="1">"#"</definedName>
    <definedName name="FDC_160_2" hidden="1">"#"</definedName>
    <definedName name="FDC_160_3" hidden="1">"#"</definedName>
    <definedName name="FDC_160_4" hidden="1">"#"</definedName>
    <definedName name="FDC_160_5" hidden="1">"#"</definedName>
    <definedName name="FDC_160_6" hidden="1">"#"</definedName>
    <definedName name="FDC_160_7" hidden="1">"#"</definedName>
    <definedName name="FDC_160_8" hidden="1">"#"</definedName>
    <definedName name="FDC_160_9" hidden="1">"#"</definedName>
    <definedName name="FDC_161_0" hidden="1">"#"</definedName>
    <definedName name="FDC_161_1" hidden="1">"#"</definedName>
    <definedName name="FDC_161_10" hidden="1">"#"</definedName>
    <definedName name="FDC_161_11" hidden="1">"#"</definedName>
    <definedName name="FDC_161_12" hidden="1">"#"</definedName>
    <definedName name="FDC_161_13" hidden="1">"#"</definedName>
    <definedName name="FDC_161_14" hidden="1">"#"</definedName>
    <definedName name="FDC_161_2" hidden="1">"#"</definedName>
    <definedName name="FDC_161_3" hidden="1">"#"</definedName>
    <definedName name="FDC_161_4" hidden="1">"#"</definedName>
    <definedName name="FDC_161_5" hidden="1">"#"</definedName>
    <definedName name="FDC_161_6" hidden="1">"#"</definedName>
    <definedName name="FDC_161_7" hidden="1">"#"</definedName>
    <definedName name="FDC_161_8" hidden="1">"#"</definedName>
    <definedName name="FDC_161_9" hidden="1">"#"</definedName>
    <definedName name="FDC_162_0" hidden="1">"#"</definedName>
    <definedName name="FDC_162_1" hidden="1">"#"</definedName>
    <definedName name="FDC_162_10" hidden="1">"#"</definedName>
    <definedName name="FDC_162_11" hidden="1">"#"</definedName>
    <definedName name="FDC_162_12" hidden="1">"#"</definedName>
    <definedName name="FDC_162_13" hidden="1">"#"</definedName>
    <definedName name="FDC_162_14" hidden="1">"#"</definedName>
    <definedName name="FDC_162_15" hidden="1">"#"</definedName>
    <definedName name="FDC_162_2" hidden="1">"#"</definedName>
    <definedName name="FDC_162_3" hidden="1">"#"</definedName>
    <definedName name="FDC_162_4" hidden="1">"#"</definedName>
    <definedName name="FDC_162_5" hidden="1">"#"</definedName>
    <definedName name="FDC_162_6" hidden="1">"#"</definedName>
    <definedName name="FDC_162_7" hidden="1">"#"</definedName>
    <definedName name="FDC_162_8" hidden="1">"#"</definedName>
    <definedName name="FDC_162_9" hidden="1">"#"</definedName>
    <definedName name="FDC_163_0" hidden="1">"#"</definedName>
    <definedName name="FDC_163_1" hidden="1">"#"</definedName>
    <definedName name="FDC_163_10" hidden="1">"#"</definedName>
    <definedName name="FDC_163_11" hidden="1">"#"</definedName>
    <definedName name="FDC_163_12" hidden="1">"#"</definedName>
    <definedName name="FDC_163_13" hidden="1">"#"</definedName>
    <definedName name="FDC_163_14" hidden="1">"#"</definedName>
    <definedName name="FDC_163_15" hidden="1">"#"</definedName>
    <definedName name="FDC_163_2" hidden="1">"#"</definedName>
    <definedName name="FDC_163_3" hidden="1">"#"</definedName>
    <definedName name="FDC_163_4" hidden="1">"#"</definedName>
    <definedName name="FDC_163_5" hidden="1">"#"</definedName>
    <definedName name="FDC_163_6" hidden="1">"#"</definedName>
    <definedName name="FDC_163_7" hidden="1">"#"</definedName>
    <definedName name="FDC_163_8" hidden="1">"#"</definedName>
    <definedName name="FDC_163_9" hidden="1">"#"</definedName>
    <definedName name="FDC_164_0" hidden="1">"#"</definedName>
    <definedName name="FDC_164_1" hidden="1">"#"</definedName>
    <definedName name="FDC_164_10" hidden="1">"#"</definedName>
    <definedName name="FDC_164_11" hidden="1">"#"</definedName>
    <definedName name="FDC_164_12" hidden="1">"#"</definedName>
    <definedName name="FDC_164_13" hidden="1">"#"</definedName>
    <definedName name="FDC_164_14" hidden="1">"#"</definedName>
    <definedName name="FDC_164_15" hidden="1">"#"</definedName>
    <definedName name="FDC_164_2" hidden="1">"#"</definedName>
    <definedName name="FDC_164_3" hidden="1">"#"</definedName>
    <definedName name="FDC_164_4" hidden="1">"#"</definedName>
    <definedName name="FDC_164_5" hidden="1">"#"</definedName>
    <definedName name="FDC_164_6" hidden="1">"#"</definedName>
    <definedName name="FDC_164_7" hidden="1">"#"</definedName>
    <definedName name="FDC_164_8" hidden="1">"#"</definedName>
    <definedName name="FDC_164_9" hidden="1">"#"</definedName>
    <definedName name="FDC_165_0" hidden="1">"#"</definedName>
    <definedName name="FDC_165_1" hidden="1">"#"</definedName>
    <definedName name="FDC_165_10" hidden="1">"#"</definedName>
    <definedName name="FDC_165_11" hidden="1">"#"</definedName>
    <definedName name="FDC_165_12" hidden="1">"#"</definedName>
    <definedName name="FDC_165_13" hidden="1">"#"</definedName>
    <definedName name="FDC_165_14" hidden="1">"#"</definedName>
    <definedName name="FDC_165_2" hidden="1">"#"</definedName>
    <definedName name="FDC_165_3" hidden="1">"#"</definedName>
    <definedName name="FDC_165_4" hidden="1">"#"</definedName>
    <definedName name="FDC_165_5" hidden="1">"#"</definedName>
    <definedName name="FDC_165_6" hidden="1">"#"</definedName>
    <definedName name="FDC_165_7" hidden="1">"#"</definedName>
    <definedName name="FDC_165_8" hidden="1">"#"</definedName>
    <definedName name="FDC_165_9" hidden="1">"#"</definedName>
    <definedName name="FDC_166_0" hidden="1">"#"</definedName>
    <definedName name="FDC_166_1" hidden="1">"#"</definedName>
    <definedName name="FDC_166_10" hidden="1">"#"</definedName>
    <definedName name="FDC_166_11" hidden="1">"#"</definedName>
    <definedName name="FDC_166_12" hidden="1">"#"</definedName>
    <definedName name="FDC_166_13" hidden="1">"#"</definedName>
    <definedName name="FDC_166_14" hidden="1">"#"</definedName>
    <definedName name="FDC_166_15" hidden="1">"#"</definedName>
    <definedName name="FDC_166_2" hidden="1">"#"</definedName>
    <definedName name="FDC_166_3" hidden="1">"#"</definedName>
    <definedName name="FDC_166_4" hidden="1">"#"</definedName>
    <definedName name="FDC_166_5" hidden="1">"#"</definedName>
    <definedName name="FDC_166_6" hidden="1">"#"</definedName>
    <definedName name="FDC_166_7" hidden="1">"#"</definedName>
    <definedName name="FDC_166_8" hidden="1">"#"</definedName>
    <definedName name="FDC_166_9" hidden="1">"#"</definedName>
    <definedName name="FDC_167_0" hidden="1">"#"</definedName>
    <definedName name="FDC_167_1" hidden="1">"#"</definedName>
    <definedName name="FDC_167_10" hidden="1">"#"</definedName>
    <definedName name="FDC_167_11" hidden="1">"#"</definedName>
    <definedName name="FDC_167_12" hidden="1">"#"</definedName>
    <definedName name="FDC_167_13" hidden="1">"#"</definedName>
    <definedName name="FDC_167_14" hidden="1">"#"</definedName>
    <definedName name="FDC_167_2" hidden="1">"#"</definedName>
    <definedName name="FDC_167_3" hidden="1">"#"</definedName>
    <definedName name="FDC_167_4" hidden="1">"#"</definedName>
    <definedName name="FDC_167_5" hidden="1">"#"</definedName>
    <definedName name="FDC_167_6" hidden="1">"#"</definedName>
    <definedName name="FDC_167_7" hidden="1">"#"</definedName>
    <definedName name="FDC_167_8" hidden="1">"#"</definedName>
    <definedName name="FDC_167_9" hidden="1">"#"</definedName>
    <definedName name="FDC_168_0" hidden="1">"#"</definedName>
    <definedName name="FDC_168_1" hidden="1">"#"</definedName>
    <definedName name="FDC_168_2" hidden="1">"#"</definedName>
    <definedName name="FDC_169_0" hidden="1">"#"</definedName>
    <definedName name="FDC_169_1" hidden="1">"#"</definedName>
    <definedName name="FDC_169_10" hidden="1">"#"</definedName>
    <definedName name="FDC_169_11" hidden="1">"#"</definedName>
    <definedName name="FDC_169_12" hidden="1">"#"</definedName>
    <definedName name="FDC_169_13" hidden="1">"#"</definedName>
    <definedName name="FDC_169_14" hidden="1">"#"</definedName>
    <definedName name="FDC_169_15" hidden="1">"#"</definedName>
    <definedName name="FDC_169_2" hidden="1">"#"</definedName>
    <definedName name="FDC_169_3" hidden="1">"#"</definedName>
    <definedName name="FDC_169_4" hidden="1">"#"</definedName>
    <definedName name="FDC_169_5" hidden="1">"#"</definedName>
    <definedName name="FDC_169_6" hidden="1">"#"</definedName>
    <definedName name="FDC_169_7" hidden="1">"#"</definedName>
    <definedName name="FDC_169_8" hidden="1">"#"</definedName>
    <definedName name="FDC_169_9" hidden="1">"#"</definedName>
    <definedName name="FDC_17_0" hidden="1">"#"</definedName>
    <definedName name="FDC_170_0" hidden="1">"#"</definedName>
    <definedName name="FDC_170_1" hidden="1">"#"</definedName>
    <definedName name="FDC_170_10" hidden="1">"#"</definedName>
    <definedName name="FDC_170_11" hidden="1">"#"</definedName>
    <definedName name="FDC_170_12" hidden="1">"#"</definedName>
    <definedName name="FDC_170_13" hidden="1">"#"</definedName>
    <definedName name="FDC_170_14" hidden="1">"#"</definedName>
    <definedName name="FDC_170_2" hidden="1">"#"</definedName>
    <definedName name="FDC_170_3" hidden="1">"#"</definedName>
    <definedName name="FDC_170_4" hidden="1">"#"</definedName>
    <definedName name="FDC_170_5" hidden="1">"#"</definedName>
    <definedName name="FDC_170_6" hidden="1">"#"</definedName>
    <definedName name="FDC_170_7" hidden="1">"#"</definedName>
    <definedName name="FDC_170_8" hidden="1">"#"</definedName>
    <definedName name="FDC_170_9" hidden="1">"#"</definedName>
    <definedName name="FDC_171_0" hidden="1">"#"</definedName>
    <definedName name="FDC_171_1" hidden="1">"#"</definedName>
    <definedName name="FDC_171_10" hidden="1">"#"</definedName>
    <definedName name="FDC_171_11" hidden="1">"#"</definedName>
    <definedName name="FDC_171_12" hidden="1">"#"</definedName>
    <definedName name="FDC_171_13" hidden="1">"#"</definedName>
    <definedName name="FDC_171_14" hidden="1">"#"</definedName>
    <definedName name="FDC_171_2" hidden="1">"#"</definedName>
    <definedName name="FDC_171_3" hidden="1">"#"</definedName>
    <definedName name="FDC_171_4" hidden="1">"#"</definedName>
    <definedName name="FDC_171_5" hidden="1">"#"</definedName>
    <definedName name="FDC_171_6" hidden="1">"#"</definedName>
    <definedName name="FDC_171_7" hidden="1">"#"</definedName>
    <definedName name="FDC_171_8" hidden="1">"#"</definedName>
    <definedName name="FDC_171_9" hidden="1">"#"</definedName>
    <definedName name="FDC_172_0" hidden="1">"#"</definedName>
    <definedName name="FDC_172_1" hidden="1">"#"</definedName>
    <definedName name="FDC_172_10" hidden="1">"#"</definedName>
    <definedName name="FDC_172_11" hidden="1">"#"</definedName>
    <definedName name="FDC_172_12" hidden="1">"#"</definedName>
    <definedName name="FDC_172_13" hidden="1">"#"</definedName>
    <definedName name="FDC_172_14" hidden="1">"#"</definedName>
    <definedName name="FDC_172_2" hidden="1">"#"</definedName>
    <definedName name="FDC_172_3" hidden="1">"#"</definedName>
    <definedName name="FDC_172_4" hidden="1">"#"</definedName>
    <definedName name="FDC_172_5" hidden="1">"#"</definedName>
    <definedName name="FDC_172_6" hidden="1">"#"</definedName>
    <definedName name="FDC_172_7" hidden="1">"#"</definedName>
    <definedName name="FDC_172_8" hidden="1">"#"</definedName>
    <definedName name="FDC_172_9" hidden="1">"#"</definedName>
    <definedName name="FDC_173_0" hidden="1">"#"</definedName>
    <definedName name="FDC_173_1" hidden="1">"#"</definedName>
    <definedName name="FDC_173_2" hidden="1">"#"</definedName>
    <definedName name="FDC_174_0" hidden="1">"#"</definedName>
    <definedName name="FDC_174_1" hidden="1">"#"</definedName>
    <definedName name="FDC_174_2" hidden="1">"#"</definedName>
    <definedName name="FDC_175_0" hidden="1">"#"</definedName>
    <definedName name="FDC_175_1" hidden="1">"#"</definedName>
    <definedName name="FDC_175_2" hidden="1">"#"</definedName>
    <definedName name="FDC_176_0" hidden="1">"#"</definedName>
    <definedName name="FDC_176_1" hidden="1">"#"</definedName>
    <definedName name="FDC_176_2" hidden="1">"#"</definedName>
    <definedName name="FDC_177_0" hidden="1">"#"</definedName>
    <definedName name="FDC_177_1" hidden="1">"#"</definedName>
    <definedName name="FDC_177_2" hidden="1">"#"</definedName>
    <definedName name="FDC_178_0" hidden="1">"#"</definedName>
    <definedName name="FDC_178_1" hidden="1">"#"</definedName>
    <definedName name="FDC_178_2" hidden="1">"#"</definedName>
    <definedName name="FDC_179_0" hidden="1">"#"</definedName>
    <definedName name="FDC_179_1" hidden="1">"#"</definedName>
    <definedName name="FDC_179_2" hidden="1">"#"</definedName>
    <definedName name="FDC_18_0" hidden="1">"#"</definedName>
    <definedName name="FDC_180_0" hidden="1">"#"</definedName>
    <definedName name="FDC_180_1" hidden="1">"#"</definedName>
    <definedName name="FDC_180_2" hidden="1">"#"</definedName>
    <definedName name="FDC_181_0" hidden="1">"#"</definedName>
    <definedName name="FDC_181_1" hidden="1">"#"</definedName>
    <definedName name="FDC_181_2" hidden="1">"#"</definedName>
    <definedName name="FDC_182_0" hidden="1">"#"</definedName>
    <definedName name="FDC_182_1" hidden="1">"#"</definedName>
    <definedName name="FDC_182_2" hidden="1">"#"</definedName>
    <definedName name="FDC_183_0" hidden="1">"#"</definedName>
    <definedName name="FDC_183_1" hidden="1">"#"</definedName>
    <definedName name="FDC_183_2" hidden="1">"#"</definedName>
    <definedName name="FDC_184_0" hidden="1">"#"</definedName>
    <definedName name="FDC_184_1" hidden="1">"#"</definedName>
    <definedName name="FDC_184_2" hidden="1">"#"</definedName>
    <definedName name="FDC_185_0" hidden="1">"#"</definedName>
    <definedName name="FDC_185_1" hidden="1">"#"</definedName>
    <definedName name="FDC_185_2" hidden="1">"#"</definedName>
    <definedName name="FDC_186_0" hidden="1">"#"</definedName>
    <definedName name="FDC_186_1" hidden="1">"#"</definedName>
    <definedName name="FDC_186_2" hidden="1">"#"</definedName>
    <definedName name="FDC_187_0" hidden="1">"#"</definedName>
    <definedName name="FDC_187_1" hidden="1">"#"</definedName>
    <definedName name="FDC_187_2" hidden="1">"#"</definedName>
    <definedName name="FDC_188_0" hidden="1">"#"</definedName>
    <definedName name="FDC_188_1" hidden="1">"#"</definedName>
    <definedName name="FDC_188_2" hidden="1">"#"</definedName>
    <definedName name="FDC_189_0" hidden="1">"#"</definedName>
    <definedName name="FDC_189_1" hidden="1">"#"</definedName>
    <definedName name="FDC_189_2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190_0" hidden="1">"#"</definedName>
    <definedName name="FDC_190_1" hidden="1">"#"</definedName>
    <definedName name="FDC_190_2" hidden="1">"#"</definedName>
    <definedName name="FDC_191_0" hidden="1">"#"</definedName>
    <definedName name="FDC_191_1" hidden="1">"#"</definedName>
    <definedName name="FDC_191_2" hidden="1">"#"</definedName>
    <definedName name="FDC_192_0" hidden="1">"#"</definedName>
    <definedName name="FDC_192_1" hidden="1">"#"</definedName>
    <definedName name="FDC_192_2" hidden="1">"#"</definedName>
    <definedName name="FDC_193_0" hidden="1">"#"</definedName>
    <definedName name="FDC_193_1" hidden="1">"#"</definedName>
    <definedName name="FDC_193_2" hidden="1">"#"</definedName>
    <definedName name="FDC_194_0" hidden="1">"#"</definedName>
    <definedName name="FDC_194_1" hidden="1">"#"</definedName>
    <definedName name="FDC_194_2" hidden="1">"#"</definedName>
    <definedName name="FDC_195_0" hidden="1">"#"</definedName>
    <definedName name="FDC_195_1" hidden="1">"#"</definedName>
    <definedName name="FDC_195_2" hidden="1">"#"</definedName>
    <definedName name="FDC_196_0" hidden="1">"#"</definedName>
    <definedName name="FDC_196_1" hidden="1">"#"</definedName>
    <definedName name="FDC_196_2" hidden="1">"#"</definedName>
    <definedName name="FDC_197_0" hidden="1">"#"</definedName>
    <definedName name="FDC_197_1" hidden="1">"#"</definedName>
    <definedName name="FDC_197_2" hidden="1">"#"</definedName>
    <definedName name="FDC_198_0" hidden="1">"#"</definedName>
    <definedName name="FDC_198_1" hidden="1">"#"</definedName>
    <definedName name="FDC_198_2" hidden="1">"#"</definedName>
    <definedName name="FDC_199_0" hidden="1">"#"</definedName>
    <definedName name="FDC_199_1" hidden="1">"#"</definedName>
    <definedName name="FDC_199_2" hidden="1">"#"</definedName>
    <definedName name="FDC_2_0" hidden="1">"#"</definedName>
    <definedName name="FDC_20_0" hidden="1">"#"</definedName>
    <definedName name="FDC_200_0" hidden="1">"#"</definedName>
    <definedName name="FDC_200_1" hidden="1">"#"</definedName>
    <definedName name="FDC_200_2" hidden="1">"#"</definedName>
    <definedName name="FDC_201_0" hidden="1">"#"</definedName>
    <definedName name="FDC_201_1" hidden="1">"#"</definedName>
    <definedName name="FDC_201_2" hidden="1">"#"</definedName>
    <definedName name="FDC_202_0" hidden="1">"#"</definedName>
    <definedName name="FDC_202_1" hidden="1">"#"</definedName>
    <definedName name="FDC_202_2" hidden="1">"#"</definedName>
    <definedName name="FDC_203_0" hidden="1">"#"</definedName>
    <definedName name="FDC_203_1" hidden="1">"#"</definedName>
    <definedName name="FDC_203_2" hidden="1">"#"</definedName>
    <definedName name="FDC_204_0" hidden="1">"#"</definedName>
    <definedName name="FDC_204_1" hidden="1">"#"</definedName>
    <definedName name="FDC_204_2" hidden="1">"#"</definedName>
    <definedName name="FDC_205_0" hidden="1">"#"</definedName>
    <definedName name="FDC_205_1" hidden="1">"#"</definedName>
    <definedName name="FDC_205_2" hidden="1">"#"</definedName>
    <definedName name="FDC_206_0" hidden="1">"#"</definedName>
    <definedName name="FDC_206_1" hidden="1">"#"</definedName>
    <definedName name="FDC_206_2" hidden="1">"#"</definedName>
    <definedName name="FDC_207_0" hidden="1">"#"</definedName>
    <definedName name="FDC_207_1" hidden="1">"#"</definedName>
    <definedName name="FDC_207_2" hidden="1">"#"</definedName>
    <definedName name="FDC_208_0" hidden="1">"#"</definedName>
    <definedName name="FDC_208_1" hidden="1">"#"</definedName>
    <definedName name="FDC_208_2" hidden="1">"#"</definedName>
    <definedName name="FDC_209_0" hidden="1">"#"</definedName>
    <definedName name="FDC_209_1" hidden="1">"#"</definedName>
    <definedName name="FDC_209_2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10_0" hidden="1">"#"</definedName>
    <definedName name="FDC_210_1" hidden="1">"#"</definedName>
    <definedName name="FDC_211_0" hidden="1">"#"</definedName>
    <definedName name="FDC_211_1" hidden="1">"#"</definedName>
    <definedName name="FDC_211_2" hidden="1">"#"</definedName>
    <definedName name="FDC_212_0" hidden="1">"#"</definedName>
    <definedName name="FDC_212_1" hidden="1">"#"</definedName>
    <definedName name="FDC_212_2" hidden="1">"#"</definedName>
    <definedName name="FDC_213_0" hidden="1">"#"</definedName>
    <definedName name="FDC_213_1" hidden="1">"#"</definedName>
    <definedName name="FDC_213_2" hidden="1">"#"</definedName>
    <definedName name="FDC_214_0" hidden="1">"#"</definedName>
    <definedName name="FDC_214_1" hidden="1">"#"</definedName>
    <definedName name="FDC_214_2" hidden="1">"#"</definedName>
    <definedName name="FDC_215_0" hidden="1">"#"</definedName>
    <definedName name="FDC_216_0" hidden="1">"#"</definedName>
    <definedName name="FDC_217_0" hidden="1">"#"</definedName>
    <definedName name="FDC_218_0" hidden="1">"#"</definedName>
    <definedName name="FDC_218_1" hidden="1">"#"</definedName>
    <definedName name="FDC_218_2" hidden="1">"#"</definedName>
    <definedName name="FDC_219_0" hidden="1">"#"</definedName>
    <definedName name="FDC_219_1" hidden="1">"#"</definedName>
    <definedName name="FDC_219_2" hidden="1">"#"</definedName>
    <definedName name="FDC_22_0" hidden="1">"#"</definedName>
    <definedName name="FDC_220_0" hidden="1">"#"</definedName>
    <definedName name="FDC_221_0" hidden="1">"#"</definedName>
    <definedName name="FDC_222_0" hidden="1">"#"</definedName>
    <definedName name="FDC_223_0" hidden="1">"#"</definedName>
    <definedName name="FDC_223_1" hidden="1">"#"</definedName>
    <definedName name="FDC_223_2" hidden="1">"#"</definedName>
    <definedName name="FDC_224_0" hidden="1">"#"</definedName>
    <definedName name="FDC_224_1" hidden="1">"#"</definedName>
    <definedName name="FDC_224_2" hidden="1">"#"</definedName>
    <definedName name="FDC_225_0" hidden="1">"#"</definedName>
    <definedName name="FDC_226_0" hidden="1">"#"</definedName>
    <definedName name="FDC_227_0" hidden="1">"#"</definedName>
    <definedName name="FDC_228_0" hidden="1">"#"</definedName>
    <definedName name="FDC_228_1" hidden="1">"#"</definedName>
    <definedName name="FDC_228_2" hidden="1">"#"</definedName>
    <definedName name="FDC_229_0" hidden="1">"#"</definedName>
    <definedName name="FDC_229_1" hidden="1">"#"</definedName>
    <definedName name="FDC_229_2" hidden="1">"#"</definedName>
    <definedName name="FDC_23_0" hidden="1">"#"</definedName>
    <definedName name="FDC_230_0" hidden="1">"#"</definedName>
    <definedName name="FDC_231_0" hidden="1">"#"</definedName>
    <definedName name="FDC_232_0" hidden="1">"#"</definedName>
    <definedName name="FDC_233_0" hidden="1">"#"</definedName>
    <definedName name="FDC_233_1" hidden="1">"#"</definedName>
    <definedName name="FDC_233_2" hidden="1">"#"</definedName>
    <definedName name="FDC_234_0" hidden="1">"#"</definedName>
    <definedName name="FDC_234_1" hidden="1">"#"</definedName>
    <definedName name="FDC_234_2" hidden="1">"#"</definedName>
    <definedName name="FDC_235_0" hidden="1">"#"</definedName>
    <definedName name="FDC_236_0" hidden="1">"#"</definedName>
    <definedName name="FDC_237_0" hidden="1">"#"</definedName>
    <definedName name="FDC_238_0" hidden="1">"#"</definedName>
    <definedName name="FDC_238_1" hidden="1">"#"</definedName>
    <definedName name="FDC_238_10" hidden="1">"#"</definedName>
    <definedName name="FDC_238_11" hidden="1">"#"</definedName>
    <definedName name="FDC_238_12" hidden="1">"#"</definedName>
    <definedName name="FDC_238_13" hidden="1">"#"</definedName>
    <definedName name="FDC_238_14" hidden="1">"#"</definedName>
    <definedName name="FDC_238_2" hidden="1">"#"</definedName>
    <definedName name="FDC_238_3" hidden="1">"#"</definedName>
    <definedName name="FDC_238_4" hidden="1">"#"</definedName>
    <definedName name="FDC_238_5" hidden="1">"#"</definedName>
    <definedName name="FDC_238_6" hidden="1">"#"</definedName>
    <definedName name="FDC_238_7" hidden="1">"#"</definedName>
    <definedName name="FDC_238_8" hidden="1">"#"</definedName>
    <definedName name="FDC_238_9" hidden="1">"#"</definedName>
    <definedName name="FDC_239_0" hidden="1">"#"</definedName>
    <definedName name="FDC_239_1" hidden="1">"#"</definedName>
    <definedName name="FDC_239_10" hidden="1">"#"</definedName>
    <definedName name="FDC_239_11" hidden="1">"#"</definedName>
    <definedName name="FDC_239_12" hidden="1">"#"</definedName>
    <definedName name="FDC_239_13" hidden="1">"#"</definedName>
    <definedName name="FDC_239_14" hidden="1">"#"</definedName>
    <definedName name="FDC_239_2" hidden="1">"#"</definedName>
    <definedName name="FDC_239_3" hidden="1">"#"</definedName>
    <definedName name="FDC_239_4" hidden="1">"#"</definedName>
    <definedName name="FDC_239_5" hidden="1">"#"</definedName>
    <definedName name="FDC_239_6" hidden="1">"#"</definedName>
    <definedName name="FDC_239_7" hidden="1">"#"</definedName>
    <definedName name="FDC_239_8" hidden="1">"#"</definedName>
    <definedName name="FDC_239_9" hidden="1">"#"</definedName>
    <definedName name="FDC_24_0" hidden="1">"#"</definedName>
    <definedName name="FDC_240_0" hidden="1">"#"</definedName>
    <definedName name="FDC_241_0" hidden="1">"#"</definedName>
    <definedName name="FDC_242_0" hidden="1">"#"</definedName>
    <definedName name="FDC_243_0" hidden="1">"#"</definedName>
    <definedName name="FDC_243_1" hidden="1">"#"</definedName>
    <definedName name="FDC_243_10" hidden="1">"#"</definedName>
    <definedName name="FDC_243_11" hidden="1">"#"</definedName>
    <definedName name="FDC_243_12" hidden="1">"#"</definedName>
    <definedName name="FDC_243_13" hidden="1">"#"</definedName>
    <definedName name="FDC_243_14" hidden="1">"#"</definedName>
    <definedName name="FDC_243_2" hidden="1">"#"</definedName>
    <definedName name="FDC_243_3" hidden="1">"#"</definedName>
    <definedName name="FDC_243_4" hidden="1">"#"</definedName>
    <definedName name="FDC_243_5" hidden="1">"#"</definedName>
    <definedName name="FDC_243_6" hidden="1">"#"</definedName>
    <definedName name="FDC_243_7" hidden="1">"#"</definedName>
    <definedName name="FDC_243_8" hidden="1">"#"</definedName>
    <definedName name="FDC_243_9" hidden="1">"#"</definedName>
    <definedName name="FDC_244_0" hidden="1">"#"</definedName>
    <definedName name="FDC_244_1" hidden="1">"#"</definedName>
    <definedName name="FDC_244_2" hidden="1">"#"</definedName>
    <definedName name="FDC_245_0" hidden="1">"#"</definedName>
    <definedName name="FDC_246_0" hidden="1">"#"</definedName>
    <definedName name="FDC_247_0" hidden="1">"#"</definedName>
    <definedName name="FDC_248_0" hidden="1">"#"</definedName>
    <definedName name="FDC_248_1" hidden="1">"#"</definedName>
    <definedName name="FDC_248_2" hidden="1">"#"</definedName>
    <definedName name="FDC_249_0" hidden="1">"#"</definedName>
    <definedName name="FDC_249_1" hidden="1">"#"</definedName>
    <definedName name="FDC_249_10" hidden="1">"#"</definedName>
    <definedName name="FDC_249_11" hidden="1">"#"</definedName>
    <definedName name="FDC_249_12" hidden="1">"#"</definedName>
    <definedName name="FDC_249_13" hidden="1">"#"</definedName>
    <definedName name="FDC_249_14" hidden="1">"#"</definedName>
    <definedName name="FDC_249_2" hidden="1">"#"</definedName>
    <definedName name="FDC_249_3" hidden="1">"#"</definedName>
    <definedName name="FDC_249_4" hidden="1">"#"</definedName>
    <definedName name="FDC_249_5" hidden="1">"#"</definedName>
    <definedName name="FDC_249_6" hidden="1">"#"</definedName>
    <definedName name="FDC_249_7" hidden="1">"#"</definedName>
    <definedName name="FDC_249_8" hidden="1">"#"</definedName>
    <definedName name="FDC_249_9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50_0" hidden="1">"#"</definedName>
    <definedName name="FDC_251_0" hidden="1">"#"</definedName>
    <definedName name="FDC_252_0" hidden="1">"#"</definedName>
    <definedName name="FDC_253_0" hidden="1">"#"</definedName>
    <definedName name="FDC_253_1" hidden="1">"#"</definedName>
    <definedName name="FDC_253_2" hidden="1">"#"</definedName>
    <definedName name="FDC_254_0" hidden="1">"#"</definedName>
    <definedName name="FDC_254_1" hidden="1">"#"</definedName>
    <definedName name="FDC_254_2" hidden="1">"#"</definedName>
    <definedName name="FDC_255_0" hidden="1">"#"</definedName>
    <definedName name="FDC_255_1" hidden="1">"#"</definedName>
    <definedName name="FDC_255_2" hidden="1">"#"</definedName>
    <definedName name="FDC_256_0" hidden="1">"#"</definedName>
    <definedName name="FDC_256_1" hidden="1">"#"</definedName>
    <definedName name="FDC_256_2" hidden="1">"#"</definedName>
    <definedName name="FDC_257_0" hidden="1">"#"</definedName>
    <definedName name="FDC_257_1" hidden="1">"#"</definedName>
    <definedName name="FDC_257_2" hidden="1">"#"</definedName>
    <definedName name="FDC_258_0" hidden="1">"#"</definedName>
    <definedName name="FDC_258_1" hidden="1">"#"</definedName>
    <definedName name="FDC_258_2" hidden="1">"#"</definedName>
    <definedName name="FDC_259_0" hidden="1">"#"</definedName>
    <definedName name="FDC_259_1" hidden="1">"#"</definedName>
    <definedName name="FDC_259_2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60_0" hidden="1">"#"</definedName>
    <definedName name="FDC_260_1" hidden="1">"#"</definedName>
    <definedName name="FDC_260_2" hidden="1">"#"</definedName>
    <definedName name="FDC_261_0" hidden="1">"#"</definedName>
    <definedName name="FDC_261_1" hidden="1">"#"</definedName>
    <definedName name="FDC_261_2" hidden="1">"#"</definedName>
    <definedName name="FDC_262_0" hidden="1">"#"</definedName>
    <definedName name="FDC_262_1" hidden="1">"#"</definedName>
    <definedName name="FDC_262_2" hidden="1">"#"</definedName>
    <definedName name="FDC_263_0" hidden="1">"#"</definedName>
    <definedName name="FDC_263_1" hidden="1">"#"</definedName>
    <definedName name="FDC_263_2" hidden="1">"#"</definedName>
    <definedName name="FDC_264_0" hidden="1">"#"</definedName>
    <definedName name="FDC_264_1" hidden="1">"#"</definedName>
    <definedName name="FDC_264_2" hidden="1">"#"</definedName>
    <definedName name="FDC_265_0" hidden="1">"#"</definedName>
    <definedName name="FDC_265_1" hidden="1">"#"</definedName>
    <definedName name="FDC_265_2" hidden="1">"#"</definedName>
    <definedName name="FDC_266_0" hidden="1">"#"</definedName>
    <definedName name="FDC_266_1" hidden="1">"#"</definedName>
    <definedName name="FDC_266_2" hidden="1">"#"</definedName>
    <definedName name="FDC_267_0" hidden="1">"#"</definedName>
    <definedName name="FDC_267_1" hidden="1">"#"</definedName>
    <definedName name="FDC_267_2" hidden="1">"#"</definedName>
    <definedName name="FDC_268_0" hidden="1">"#"</definedName>
    <definedName name="FDC_268_1" hidden="1">"#"</definedName>
    <definedName name="FDC_268_2" hidden="1">"#"</definedName>
    <definedName name="FDC_269_0" hidden="1">"#"</definedName>
    <definedName name="FDC_269_1" hidden="1">"#"</definedName>
    <definedName name="FDC_269_2" hidden="1">"#"</definedName>
    <definedName name="FDC_27_0" hidden="1">"#"</definedName>
    <definedName name="FDC_270_0" hidden="1">"#"</definedName>
    <definedName name="FDC_270_1" hidden="1">"#"</definedName>
    <definedName name="FDC_270_2" hidden="1">"#"</definedName>
    <definedName name="FDC_271_0" hidden="1">"#"</definedName>
    <definedName name="FDC_271_1" hidden="1">"#"</definedName>
    <definedName name="FDC_271_2" hidden="1">"#"</definedName>
    <definedName name="FDC_272_0" hidden="1">"#"</definedName>
    <definedName name="FDC_272_1" hidden="1">"#"</definedName>
    <definedName name="FDC_272_2" hidden="1">"#"</definedName>
    <definedName name="FDC_273_0" hidden="1">"#"</definedName>
    <definedName name="FDC_273_1" hidden="1">"#"</definedName>
    <definedName name="FDC_273_10" hidden="1">"#"</definedName>
    <definedName name="FDC_273_11" hidden="1">"#"</definedName>
    <definedName name="FDC_273_12" hidden="1">"#"</definedName>
    <definedName name="FDC_273_13" hidden="1">"#"</definedName>
    <definedName name="FDC_273_14" hidden="1">"#"</definedName>
    <definedName name="FDC_273_2" hidden="1">"#"</definedName>
    <definedName name="FDC_273_3" hidden="1">"#"</definedName>
    <definedName name="FDC_273_4" hidden="1">"#"</definedName>
    <definedName name="FDC_273_5" hidden="1">"#"</definedName>
    <definedName name="FDC_273_6" hidden="1">"#"</definedName>
    <definedName name="FDC_273_7" hidden="1">"#"</definedName>
    <definedName name="FDC_273_8" hidden="1">"#"</definedName>
    <definedName name="FDC_273_9" hidden="1">"#"</definedName>
    <definedName name="FDC_274_0" hidden="1">"#"</definedName>
    <definedName name="FDC_274_1" hidden="1">"#"</definedName>
    <definedName name="FDC_274_2" hidden="1">"#"</definedName>
    <definedName name="FDC_275_0" hidden="1">"#"</definedName>
    <definedName name="FDC_275_1" hidden="1">"#"</definedName>
    <definedName name="FDC_275_2" hidden="1">"#"</definedName>
    <definedName name="FDC_276_0" hidden="1">"#"</definedName>
    <definedName name="FDC_277_0" hidden="1">"#"</definedName>
    <definedName name="FDC_278_0" hidden="1">"#"</definedName>
    <definedName name="FDC_279_0" hidden="1">"#"</definedName>
    <definedName name="FDC_279_1" hidden="1">"#"</definedName>
    <definedName name="FDC_279_2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80_0" hidden="1">"#"</definedName>
    <definedName name="FDC_280_1" hidden="1">"#"</definedName>
    <definedName name="FDC_280_2" hidden="1">"#"</definedName>
    <definedName name="FDC_281_0" hidden="1">"#"</definedName>
    <definedName name="FDC_281_1" hidden="1">"#"</definedName>
    <definedName name="FDC_281_2" hidden="1">"#"</definedName>
    <definedName name="FDC_282_0" hidden="1">"#"</definedName>
    <definedName name="FDC_282_1" hidden="1">"#"</definedName>
    <definedName name="FDC_282_2" hidden="1">"#"</definedName>
    <definedName name="FDC_283_0" hidden="1">"#"</definedName>
    <definedName name="FDC_283_1" hidden="1">"#"</definedName>
    <definedName name="FDC_283_2" hidden="1">"#"</definedName>
    <definedName name="FDC_284_0" hidden="1">"#"</definedName>
    <definedName name="FDC_284_1" hidden="1">"#"</definedName>
    <definedName name="FDC_284_10" hidden="1">"#"</definedName>
    <definedName name="FDC_284_11" hidden="1">"#"</definedName>
    <definedName name="FDC_284_12" hidden="1">"#"</definedName>
    <definedName name="FDC_284_13" hidden="1">"#"</definedName>
    <definedName name="FDC_284_14" hidden="1">"#"</definedName>
    <definedName name="FDC_284_15" hidden="1">"#"</definedName>
    <definedName name="FDC_284_16" hidden="1">"#"</definedName>
    <definedName name="FDC_284_17" hidden="1">"#"</definedName>
    <definedName name="FDC_284_18" hidden="1">"#"</definedName>
    <definedName name="FDC_284_19" hidden="1">"#"</definedName>
    <definedName name="FDC_284_2" hidden="1">"#"</definedName>
    <definedName name="FDC_284_20" hidden="1">"#"</definedName>
    <definedName name="FDC_284_21" hidden="1">"#"</definedName>
    <definedName name="FDC_284_22" hidden="1">"#"</definedName>
    <definedName name="FDC_284_23" hidden="1">"#"</definedName>
    <definedName name="FDC_284_24" hidden="1">"#"</definedName>
    <definedName name="FDC_284_25" hidden="1">"#"</definedName>
    <definedName name="FDC_284_26" hidden="1">"#"</definedName>
    <definedName name="FDC_284_3" hidden="1">"#"</definedName>
    <definedName name="FDC_284_4" hidden="1">"#"</definedName>
    <definedName name="FDC_284_5" hidden="1">"#"</definedName>
    <definedName name="FDC_284_6" hidden="1">"#"</definedName>
    <definedName name="FDC_284_7" hidden="1">"#"</definedName>
    <definedName name="FDC_284_8" hidden="1">"#"</definedName>
    <definedName name="FDC_284_9" hidden="1">"#"</definedName>
    <definedName name="FDC_285_0" hidden="1">"#"</definedName>
    <definedName name="FDC_285_1" hidden="1">"#"</definedName>
    <definedName name="FDC_285_10" hidden="1">"#"</definedName>
    <definedName name="FDC_285_11" hidden="1">"#"</definedName>
    <definedName name="FDC_285_12" hidden="1">"#"</definedName>
    <definedName name="FDC_285_13" hidden="1">"#"</definedName>
    <definedName name="FDC_285_14" hidden="1">"#"</definedName>
    <definedName name="FDC_285_15" hidden="1">"#"</definedName>
    <definedName name="FDC_285_16" hidden="1">"#"</definedName>
    <definedName name="FDC_285_17" hidden="1">"#"</definedName>
    <definedName name="FDC_285_18" hidden="1">"#"</definedName>
    <definedName name="FDC_285_19" hidden="1">"#"</definedName>
    <definedName name="FDC_285_2" hidden="1">"#"</definedName>
    <definedName name="FDC_285_20" hidden="1">"#"</definedName>
    <definedName name="FDC_285_21" hidden="1">"#"</definedName>
    <definedName name="FDC_285_22" hidden="1">"#"</definedName>
    <definedName name="FDC_285_23" hidden="1">"#"</definedName>
    <definedName name="FDC_285_24" hidden="1">"#"</definedName>
    <definedName name="FDC_285_25" hidden="1">"#"</definedName>
    <definedName name="FDC_285_26" hidden="1">"#"</definedName>
    <definedName name="FDC_285_3" hidden="1">"#"</definedName>
    <definedName name="FDC_285_4" hidden="1">"#"</definedName>
    <definedName name="FDC_285_5" hidden="1">"#"</definedName>
    <definedName name="FDC_285_6" hidden="1">"#"</definedName>
    <definedName name="FDC_285_7" hidden="1">"#"</definedName>
    <definedName name="FDC_285_8" hidden="1">"#"</definedName>
    <definedName name="FDC_285_9" hidden="1">"#"</definedName>
    <definedName name="FDC_286_0" hidden="1">"#"</definedName>
    <definedName name="FDC_286_1" hidden="1">"#"</definedName>
    <definedName name="FDC_286_10" hidden="1">"#"</definedName>
    <definedName name="FDC_286_11" hidden="1">"#"</definedName>
    <definedName name="FDC_286_12" hidden="1">"#"</definedName>
    <definedName name="FDC_286_13" hidden="1">"#"</definedName>
    <definedName name="FDC_286_14" hidden="1">"#"</definedName>
    <definedName name="FDC_286_15" hidden="1">"#"</definedName>
    <definedName name="FDC_286_16" hidden="1">"#"</definedName>
    <definedName name="FDC_286_17" hidden="1">"#"</definedName>
    <definedName name="FDC_286_18" hidden="1">"#"</definedName>
    <definedName name="FDC_286_19" hidden="1">"#"</definedName>
    <definedName name="FDC_286_2" hidden="1">"#"</definedName>
    <definedName name="FDC_286_20" hidden="1">"#"</definedName>
    <definedName name="FDC_286_21" hidden="1">"#"</definedName>
    <definedName name="FDC_286_22" hidden="1">"#"</definedName>
    <definedName name="FDC_286_23" hidden="1">"#"</definedName>
    <definedName name="FDC_286_24" hidden="1">"#"</definedName>
    <definedName name="FDC_286_25" hidden="1">"#"</definedName>
    <definedName name="FDC_286_3" hidden="1">"#"</definedName>
    <definedName name="FDC_286_4" hidden="1">"#"</definedName>
    <definedName name="FDC_286_5" hidden="1">"#"</definedName>
    <definedName name="FDC_286_6" hidden="1">"#"</definedName>
    <definedName name="FDC_286_7" hidden="1">"#"</definedName>
    <definedName name="FDC_286_8" hidden="1">"#"</definedName>
    <definedName name="FDC_286_9" hidden="1">"#"</definedName>
    <definedName name="FDC_287_0" hidden="1">"#"</definedName>
    <definedName name="FDC_287_1" hidden="1">"#"</definedName>
    <definedName name="FDC_287_10" hidden="1">"#"</definedName>
    <definedName name="FDC_287_11" hidden="1">"#"</definedName>
    <definedName name="FDC_287_12" hidden="1">"#"</definedName>
    <definedName name="FDC_287_13" hidden="1">"#"</definedName>
    <definedName name="FDC_287_14" hidden="1">"#"</definedName>
    <definedName name="FDC_287_15" hidden="1">"#"</definedName>
    <definedName name="FDC_287_16" hidden="1">"#"</definedName>
    <definedName name="FDC_287_17" hidden="1">"#"</definedName>
    <definedName name="FDC_287_18" hidden="1">"#"</definedName>
    <definedName name="FDC_287_19" hidden="1">"#"</definedName>
    <definedName name="FDC_287_2" hidden="1">"#"</definedName>
    <definedName name="FDC_287_20" hidden="1">"#"</definedName>
    <definedName name="FDC_287_21" hidden="1">"#"</definedName>
    <definedName name="FDC_287_22" hidden="1">"#"</definedName>
    <definedName name="FDC_287_23" hidden="1">"#"</definedName>
    <definedName name="FDC_287_24" hidden="1">"#"</definedName>
    <definedName name="FDC_287_3" hidden="1">"#"</definedName>
    <definedName name="FDC_287_4" hidden="1">"#"</definedName>
    <definedName name="FDC_287_5" hidden="1">"#"</definedName>
    <definedName name="FDC_287_6" hidden="1">"#"</definedName>
    <definedName name="FDC_287_7" hidden="1">"#"</definedName>
    <definedName name="FDC_287_8" hidden="1">"#"</definedName>
    <definedName name="FDC_287_9" hidden="1">"#"</definedName>
    <definedName name="FDC_288_0" hidden="1">"#"</definedName>
    <definedName name="FDC_288_1" hidden="1">"#"</definedName>
    <definedName name="FDC_288_2" hidden="1">"#"</definedName>
    <definedName name="FDC_289_0" hidden="1">"#"</definedName>
    <definedName name="FDC_289_1" hidden="1">"#"</definedName>
    <definedName name="FDC_289_10" hidden="1">"#"</definedName>
    <definedName name="FDC_289_11" hidden="1">"#"</definedName>
    <definedName name="FDC_289_12" hidden="1">"#"</definedName>
    <definedName name="FDC_289_13" hidden="1">"#"</definedName>
    <definedName name="FDC_289_14" hidden="1">"#"</definedName>
    <definedName name="FDC_289_15" hidden="1">"#"</definedName>
    <definedName name="FDC_289_16" hidden="1">"#"</definedName>
    <definedName name="FDC_289_17" hidden="1">"#"</definedName>
    <definedName name="FDC_289_18" hidden="1">"#"</definedName>
    <definedName name="FDC_289_19" hidden="1">"#"</definedName>
    <definedName name="FDC_289_2" hidden="1">"#"</definedName>
    <definedName name="FDC_289_20" hidden="1">"#"</definedName>
    <definedName name="FDC_289_21" hidden="1">"#"</definedName>
    <definedName name="FDC_289_22" hidden="1">"#"</definedName>
    <definedName name="FDC_289_23" hidden="1">"#"</definedName>
    <definedName name="FDC_289_24" hidden="1">"#"</definedName>
    <definedName name="FDC_289_25" hidden="1">"#"</definedName>
    <definedName name="FDC_289_26" hidden="1">"#"</definedName>
    <definedName name="FDC_289_3" hidden="1">"#"</definedName>
    <definedName name="FDC_289_4" hidden="1">"#"</definedName>
    <definedName name="FDC_289_5" hidden="1">"#"</definedName>
    <definedName name="FDC_289_6" hidden="1">"#"</definedName>
    <definedName name="FDC_289_7" hidden="1">"#"</definedName>
    <definedName name="FDC_289_8" hidden="1">"#"</definedName>
    <definedName name="FDC_289_9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290_0" hidden="1">"#"</definedName>
    <definedName name="FDC_290_1" hidden="1">"#"</definedName>
    <definedName name="FDC_290_10" hidden="1">"#"</definedName>
    <definedName name="FDC_290_11" hidden="1">"#"</definedName>
    <definedName name="FDC_290_12" hidden="1">"#"</definedName>
    <definedName name="FDC_290_13" hidden="1">"#"</definedName>
    <definedName name="FDC_290_14" hidden="1">"#"</definedName>
    <definedName name="FDC_290_15" hidden="1">"#"</definedName>
    <definedName name="FDC_290_16" hidden="1">"#"</definedName>
    <definedName name="FDC_290_17" hidden="1">"#"</definedName>
    <definedName name="FDC_290_18" hidden="1">"#"</definedName>
    <definedName name="FDC_290_19" hidden="1">"#"</definedName>
    <definedName name="FDC_290_2" hidden="1">"#"</definedName>
    <definedName name="FDC_290_20" hidden="1">"#"</definedName>
    <definedName name="FDC_290_21" hidden="1">"#"</definedName>
    <definedName name="FDC_290_22" hidden="1">"#"</definedName>
    <definedName name="FDC_290_23" hidden="1">"#"</definedName>
    <definedName name="FDC_290_24" hidden="1">"#"</definedName>
    <definedName name="FDC_290_25" hidden="1">"#"</definedName>
    <definedName name="FDC_290_3" hidden="1">"#"</definedName>
    <definedName name="FDC_290_4" hidden="1">"#"</definedName>
    <definedName name="FDC_290_5" hidden="1">"#"</definedName>
    <definedName name="FDC_290_6" hidden="1">"#"</definedName>
    <definedName name="FDC_290_7" hidden="1">"#"</definedName>
    <definedName name="FDC_290_8" hidden="1">"#"</definedName>
    <definedName name="FDC_290_9" hidden="1">"#"</definedName>
    <definedName name="FDC_291_0" hidden="1">"#"</definedName>
    <definedName name="FDC_291_1" hidden="1">"#"</definedName>
    <definedName name="FDC_291_10" hidden="1">"#"</definedName>
    <definedName name="FDC_291_11" hidden="1">"#"</definedName>
    <definedName name="FDC_291_12" hidden="1">"#"</definedName>
    <definedName name="FDC_291_13" hidden="1">"#"</definedName>
    <definedName name="FDC_291_14" hidden="1">"#"</definedName>
    <definedName name="FDC_291_15" hidden="1">"#"</definedName>
    <definedName name="FDC_291_16" hidden="1">"#"</definedName>
    <definedName name="FDC_291_17" hidden="1">"#"</definedName>
    <definedName name="FDC_291_18" hidden="1">"#"</definedName>
    <definedName name="FDC_291_19" hidden="1">"#"</definedName>
    <definedName name="FDC_291_2" hidden="1">"#"</definedName>
    <definedName name="FDC_291_20" hidden="1">"#"</definedName>
    <definedName name="FDC_291_21" hidden="1">"#"</definedName>
    <definedName name="FDC_291_22" hidden="1">"#"</definedName>
    <definedName name="FDC_291_23" hidden="1">"#"</definedName>
    <definedName name="FDC_291_24" hidden="1">"#"</definedName>
    <definedName name="FDC_291_3" hidden="1">"#"</definedName>
    <definedName name="FDC_291_4" hidden="1">"#"</definedName>
    <definedName name="FDC_291_5" hidden="1">"#"</definedName>
    <definedName name="FDC_291_6" hidden="1">"#"</definedName>
    <definedName name="FDC_291_7" hidden="1">"#"</definedName>
    <definedName name="FDC_291_8" hidden="1">"#"</definedName>
    <definedName name="FDC_291_9" hidden="1">"#"</definedName>
    <definedName name="FDC_292_0" hidden="1">"#"</definedName>
    <definedName name="FDC_292_1" hidden="1">"#"</definedName>
    <definedName name="FDC_292_2" hidden="1">"#"</definedName>
    <definedName name="FDC_293_0" hidden="1">"#"</definedName>
    <definedName name="FDC_293_1" hidden="1">"#"</definedName>
    <definedName name="FDC_293_2" hidden="1">"#"</definedName>
    <definedName name="FDC_294_0" hidden="1">"#"</definedName>
    <definedName name="FDC_294_1" hidden="1">"#"</definedName>
    <definedName name="FDC_294_2" hidden="1">"#"</definedName>
    <definedName name="FDC_295_0" hidden="1">"#"</definedName>
    <definedName name="FDC_296_0" hidden="1">"#"</definedName>
    <definedName name="FDC_297_0" hidden="1">"#"</definedName>
    <definedName name="FDC_298_0" hidden="1">"#"</definedName>
    <definedName name="FDC_299_0" hidden="1">"#"</definedName>
    <definedName name="FDC_299_1" hidden="1">"#"</definedName>
    <definedName name="FDC_299_10" hidden="1">"#"</definedName>
    <definedName name="FDC_299_11" hidden="1">"#"</definedName>
    <definedName name="FDC_299_12" hidden="1">"#"</definedName>
    <definedName name="FDC_299_13" hidden="1">"#"</definedName>
    <definedName name="FDC_299_14" hidden="1">"#"</definedName>
    <definedName name="FDC_299_15" hidden="1">"#"</definedName>
    <definedName name="FDC_299_16" hidden="1">"#"</definedName>
    <definedName name="FDC_299_17" hidden="1">"#"</definedName>
    <definedName name="FDC_299_18" hidden="1">"#"</definedName>
    <definedName name="FDC_299_19" hidden="1">"#"</definedName>
    <definedName name="FDC_299_2" hidden="1">"#"</definedName>
    <definedName name="FDC_299_20" hidden="1">"#"</definedName>
    <definedName name="FDC_299_21" hidden="1">"#"</definedName>
    <definedName name="FDC_299_22" hidden="1">"#"</definedName>
    <definedName name="FDC_299_23" hidden="1">"#"</definedName>
    <definedName name="FDC_299_24" hidden="1">"#"</definedName>
    <definedName name="FDC_299_25" hidden="1">"#"</definedName>
    <definedName name="FDC_299_26" hidden="1">"#"</definedName>
    <definedName name="FDC_299_3" hidden="1">"#"</definedName>
    <definedName name="FDC_299_4" hidden="1">"#"</definedName>
    <definedName name="FDC_299_5" hidden="1">"#"</definedName>
    <definedName name="FDC_299_6" hidden="1">"#"</definedName>
    <definedName name="FDC_299_7" hidden="1">"#"</definedName>
    <definedName name="FDC_299_8" hidden="1">"#"</definedName>
    <definedName name="FDC_299_9" hidden="1">"#"</definedName>
    <definedName name="FDC_3_0" hidden="1">"#"</definedName>
    <definedName name="FDC_30_0" hidden="1">"#"</definedName>
    <definedName name="FDC_300_0" hidden="1">"#"</definedName>
    <definedName name="FDC_300_1" hidden="1">"#"</definedName>
    <definedName name="FDC_300_10" hidden="1">"#"</definedName>
    <definedName name="FDC_300_11" hidden="1">"#"</definedName>
    <definedName name="FDC_300_12" hidden="1">"#"</definedName>
    <definedName name="FDC_300_13" hidden="1">"#"</definedName>
    <definedName name="FDC_300_14" hidden="1">"#"</definedName>
    <definedName name="FDC_300_15" hidden="1">"#"</definedName>
    <definedName name="FDC_300_16" hidden="1">"#"</definedName>
    <definedName name="FDC_300_17" hidden="1">"#"</definedName>
    <definedName name="FDC_300_18" hidden="1">"#"</definedName>
    <definedName name="FDC_300_19" hidden="1">"#"</definedName>
    <definedName name="FDC_300_2" hidden="1">"#"</definedName>
    <definedName name="FDC_300_20" hidden="1">"#"</definedName>
    <definedName name="FDC_300_21" hidden="1">"#"</definedName>
    <definedName name="FDC_300_22" hidden="1">"#"</definedName>
    <definedName name="FDC_300_23" hidden="1">"#"</definedName>
    <definedName name="FDC_300_24" hidden="1">"#"</definedName>
    <definedName name="FDC_300_25" hidden="1">"#"</definedName>
    <definedName name="FDC_300_26" hidden="1">"#"</definedName>
    <definedName name="FDC_300_3" hidden="1">"#"</definedName>
    <definedName name="FDC_300_4" hidden="1">"#"</definedName>
    <definedName name="FDC_300_5" hidden="1">"#"</definedName>
    <definedName name="FDC_300_6" hidden="1">"#"</definedName>
    <definedName name="FDC_300_7" hidden="1">"#"</definedName>
    <definedName name="FDC_300_8" hidden="1">"#"</definedName>
    <definedName name="FDC_300_9" hidden="1">"#"</definedName>
    <definedName name="FDC_301_0" hidden="1">"#"</definedName>
    <definedName name="FDC_301_1" hidden="1">"#"</definedName>
    <definedName name="FDC_301_10" hidden="1">"#"</definedName>
    <definedName name="FDC_301_11" hidden="1">"#"</definedName>
    <definedName name="FDC_301_12" hidden="1">"#"</definedName>
    <definedName name="FDC_301_13" hidden="1">"#"</definedName>
    <definedName name="FDC_301_14" hidden="1">"#"</definedName>
    <definedName name="FDC_301_15" hidden="1">"#"</definedName>
    <definedName name="FDC_301_16" hidden="1">"#"</definedName>
    <definedName name="FDC_301_17" hidden="1">"#"</definedName>
    <definedName name="FDC_301_18" hidden="1">"#"</definedName>
    <definedName name="FDC_301_19" hidden="1">"#"</definedName>
    <definedName name="FDC_301_2" hidden="1">"#"</definedName>
    <definedName name="FDC_301_20" hidden="1">"#"</definedName>
    <definedName name="FDC_301_21" hidden="1">"#"</definedName>
    <definedName name="FDC_301_22" hidden="1">"#"</definedName>
    <definedName name="FDC_301_23" hidden="1">"#"</definedName>
    <definedName name="FDC_301_24" hidden="1">"#"</definedName>
    <definedName name="FDC_301_25" hidden="1">"#"</definedName>
    <definedName name="FDC_301_3" hidden="1">"#"</definedName>
    <definedName name="FDC_301_4" hidden="1">"#"</definedName>
    <definedName name="FDC_301_5" hidden="1">"#"</definedName>
    <definedName name="FDC_301_6" hidden="1">"#"</definedName>
    <definedName name="FDC_301_7" hidden="1">"#"</definedName>
    <definedName name="FDC_301_8" hidden="1">"#"</definedName>
    <definedName name="FDC_301_9" hidden="1">"#"</definedName>
    <definedName name="FDC_302_0" hidden="1">"#"</definedName>
    <definedName name="FDC_302_1" hidden="1">"#"</definedName>
    <definedName name="FDC_302_10" hidden="1">"#"</definedName>
    <definedName name="FDC_302_11" hidden="1">"#"</definedName>
    <definedName name="FDC_302_12" hidden="1">"#"</definedName>
    <definedName name="FDC_302_13" hidden="1">"#"</definedName>
    <definedName name="FDC_302_14" hidden="1">"#"</definedName>
    <definedName name="FDC_302_15" hidden="1">"#"</definedName>
    <definedName name="FDC_302_16" hidden="1">"#"</definedName>
    <definedName name="FDC_302_17" hidden="1">"#"</definedName>
    <definedName name="FDC_302_18" hidden="1">"#"</definedName>
    <definedName name="FDC_302_19" hidden="1">"#"</definedName>
    <definedName name="FDC_302_2" hidden="1">"#"</definedName>
    <definedName name="FDC_302_20" hidden="1">"#"</definedName>
    <definedName name="FDC_302_21" hidden="1">"#"</definedName>
    <definedName name="FDC_302_22" hidden="1">"#"</definedName>
    <definedName name="FDC_302_23" hidden="1">"#"</definedName>
    <definedName name="FDC_302_24" hidden="1">"#"</definedName>
    <definedName name="FDC_302_3" hidden="1">"#"</definedName>
    <definedName name="FDC_302_4" hidden="1">"#"</definedName>
    <definedName name="FDC_302_5" hidden="1">"#"</definedName>
    <definedName name="FDC_302_6" hidden="1">"#"</definedName>
    <definedName name="FDC_302_7" hidden="1">"#"</definedName>
    <definedName name="FDC_302_8" hidden="1">"#"</definedName>
    <definedName name="FDC_302_9" hidden="1">"#"</definedName>
    <definedName name="FDC_303_0" hidden="1">"#"</definedName>
    <definedName name="FDC_303_1" hidden="1">"#"</definedName>
    <definedName name="FDC_303_2" hidden="1">"#"</definedName>
    <definedName name="FDC_304_0" hidden="1">"#"</definedName>
    <definedName name="FDC_304_1" hidden="1">"#"</definedName>
    <definedName name="FDC_304_2" hidden="1">"#"</definedName>
    <definedName name="FDC_305_0" hidden="1">"#"</definedName>
    <definedName name="FDC_305_1" hidden="1">"#"</definedName>
    <definedName name="FDC_305_10" hidden="1">"#"</definedName>
    <definedName name="FDC_305_11" hidden="1">"#"</definedName>
    <definedName name="FDC_305_12" hidden="1">"#"</definedName>
    <definedName name="FDC_305_13" hidden="1">"#"</definedName>
    <definedName name="FDC_305_14" hidden="1">"#"</definedName>
    <definedName name="FDC_305_2" hidden="1">"#"</definedName>
    <definedName name="FDC_305_3" hidden="1">"#"</definedName>
    <definedName name="FDC_305_4" hidden="1">"#"</definedName>
    <definedName name="FDC_305_5" hidden="1">"#"</definedName>
    <definedName name="FDC_305_6" hidden="1">"#"</definedName>
    <definedName name="FDC_305_7" hidden="1">"#"</definedName>
    <definedName name="FDC_305_8" hidden="1">"#"</definedName>
    <definedName name="FDC_305_9" hidden="1">"#"</definedName>
    <definedName name="FDC_306_0" hidden="1">"#"</definedName>
    <definedName name="FDC_306_1" hidden="1">"#"</definedName>
    <definedName name="FDC_306_10" hidden="1">"#"</definedName>
    <definedName name="FDC_306_11" hidden="1">"#"</definedName>
    <definedName name="FDC_306_12" hidden="1">"#"</definedName>
    <definedName name="FDC_306_13" hidden="1">"#"</definedName>
    <definedName name="FDC_306_14" hidden="1">"#"</definedName>
    <definedName name="FDC_306_2" hidden="1">"#"</definedName>
    <definedName name="FDC_306_3" hidden="1">"#"</definedName>
    <definedName name="FDC_306_4" hidden="1">"#"</definedName>
    <definedName name="FDC_306_5" hidden="1">"#"</definedName>
    <definedName name="FDC_306_6" hidden="1">"#"</definedName>
    <definedName name="FDC_306_7" hidden="1">"#"</definedName>
    <definedName name="FDC_306_8" hidden="1">"#"</definedName>
    <definedName name="FDC_306_9" hidden="1">"#"</definedName>
    <definedName name="FDC_307_0" hidden="1">"#"</definedName>
    <definedName name="FDC_307_1" hidden="1">"#"</definedName>
    <definedName name="FDC_307_2" hidden="1">"#"</definedName>
    <definedName name="FDC_308_0" hidden="1">"#"</definedName>
    <definedName name="FDC_308_1" hidden="1">"#"</definedName>
    <definedName name="FDC_308_2" hidden="1">"#"</definedName>
    <definedName name="FDC_309_0" hidden="1">"#"</definedName>
    <definedName name="FDC_309_1" hidden="1">"#"</definedName>
    <definedName name="FDC_309_2" hidden="1">"#"</definedName>
    <definedName name="FDC_31_0" hidden="1">"#"</definedName>
    <definedName name="FDC_310_0" hidden="1">"#"</definedName>
    <definedName name="FDC_310_1" hidden="1">"#"</definedName>
    <definedName name="FDC_310_10" hidden="1">"#"</definedName>
    <definedName name="FDC_310_11" hidden="1">"#"</definedName>
    <definedName name="FDC_310_12" hidden="1">"#"</definedName>
    <definedName name="FDC_310_13" hidden="1">"#"</definedName>
    <definedName name="FDC_310_14" hidden="1">"#"</definedName>
    <definedName name="FDC_310_2" hidden="1">"#"</definedName>
    <definedName name="FDC_310_3" hidden="1">"#"</definedName>
    <definedName name="FDC_310_4" hidden="1">"#"</definedName>
    <definedName name="FDC_310_5" hidden="1">"#"</definedName>
    <definedName name="FDC_310_6" hidden="1">"#"</definedName>
    <definedName name="FDC_310_7" hidden="1">"#"</definedName>
    <definedName name="FDC_310_8" hidden="1">"#"</definedName>
    <definedName name="FDC_310_9" hidden="1">"#"</definedName>
    <definedName name="FDC_311_0" hidden="1">"#"</definedName>
    <definedName name="FDC_311_1" hidden="1">"#"</definedName>
    <definedName name="FDC_311_2" hidden="1">"#"</definedName>
    <definedName name="FDC_312_0" hidden="1">"#"</definedName>
    <definedName name="FDC_312_1" hidden="1">"#"</definedName>
    <definedName name="FDC_312_2" hidden="1">"#"</definedName>
    <definedName name="FDC_313_0" hidden="1">"#"</definedName>
    <definedName name="FDC_314_0" hidden="1">"#"</definedName>
    <definedName name="FDC_315_0" hidden="1">"#"</definedName>
    <definedName name="FDC_316_0" hidden="1">"#"</definedName>
    <definedName name="FDC_317_0" hidden="1">"#"</definedName>
    <definedName name="FDC_317_1" hidden="1">"#"</definedName>
    <definedName name="FDC_317_2" hidden="1">"#"</definedName>
    <definedName name="FDC_318_0" hidden="1">"#"</definedName>
    <definedName name="FDC_318_1" hidden="1">"#"</definedName>
    <definedName name="FDC_318_2" hidden="1">"#"</definedName>
    <definedName name="FDC_319_0" hidden="1">"#"</definedName>
    <definedName name="FDC_319_1" hidden="1">"#"</definedName>
    <definedName name="FDC_319_2" hidden="1">"#"</definedName>
    <definedName name="FDC_32_0" hidden="1">"#"</definedName>
    <definedName name="FDC_320_0" hidden="1">"#"</definedName>
    <definedName name="FDC_320_1" hidden="1">"#"</definedName>
    <definedName name="FDC_320_2" hidden="1">"#"</definedName>
    <definedName name="FDC_321_0" hidden="1">"#"</definedName>
    <definedName name="FDC_321_1" hidden="1">"#"</definedName>
    <definedName name="FDC_321_2" hidden="1">"#"</definedName>
    <definedName name="FDC_322_0" hidden="1">"#"</definedName>
    <definedName name="FDC_322_1" hidden="1">"#"</definedName>
    <definedName name="FDC_322_2" hidden="1">"#"</definedName>
    <definedName name="FDC_323_0" hidden="1">"#"</definedName>
    <definedName name="FDC_323_1" hidden="1">"#"</definedName>
    <definedName name="FDC_323_2" hidden="1">"#"</definedName>
    <definedName name="FDC_324_0" hidden="1">"#"</definedName>
    <definedName name="FDC_326_0" hidden="1">"#"</definedName>
    <definedName name="FDC_326_1" hidden="1">"#"</definedName>
    <definedName name="FDC_326_2" hidden="1">"#"</definedName>
    <definedName name="FDC_326_3" hidden="1">"#"</definedName>
    <definedName name="FDC_326_4" hidden="1">"#"</definedName>
    <definedName name="FDC_326_5" hidden="1">"#"</definedName>
    <definedName name="FDC_326_6" hidden="1">"#"</definedName>
    <definedName name="FDC_327_0" hidden="1">"#"</definedName>
    <definedName name="FDC_327_1" hidden="1">"#"</definedName>
    <definedName name="FDC_327_2" hidden="1">"#"</definedName>
    <definedName name="FDC_327_3" hidden="1">"#"</definedName>
    <definedName name="FDC_327_4" hidden="1">"#"</definedName>
    <definedName name="FDC_327_5" hidden="1">"#"</definedName>
    <definedName name="FDC_327_6" hidden="1">"#"</definedName>
    <definedName name="FDC_328_0" hidden="1">"#"</definedName>
    <definedName name="FDC_329_0" hidden="1">"#"</definedName>
    <definedName name="FDC_33_0" hidden="1">"#"</definedName>
    <definedName name="FDC_330_0" hidden="1">"#"</definedName>
    <definedName name="FDC_331_0" hidden="1">"#"</definedName>
    <definedName name="FDC_332_0" hidden="1">"#"</definedName>
    <definedName name="FDC_333_0" hidden="1">"#"</definedName>
    <definedName name="FDC_334_0" hidden="1">"#"</definedName>
    <definedName name="FDC_335_0" hidden="1">"#"</definedName>
    <definedName name="FDC_336_0" hidden="1">"#"</definedName>
    <definedName name="FDC_337_0" hidden="1">"#"</definedName>
    <definedName name="FDC_338_0" hidden="1">"#"</definedName>
    <definedName name="FDC_339_0" hidden="1">"#"</definedName>
    <definedName name="FDC_34_0" hidden="1">"#"</definedName>
    <definedName name="FDC_340_0" hidden="1">"#"</definedName>
    <definedName name="FDC_341_0" hidden="1">"#"</definedName>
    <definedName name="FDC_342_0" hidden="1">"#"</definedName>
    <definedName name="FDC_343_0" hidden="1">"#"</definedName>
    <definedName name="FDC_344_0" hidden="1">"#"</definedName>
    <definedName name="FDC_345_0" hidden="1">"#"</definedName>
    <definedName name="FDC_346_0" hidden="1">"#"</definedName>
    <definedName name="FDC_347_0" hidden="1">"#"</definedName>
    <definedName name="FDC_348_0" hidden="1">"#"</definedName>
    <definedName name="FDC_349_0" hidden="1">"#"</definedName>
    <definedName name="FDC_35_0" hidden="1">"#"</definedName>
    <definedName name="FDC_350_0" hidden="1">"#"</definedName>
    <definedName name="FDC_350_1" hidden="1">"#"</definedName>
    <definedName name="FDC_350_10" hidden="1">"#"</definedName>
    <definedName name="FDC_350_11" hidden="1">"#"</definedName>
    <definedName name="FDC_350_12" hidden="1">"#"</definedName>
    <definedName name="FDC_350_13" hidden="1">"#"</definedName>
    <definedName name="FDC_350_14" hidden="1">"#"</definedName>
    <definedName name="FDC_350_2" hidden="1">"#"</definedName>
    <definedName name="FDC_350_3" hidden="1">"#"</definedName>
    <definedName name="FDC_350_4" hidden="1">"#"</definedName>
    <definedName name="FDC_350_5" hidden="1">"#"</definedName>
    <definedName name="FDC_350_6" hidden="1">"#"</definedName>
    <definedName name="FDC_350_7" hidden="1">"#"</definedName>
    <definedName name="FDC_350_8" hidden="1">"#"</definedName>
    <definedName name="FDC_350_9" hidden="1">"#"</definedName>
    <definedName name="FDC_351_0" hidden="1">"#"</definedName>
    <definedName name="FDC_351_1" hidden="1">"#"</definedName>
    <definedName name="FDC_351_10" hidden="1">"#"</definedName>
    <definedName name="FDC_351_11" hidden="1">"#"</definedName>
    <definedName name="FDC_351_12" hidden="1">"#"</definedName>
    <definedName name="FDC_351_13" hidden="1">"#"</definedName>
    <definedName name="FDC_351_14" hidden="1">"#"</definedName>
    <definedName name="FDC_351_2" hidden="1">"#"</definedName>
    <definedName name="FDC_351_3" hidden="1">"#"</definedName>
    <definedName name="FDC_351_4" hidden="1">"#"</definedName>
    <definedName name="FDC_351_5" hidden="1">"#"</definedName>
    <definedName name="FDC_351_6" hidden="1">"#"</definedName>
    <definedName name="FDC_351_7" hidden="1">"#"</definedName>
    <definedName name="FDC_351_8" hidden="1">"#"</definedName>
    <definedName name="FDC_351_9" hidden="1">"#"</definedName>
    <definedName name="FDC_352_0" hidden="1">"#"</definedName>
    <definedName name="FDC_352_1" hidden="1">"#"</definedName>
    <definedName name="FDC_352_10" hidden="1">"#"</definedName>
    <definedName name="FDC_352_11" hidden="1">"#"</definedName>
    <definedName name="FDC_352_12" hidden="1">"#"</definedName>
    <definedName name="FDC_352_13" hidden="1">"#"</definedName>
    <definedName name="FDC_352_14" hidden="1">"#"</definedName>
    <definedName name="FDC_352_2" hidden="1">"#"</definedName>
    <definedName name="FDC_352_3" hidden="1">"#"</definedName>
    <definedName name="FDC_352_4" hidden="1">"#"</definedName>
    <definedName name="FDC_352_5" hidden="1">"#"</definedName>
    <definedName name="FDC_352_6" hidden="1">"#"</definedName>
    <definedName name="FDC_352_7" hidden="1">"#"</definedName>
    <definedName name="FDC_352_8" hidden="1">"#"</definedName>
    <definedName name="FDC_352_9" hidden="1">"#"</definedName>
    <definedName name="FDC_353_0" hidden="1">"#"</definedName>
    <definedName name="FDC_353_1" hidden="1">"#"</definedName>
    <definedName name="FDC_353_10" hidden="1">"#"</definedName>
    <definedName name="FDC_353_11" hidden="1">"#"</definedName>
    <definedName name="FDC_353_12" hidden="1">"#"</definedName>
    <definedName name="FDC_353_13" hidden="1">"#"</definedName>
    <definedName name="FDC_353_14" hidden="1">"#"</definedName>
    <definedName name="FDC_353_2" hidden="1">"#"</definedName>
    <definedName name="FDC_353_3" hidden="1">"#"</definedName>
    <definedName name="FDC_353_4" hidden="1">"#"</definedName>
    <definedName name="FDC_353_5" hidden="1">"#"</definedName>
    <definedName name="FDC_353_6" hidden="1">"#"</definedName>
    <definedName name="FDC_353_7" hidden="1">"#"</definedName>
    <definedName name="FDC_353_8" hidden="1">"#"</definedName>
    <definedName name="FDC_353_9" hidden="1">"#"</definedName>
    <definedName name="FDC_354_0" hidden="1">"#"</definedName>
    <definedName name="FDC_354_1" hidden="1">"#"</definedName>
    <definedName name="FDC_354_10" hidden="1">"#"</definedName>
    <definedName name="FDC_354_11" hidden="1">"#"</definedName>
    <definedName name="FDC_354_12" hidden="1">"#"</definedName>
    <definedName name="FDC_354_13" hidden="1">"#"</definedName>
    <definedName name="FDC_354_14" hidden="1">"#"</definedName>
    <definedName name="FDC_354_2" hidden="1">"#"</definedName>
    <definedName name="FDC_354_3" hidden="1">"#"</definedName>
    <definedName name="FDC_354_4" hidden="1">"#"</definedName>
    <definedName name="FDC_354_5" hidden="1">"#"</definedName>
    <definedName name="FDC_354_6" hidden="1">"#"</definedName>
    <definedName name="FDC_354_7" hidden="1">"#"</definedName>
    <definedName name="FDC_354_8" hidden="1">"#"</definedName>
    <definedName name="FDC_354_9" hidden="1">"#"</definedName>
    <definedName name="FDC_355_0" hidden="1">"#"</definedName>
    <definedName name="FDC_355_1" hidden="1">"#"</definedName>
    <definedName name="FDC_355_10" hidden="1">"#"</definedName>
    <definedName name="FDC_355_11" hidden="1">"#"</definedName>
    <definedName name="FDC_355_12" hidden="1">"#"</definedName>
    <definedName name="FDC_355_13" hidden="1">"#"</definedName>
    <definedName name="FDC_355_14" hidden="1">"#"</definedName>
    <definedName name="FDC_355_2" hidden="1">"#"</definedName>
    <definedName name="FDC_355_3" hidden="1">"#"</definedName>
    <definedName name="FDC_355_4" hidden="1">"#"</definedName>
    <definedName name="FDC_355_5" hidden="1">"#"</definedName>
    <definedName name="FDC_355_6" hidden="1">"#"</definedName>
    <definedName name="FDC_355_7" hidden="1">"#"</definedName>
    <definedName name="FDC_355_8" hidden="1">"#"</definedName>
    <definedName name="FDC_355_9" hidden="1">"#"</definedName>
    <definedName name="FDC_356_0" hidden="1">"#"</definedName>
    <definedName name="FDC_356_1" hidden="1">"#"</definedName>
    <definedName name="FDC_356_10" hidden="1">"#"</definedName>
    <definedName name="FDC_356_11" hidden="1">"#"</definedName>
    <definedName name="FDC_356_12" hidden="1">"#"</definedName>
    <definedName name="FDC_356_13" hidden="1">"#"</definedName>
    <definedName name="FDC_356_14" hidden="1">"#"</definedName>
    <definedName name="FDC_356_2" hidden="1">"#"</definedName>
    <definedName name="FDC_356_3" hidden="1">"#"</definedName>
    <definedName name="FDC_356_4" hidden="1">"#"</definedName>
    <definedName name="FDC_356_5" hidden="1">"#"</definedName>
    <definedName name="FDC_356_6" hidden="1">"#"</definedName>
    <definedName name="FDC_356_7" hidden="1">"#"</definedName>
    <definedName name="FDC_356_8" hidden="1">"#"</definedName>
    <definedName name="FDC_356_9" hidden="1">"#"</definedName>
    <definedName name="FDC_357_0" hidden="1">"#"</definedName>
    <definedName name="FDC_357_1" hidden="1">"#"</definedName>
    <definedName name="FDC_357_10" hidden="1">"#"</definedName>
    <definedName name="FDC_357_11" hidden="1">"#"</definedName>
    <definedName name="FDC_357_12" hidden="1">"#"</definedName>
    <definedName name="FDC_357_13" hidden="1">"#"</definedName>
    <definedName name="FDC_357_14" hidden="1">"#"</definedName>
    <definedName name="FDC_357_2" hidden="1">"#"</definedName>
    <definedName name="FDC_357_3" hidden="1">"#"</definedName>
    <definedName name="FDC_357_4" hidden="1">"#"</definedName>
    <definedName name="FDC_357_5" hidden="1">"#"</definedName>
    <definedName name="FDC_357_6" hidden="1">"#"</definedName>
    <definedName name="FDC_357_7" hidden="1">"#"</definedName>
    <definedName name="FDC_357_8" hidden="1">"#"</definedName>
    <definedName name="FDC_357_9" hidden="1">"#"</definedName>
    <definedName name="FDC_358_0" hidden="1">"#"</definedName>
    <definedName name="FDC_358_1" hidden="1">"#"</definedName>
    <definedName name="FDC_358_10" hidden="1">"#"</definedName>
    <definedName name="FDC_358_11" hidden="1">"#"</definedName>
    <definedName name="FDC_358_12" hidden="1">"#"</definedName>
    <definedName name="FDC_358_13" hidden="1">"#"</definedName>
    <definedName name="FDC_358_14" hidden="1">"#"</definedName>
    <definedName name="FDC_358_2" hidden="1">"#"</definedName>
    <definedName name="FDC_358_3" hidden="1">"#"</definedName>
    <definedName name="FDC_358_4" hidden="1">"#"</definedName>
    <definedName name="FDC_358_5" hidden="1">"#"</definedName>
    <definedName name="FDC_358_6" hidden="1">"#"</definedName>
    <definedName name="FDC_358_7" hidden="1">"#"</definedName>
    <definedName name="FDC_358_8" hidden="1">"#"</definedName>
    <definedName name="FDC_358_9" hidden="1">"#"</definedName>
    <definedName name="FDC_359_0" hidden="1">"#"</definedName>
    <definedName name="FDC_359_1" hidden="1">"#"</definedName>
    <definedName name="FDC_359_10" hidden="1">"#"</definedName>
    <definedName name="FDC_359_11" hidden="1">"#"</definedName>
    <definedName name="FDC_359_12" hidden="1">"#"</definedName>
    <definedName name="FDC_359_13" hidden="1">"#"</definedName>
    <definedName name="FDC_359_14" hidden="1">"#"</definedName>
    <definedName name="FDC_359_2" hidden="1">"#"</definedName>
    <definedName name="FDC_359_3" hidden="1">"#"</definedName>
    <definedName name="FDC_359_4" hidden="1">"#"</definedName>
    <definedName name="FDC_359_5" hidden="1">"#"</definedName>
    <definedName name="FDC_359_6" hidden="1">"#"</definedName>
    <definedName name="FDC_359_7" hidden="1">"#"</definedName>
    <definedName name="FDC_359_8" hidden="1">"#"</definedName>
    <definedName name="FDC_359_9" hidden="1">"#"</definedName>
    <definedName name="FDC_36_0" hidden="1">"#"</definedName>
    <definedName name="FDC_360_0" hidden="1">"#"</definedName>
    <definedName name="FDC_360_1" hidden="1">"#"</definedName>
    <definedName name="FDC_360_10" hidden="1">"#"</definedName>
    <definedName name="FDC_360_11" hidden="1">"#"</definedName>
    <definedName name="FDC_360_12" hidden="1">"#"</definedName>
    <definedName name="FDC_360_13" hidden="1">"#"</definedName>
    <definedName name="FDC_360_14" hidden="1">"#"</definedName>
    <definedName name="FDC_360_2" hidden="1">"#"</definedName>
    <definedName name="FDC_360_3" hidden="1">"#"</definedName>
    <definedName name="FDC_360_4" hidden="1">"#"</definedName>
    <definedName name="FDC_360_5" hidden="1">"#"</definedName>
    <definedName name="FDC_360_6" hidden="1">"#"</definedName>
    <definedName name="FDC_360_7" hidden="1">"#"</definedName>
    <definedName name="FDC_360_8" hidden="1">"#"</definedName>
    <definedName name="FDC_360_9" hidden="1">"#"</definedName>
    <definedName name="FDC_361_0" hidden="1">"#"</definedName>
    <definedName name="FDC_361_1" hidden="1">"#"</definedName>
    <definedName name="FDC_361_10" hidden="1">"#"</definedName>
    <definedName name="FDC_361_11" hidden="1">"#"</definedName>
    <definedName name="FDC_361_12" hidden="1">"#"</definedName>
    <definedName name="FDC_361_13" hidden="1">"#"</definedName>
    <definedName name="FDC_361_14" hidden="1">"#"</definedName>
    <definedName name="FDC_361_2" hidden="1">"#"</definedName>
    <definedName name="FDC_361_3" hidden="1">"#"</definedName>
    <definedName name="FDC_361_4" hidden="1">"#"</definedName>
    <definedName name="FDC_361_5" hidden="1">"#"</definedName>
    <definedName name="FDC_361_6" hidden="1">"#"</definedName>
    <definedName name="FDC_361_7" hidden="1">"#"</definedName>
    <definedName name="FDC_361_8" hidden="1">"#"</definedName>
    <definedName name="FDC_361_9" hidden="1">"#"</definedName>
    <definedName name="FDC_362_0" hidden="1">"#"</definedName>
    <definedName name="FDC_362_1" hidden="1">"#"</definedName>
    <definedName name="FDC_362_10" hidden="1">"#"</definedName>
    <definedName name="FDC_362_11" hidden="1">"#"</definedName>
    <definedName name="FDC_362_12" hidden="1">"#"</definedName>
    <definedName name="FDC_362_13" hidden="1">"#"</definedName>
    <definedName name="FDC_362_14" hidden="1">"#"</definedName>
    <definedName name="FDC_362_2" hidden="1">"#"</definedName>
    <definedName name="FDC_362_3" hidden="1">"#"</definedName>
    <definedName name="FDC_362_4" hidden="1">"#"</definedName>
    <definedName name="FDC_362_5" hidden="1">"#"</definedName>
    <definedName name="FDC_362_6" hidden="1">"#"</definedName>
    <definedName name="FDC_362_7" hidden="1">"#"</definedName>
    <definedName name="FDC_362_8" hidden="1">"#"</definedName>
    <definedName name="FDC_362_9" hidden="1">"#"</definedName>
    <definedName name="FDC_363_0" hidden="1">"#"</definedName>
    <definedName name="FDC_363_1" hidden="1">"#"</definedName>
    <definedName name="FDC_363_10" hidden="1">"#"</definedName>
    <definedName name="FDC_363_11" hidden="1">"#"</definedName>
    <definedName name="FDC_363_12" hidden="1">"#"</definedName>
    <definedName name="FDC_363_13" hidden="1">"#"</definedName>
    <definedName name="FDC_363_14" hidden="1">"#"</definedName>
    <definedName name="FDC_363_2" hidden="1">"#"</definedName>
    <definedName name="FDC_363_3" hidden="1">"#"</definedName>
    <definedName name="FDC_363_4" hidden="1">"#"</definedName>
    <definedName name="FDC_363_5" hidden="1">"#"</definedName>
    <definedName name="FDC_363_6" hidden="1">"#"</definedName>
    <definedName name="FDC_363_7" hidden="1">"#"</definedName>
    <definedName name="FDC_363_8" hidden="1">"#"</definedName>
    <definedName name="FDC_363_9" hidden="1">"#"</definedName>
    <definedName name="FDC_364_0" hidden="1">"#"</definedName>
    <definedName name="FDC_364_1" hidden="1">"#"</definedName>
    <definedName name="FDC_364_10" hidden="1">"#"</definedName>
    <definedName name="FDC_364_11" hidden="1">"#"</definedName>
    <definedName name="FDC_364_12" hidden="1">"#"</definedName>
    <definedName name="FDC_364_13" hidden="1">"#"</definedName>
    <definedName name="FDC_364_14" hidden="1">"#"</definedName>
    <definedName name="FDC_364_2" hidden="1">"#"</definedName>
    <definedName name="FDC_364_3" hidden="1">"#"</definedName>
    <definedName name="FDC_364_4" hidden="1">"#"</definedName>
    <definedName name="FDC_364_5" hidden="1">"#"</definedName>
    <definedName name="FDC_364_6" hidden="1">"#"</definedName>
    <definedName name="FDC_364_7" hidden="1">"#"</definedName>
    <definedName name="FDC_364_8" hidden="1">"#"</definedName>
    <definedName name="FDC_364_9" hidden="1">"#"</definedName>
    <definedName name="FDC_365_0" hidden="1">"#"</definedName>
    <definedName name="FDC_365_1" hidden="1">"#"</definedName>
    <definedName name="FDC_365_10" hidden="1">"#"</definedName>
    <definedName name="FDC_365_11" hidden="1">"#"</definedName>
    <definedName name="FDC_365_12" hidden="1">"#"</definedName>
    <definedName name="FDC_365_13" hidden="1">"#"</definedName>
    <definedName name="FDC_365_14" hidden="1">"#"</definedName>
    <definedName name="FDC_365_2" hidden="1">"#"</definedName>
    <definedName name="FDC_365_3" hidden="1">"#"</definedName>
    <definedName name="FDC_365_4" hidden="1">"#"</definedName>
    <definedName name="FDC_365_5" hidden="1">"#"</definedName>
    <definedName name="FDC_365_6" hidden="1">"#"</definedName>
    <definedName name="FDC_365_7" hidden="1">"#"</definedName>
    <definedName name="FDC_365_8" hidden="1">"#"</definedName>
    <definedName name="FDC_365_9" hidden="1">"#"</definedName>
    <definedName name="FDC_366_0" hidden="1">"#"</definedName>
    <definedName name="FDC_366_1" hidden="1">"#"</definedName>
    <definedName name="FDC_366_10" hidden="1">"#"</definedName>
    <definedName name="FDC_366_11" hidden="1">"#"</definedName>
    <definedName name="FDC_366_12" hidden="1">"#"</definedName>
    <definedName name="FDC_366_13" hidden="1">"#"</definedName>
    <definedName name="FDC_366_14" hidden="1">"#"</definedName>
    <definedName name="FDC_366_2" hidden="1">"#"</definedName>
    <definedName name="FDC_366_3" hidden="1">"#"</definedName>
    <definedName name="FDC_366_4" hidden="1">"#"</definedName>
    <definedName name="FDC_366_5" hidden="1">"#"</definedName>
    <definedName name="FDC_366_6" hidden="1">"#"</definedName>
    <definedName name="FDC_366_7" hidden="1">"#"</definedName>
    <definedName name="FDC_366_8" hidden="1">"#"</definedName>
    <definedName name="FDC_366_9" hidden="1">"#"</definedName>
    <definedName name="FDC_367_0" hidden="1">"#"</definedName>
    <definedName name="FDC_367_1" hidden="1">"#"</definedName>
    <definedName name="FDC_367_10" hidden="1">"#"</definedName>
    <definedName name="FDC_367_11" hidden="1">"#"</definedName>
    <definedName name="FDC_367_12" hidden="1">"#"</definedName>
    <definedName name="FDC_367_13" hidden="1">"#"</definedName>
    <definedName name="FDC_367_14" hidden="1">"#"</definedName>
    <definedName name="FDC_367_2" hidden="1">"#"</definedName>
    <definedName name="FDC_367_3" hidden="1">"#"</definedName>
    <definedName name="FDC_367_4" hidden="1">"#"</definedName>
    <definedName name="FDC_367_5" hidden="1">"#"</definedName>
    <definedName name="FDC_367_6" hidden="1">"#"</definedName>
    <definedName name="FDC_367_7" hidden="1">"#"</definedName>
    <definedName name="FDC_367_8" hidden="1">"#"</definedName>
    <definedName name="FDC_367_9" hidden="1">"#"</definedName>
    <definedName name="FDC_368_0" hidden="1">"#"</definedName>
    <definedName name="FDC_368_1" hidden="1">"#"</definedName>
    <definedName name="FDC_368_10" hidden="1">"#"</definedName>
    <definedName name="FDC_368_11" hidden="1">"#"</definedName>
    <definedName name="FDC_368_12" hidden="1">"#"</definedName>
    <definedName name="FDC_368_13" hidden="1">"#"</definedName>
    <definedName name="FDC_368_14" hidden="1">"#"</definedName>
    <definedName name="FDC_368_2" hidden="1">"#"</definedName>
    <definedName name="FDC_368_3" hidden="1">"#"</definedName>
    <definedName name="FDC_368_4" hidden="1">"#"</definedName>
    <definedName name="FDC_368_5" hidden="1">"#"</definedName>
    <definedName name="FDC_368_6" hidden="1">"#"</definedName>
    <definedName name="FDC_368_7" hidden="1">"#"</definedName>
    <definedName name="FDC_368_8" hidden="1">"#"</definedName>
    <definedName name="FDC_368_9" hidden="1">"#"</definedName>
    <definedName name="FDC_369_0" hidden="1">"#"</definedName>
    <definedName name="FDC_369_1" hidden="1">"#"</definedName>
    <definedName name="FDC_369_10" hidden="1">"#"</definedName>
    <definedName name="FDC_369_11" hidden="1">"#"</definedName>
    <definedName name="FDC_369_12" hidden="1">"#"</definedName>
    <definedName name="FDC_369_13" hidden="1">"#"</definedName>
    <definedName name="FDC_369_14" hidden="1">"#"</definedName>
    <definedName name="FDC_369_2" hidden="1">"#"</definedName>
    <definedName name="FDC_369_3" hidden="1">"#"</definedName>
    <definedName name="FDC_369_4" hidden="1">"#"</definedName>
    <definedName name="FDC_369_5" hidden="1">"#"</definedName>
    <definedName name="FDC_369_6" hidden="1">"#"</definedName>
    <definedName name="FDC_369_7" hidden="1">"#"</definedName>
    <definedName name="FDC_369_8" hidden="1">"#"</definedName>
    <definedName name="FDC_369_9" hidden="1">"#"</definedName>
    <definedName name="FDC_37_0" hidden="1">"#"</definedName>
    <definedName name="FDC_370_0" hidden="1">"#"</definedName>
    <definedName name="FDC_370_1" hidden="1">"#"</definedName>
    <definedName name="FDC_370_10" hidden="1">"#"</definedName>
    <definedName name="FDC_370_11" hidden="1">"#"</definedName>
    <definedName name="FDC_370_12" hidden="1">"#"</definedName>
    <definedName name="FDC_370_13" hidden="1">"#"</definedName>
    <definedName name="FDC_370_14" hidden="1">"#"</definedName>
    <definedName name="FDC_370_2" hidden="1">"#"</definedName>
    <definedName name="FDC_370_3" hidden="1">"#"</definedName>
    <definedName name="FDC_370_4" hidden="1">"#"</definedName>
    <definedName name="FDC_370_5" hidden="1">"#"</definedName>
    <definedName name="FDC_370_6" hidden="1">"#"</definedName>
    <definedName name="FDC_370_7" hidden="1">"#"</definedName>
    <definedName name="FDC_370_8" hidden="1">"#"</definedName>
    <definedName name="FDC_370_9" hidden="1">"#"</definedName>
    <definedName name="FDC_371_0" hidden="1">"#"</definedName>
    <definedName name="FDC_371_1" hidden="1">"#"</definedName>
    <definedName name="FDC_371_10" hidden="1">"#"</definedName>
    <definedName name="FDC_371_11" hidden="1">"#"</definedName>
    <definedName name="FDC_371_12" hidden="1">"#"</definedName>
    <definedName name="FDC_371_13" hidden="1">"#"</definedName>
    <definedName name="FDC_371_14" hidden="1">"#"</definedName>
    <definedName name="FDC_371_2" hidden="1">"#"</definedName>
    <definedName name="FDC_371_3" hidden="1">"#"</definedName>
    <definedName name="FDC_371_4" hidden="1">"#"</definedName>
    <definedName name="FDC_371_5" hidden="1">"#"</definedName>
    <definedName name="FDC_371_6" hidden="1">"#"</definedName>
    <definedName name="FDC_371_7" hidden="1">"#"</definedName>
    <definedName name="FDC_371_8" hidden="1">"#"</definedName>
    <definedName name="FDC_371_9" hidden="1">"#"</definedName>
    <definedName name="FDC_372_0" hidden="1">"#"</definedName>
    <definedName name="FDC_372_1" hidden="1">"#"</definedName>
    <definedName name="FDC_372_10" hidden="1">"#"</definedName>
    <definedName name="FDC_372_11" hidden="1">"#"</definedName>
    <definedName name="FDC_372_12" hidden="1">"#"</definedName>
    <definedName name="FDC_372_13" hidden="1">"#"</definedName>
    <definedName name="FDC_372_14" hidden="1">"#"</definedName>
    <definedName name="FDC_372_2" hidden="1">"#"</definedName>
    <definedName name="FDC_372_3" hidden="1">"#"</definedName>
    <definedName name="FDC_372_4" hidden="1">"#"</definedName>
    <definedName name="FDC_372_5" hidden="1">"#"</definedName>
    <definedName name="FDC_372_6" hidden="1">"#"</definedName>
    <definedName name="FDC_372_7" hidden="1">"#"</definedName>
    <definedName name="FDC_372_8" hidden="1">"#"</definedName>
    <definedName name="FDC_372_9" hidden="1">"#"</definedName>
    <definedName name="FDC_373_0" hidden="1">"#"</definedName>
    <definedName name="FDC_373_1" hidden="1">"#"</definedName>
    <definedName name="FDC_373_10" hidden="1">"#"</definedName>
    <definedName name="FDC_373_11" hidden="1">"#"</definedName>
    <definedName name="FDC_373_12" hidden="1">"#"</definedName>
    <definedName name="FDC_373_13" hidden="1">"#"</definedName>
    <definedName name="FDC_373_14" hidden="1">"#"</definedName>
    <definedName name="FDC_373_2" hidden="1">"#"</definedName>
    <definedName name="FDC_373_3" hidden="1">"#"</definedName>
    <definedName name="FDC_373_4" hidden="1">"#"</definedName>
    <definedName name="FDC_373_5" hidden="1">"#"</definedName>
    <definedName name="FDC_373_6" hidden="1">"#"</definedName>
    <definedName name="FDC_373_7" hidden="1">"#"</definedName>
    <definedName name="FDC_373_8" hidden="1">"#"</definedName>
    <definedName name="FDC_373_9" hidden="1">"#"</definedName>
    <definedName name="FDC_374_0" hidden="1">"#"</definedName>
    <definedName name="FDC_374_1" hidden="1">"#"</definedName>
    <definedName name="FDC_374_10" hidden="1">"#"</definedName>
    <definedName name="FDC_374_11" hidden="1">"#"</definedName>
    <definedName name="FDC_374_12" hidden="1">"#"</definedName>
    <definedName name="FDC_374_13" hidden="1">"#"</definedName>
    <definedName name="FDC_374_14" hidden="1">"#"</definedName>
    <definedName name="FDC_374_2" hidden="1">"#"</definedName>
    <definedName name="FDC_374_3" hidden="1">"#"</definedName>
    <definedName name="FDC_374_4" hidden="1">"#"</definedName>
    <definedName name="FDC_374_5" hidden="1">"#"</definedName>
    <definedName name="FDC_374_6" hidden="1">"#"</definedName>
    <definedName name="FDC_374_7" hidden="1">"#"</definedName>
    <definedName name="FDC_374_8" hidden="1">"#"</definedName>
    <definedName name="FDC_374_9" hidden="1">"#"</definedName>
    <definedName name="FDC_375_0" hidden="1">"#"</definedName>
    <definedName name="FDC_375_1" hidden="1">"#"</definedName>
    <definedName name="FDC_375_10" hidden="1">"#"</definedName>
    <definedName name="FDC_375_11" hidden="1">"#"</definedName>
    <definedName name="FDC_375_12" hidden="1">"#"</definedName>
    <definedName name="FDC_375_13" hidden="1">"#"</definedName>
    <definedName name="FDC_375_14" hidden="1">"#"</definedName>
    <definedName name="FDC_375_2" hidden="1">"#"</definedName>
    <definedName name="FDC_375_3" hidden="1">"#"</definedName>
    <definedName name="FDC_375_4" hidden="1">"#"</definedName>
    <definedName name="FDC_375_5" hidden="1">"#"</definedName>
    <definedName name="FDC_375_6" hidden="1">"#"</definedName>
    <definedName name="FDC_375_7" hidden="1">"#"</definedName>
    <definedName name="FDC_375_8" hidden="1">"#"</definedName>
    <definedName name="FDC_375_9" hidden="1">"#"</definedName>
    <definedName name="FDC_376_0" hidden="1">"#"</definedName>
    <definedName name="FDC_376_1" hidden="1">"#"</definedName>
    <definedName name="FDC_376_2" hidden="1">"#"</definedName>
    <definedName name="FDC_376_3" hidden="1">"#"</definedName>
    <definedName name="FDC_376_4" hidden="1">"#"</definedName>
    <definedName name="FDC_376_5" hidden="1">"#"</definedName>
    <definedName name="FDC_376_6" hidden="1">"#"</definedName>
    <definedName name="FDC_377_0" hidden="1">"#"</definedName>
    <definedName name="FDC_377_1" hidden="1">"#"</definedName>
    <definedName name="FDC_377_2" hidden="1">"#"</definedName>
    <definedName name="FDC_377_3" hidden="1">"#"</definedName>
    <definedName name="FDC_377_4" hidden="1">"#"</definedName>
    <definedName name="FDC_377_5" hidden="1">"#"</definedName>
    <definedName name="FDC_377_6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10" hidden="1">"#"</definedName>
    <definedName name="FDC_43_11" hidden="1">"#"</definedName>
    <definedName name="FDC_43_12" hidden="1">"#"</definedName>
    <definedName name="FDC_43_13" hidden="1">"#"</definedName>
    <definedName name="FDC_43_14" hidden="1">"#"</definedName>
    <definedName name="FDC_43_2" hidden="1">"#"</definedName>
    <definedName name="FDC_43_3" hidden="1">"#"</definedName>
    <definedName name="FDC_43_4" hidden="1">"#"</definedName>
    <definedName name="FDC_43_5" hidden="1">"#"</definedName>
    <definedName name="FDC_43_6" hidden="1">"#"</definedName>
    <definedName name="FDC_43_7" hidden="1">"#"</definedName>
    <definedName name="FDC_43_8" hidden="1">"#"</definedName>
    <definedName name="FDC_43_9" hidden="1">"#"</definedName>
    <definedName name="FDC_44_0" hidden="1">"#"</definedName>
    <definedName name="FDC_44_1" hidden="1">"#"</definedName>
    <definedName name="FDC_44_10" hidden="1">"#"</definedName>
    <definedName name="FDC_44_11" hidden="1">"#"</definedName>
    <definedName name="FDC_44_12" hidden="1">"#"</definedName>
    <definedName name="FDC_44_13" hidden="1">"#"</definedName>
    <definedName name="FDC_44_14" hidden="1">"#"</definedName>
    <definedName name="FDC_44_2" hidden="1">"#"</definedName>
    <definedName name="FDC_44_3" hidden="1">"#"</definedName>
    <definedName name="FDC_44_4" hidden="1">"#"</definedName>
    <definedName name="FDC_44_5" hidden="1">"#"</definedName>
    <definedName name="FDC_44_6" hidden="1">"#"</definedName>
    <definedName name="FDC_44_7" hidden="1">"#"</definedName>
    <definedName name="FDC_44_8" hidden="1">"#"</definedName>
    <definedName name="FDC_44_9" hidden="1">"#"</definedName>
    <definedName name="FDC_45_0" hidden="1">"#"</definedName>
    <definedName name="FDC_45_1" hidden="1">"#"</definedName>
    <definedName name="FDC_45_10" hidden="1">"#"</definedName>
    <definedName name="FDC_45_11" hidden="1">"#"</definedName>
    <definedName name="FDC_45_12" hidden="1">"#"</definedName>
    <definedName name="FDC_45_13" hidden="1">"#"</definedName>
    <definedName name="FDC_45_14" hidden="1">"#"</definedName>
    <definedName name="FDC_45_2" hidden="1">"#"</definedName>
    <definedName name="FDC_45_3" hidden="1">"#"</definedName>
    <definedName name="FDC_45_4" hidden="1">"#"</definedName>
    <definedName name="FDC_45_5" hidden="1">"#"</definedName>
    <definedName name="FDC_45_6" hidden="1">"#"</definedName>
    <definedName name="FDC_45_7" hidden="1">"#"</definedName>
    <definedName name="FDC_45_8" hidden="1">"#"</definedName>
    <definedName name="FDC_45_9" hidden="1">"#"</definedName>
    <definedName name="FDC_46_0" hidden="1">"#"</definedName>
    <definedName name="FDC_46_1" hidden="1">"#"</definedName>
    <definedName name="FDC_46_10" hidden="1">"#"</definedName>
    <definedName name="FDC_46_11" hidden="1">"#"</definedName>
    <definedName name="FDC_46_12" hidden="1">"#"</definedName>
    <definedName name="FDC_46_13" hidden="1">"#"</definedName>
    <definedName name="FDC_46_14" hidden="1">"#"</definedName>
    <definedName name="FDC_46_2" hidden="1">"#"</definedName>
    <definedName name="FDC_46_3" hidden="1">"#"</definedName>
    <definedName name="FDC_46_4" hidden="1">"#"</definedName>
    <definedName name="FDC_46_5" hidden="1">"#"</definedName>
    <definedName name="FDC_46_6" hidden="1">"#"</definedName>
    <definedName name="FDC_46_7" hidden="1">"#"</definedName>
    <definedName name="FDC_46_8" hidden="1">"#"</definedName>
    <definedName name="FDC_46_9" hidden="1">"#"</definedName>
    <definedName name="FDC_47_0" hidden="1">"#"</definedName>
    <definedName name="FDC_47_1" hidden="1">"#"</definedName>
    <definedName name="FDC_47_10" hidden="1">"#"</definedName>
    <definedName name="FDC_47_11" hidden="1">"#"</definedName>
    <definedName name="FDC_47_12" hidden="1">"#"</definedName>
    <definedName name="FDC_47_13" hidden="1">"#"</definedName>
    <definedName name="FDC_47_14" hidden="1">"#"</definedName>
    <definedName name="FDC_47_2" hidden="1">"#"</definedName>
    <definedName name="FDC_47_3" hidden="1">"#"</definedName>
    <definedName name="FDC_47_4" hidden="1">"#"</definedName>
    <definedName name="FDC_47_5" hidden="1">"#"</definedName>
    <definedName name="FDC_47_6" hidden="1">"#"</definedName>
    <definedName name="FDC_47_7" hidden="1">"#"</definedName>
    <definedName name="FDC_47_8" hidden="1">"#"</definedName>
    <definedName name="FDC_47_9" hidden="1">"#"</definedName>
    <definedName name="FDC_48_0" hidden="1">"#"</definedName>
    <definedName name="FDC_48_1" hidden="1">"#"</definedName>
    <definedName name="FDC_48_10" hidden="1">"#"</definedName>
    <definedName name="FDC_48_11" hidden="1">"#"</definedName>
    <definedName name="FDC_48_12" hidden="1">"#"</definedName>
    <definedName name="FDC_48_13" hidden="1">"#"</definedName>
    <definedName name="FDC_48_14" hidden="1">"#"</definedName>
    <definedName name="FDC_48_2" hidden="1">"#"</definedName>
    <definedName name="FDC_48_3" hidden="1">"#"</definedName>
    <definedName name="FDC_48_4" hidden="1">"#"</definedName>
    <definedName name="FDC_48_5" hidden="1">"#"</definedName>
    <definedName name="FDC_48_6" hidden="1">"#"</definedName>
    <definedName name="FDC_48_7" hidden="1">"#"</definedName>
    <definedName name="FDC_48_8" hidden="1">"#"</definedName>
    <definedName name="FDC_48_9" hidden="1">"#"</definedName>
    <definedName name="FDC_49_0" hidden="1">"#"</definedName>
    <definedName name="FDC_49_1" hidden="1">"#"</definedName>
    <definedName name="FDC_49_10" hidden="1">"#"</definedName>
    <definedName name="FDC_49_11" hidden="1">"#"</definedName>
    <definedName name="FDC_49_12" hidden="1">"#"</definedName>
    <definedName name="FDC_49_13" hidden="1">"#"</definedName>
    <definedName name="FDC_49_14" hidden="1">"#"</definedName>
    <definedName name="FDC_49_2" hidden="1">"#"</definedName>
    <definedName name="FDC_49_3" hidden="1">"#"</definedName>
    <definedName name="FDC_49_4" hidden="1">"#"</definedName>
    <definedName name="FDC_49_5" hidden="1">"#"</definedName>
    <definedName name="FDC_49_6" hidden="1">"#"</definedName>
    <definedName name="FDC_49_7" hidden="1">"#"</definedName>
    <definedName name="FDC_49_8" hidden="1">"#"</definedName>
    <definedName name="FDC_49_9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10" hidden="1">"#"</definedName>
    <definedName name="FDC_50_11" hidden="1">"#"</definedName>
    <definedName name="FDC_50_12" hidden="1">"#"</definedName>
    <definedName name="FDC_50_13" hidden="1">"#"</definedName>
    <definedName name="FDC_50_14" hidden="1">"#"</definedName>
    <definedName name="FDC_50_2" hidden="1">"#"</definedName>
    <definedName name="FDC_50_3" hidden="1">"#"</definedName>
    <definedName name="FDC_50_4" hidden="1">"#"</definedName>
    <definedName name="FDC_50_5" hidden="1">"#"</definedName>
    <definedName name="FDC_50_6" hidden="1">"#"</definedName>
    <definedName name="FDC_50_7" hidden="1">"#"</definedName>
    <definedName name="FDC_50_8" hidden="1">"#"</definedName>
    <definedName name="FDC_50_9" hidden="1">"#"</definedName>
    <definedName name="FDC_51_0" hidden="1">"#"</definedName>
    <definedName name="FDC_51_1" hidden="1">"#"</definedName>
    <definedName name="FDC_51_10" hidden="1">"#"</definedName>
    <definedName name="FDC_51_11" hidden="1">"#"</definedName>
    <definedName name="FDC_51_12" hidden="1">"#"</definedName>
    <definedName name="FDC_51_13" hidden="1">"#"</definedName>
    <definedName name="FDC_51_14" hidden="1">"#"</definedName>
    <definedName name="FDC_51_2" hidden="1">"#"</definedName>
    <definedName name="FDC_51_3" hidden="1">"#"</definedName>
    <definedName name="FDC_51_4" hidden="1">"#"</definedName>
    <definedName name="FDC_51_5" hidden="1">"#"</definedName>
    <definedName name="FDC_51_6" hidden="1">"#"</definedName>
    <definedName name="FDC_51_7" hidden="1">"#"</definedName>
    <definedName name="FDC_51_8" hidden="1">"#"</definedName>
    <definedName name="FDC_51_9" hidden="1">"#"</definedName>
    <definedName name="FDC_52_0" hidden="1">"#"</definedName>
    <definedName name="FDC_52_1" hidden="1">"#"</definedName>
    <definedName name="FDC_52_10" hidden="1">"#"</definedName>
    <definedName name="FDC_52_11" hidden="1">"#"</definedName>
    <definedName name="FDC_52_12" hidden="1">"#"</definedName>
    <definedName name="FDC_52_13" hidden="1">"#"</definedName>
    <definedName name="FDC_52_14" hidden="1">"#"</definedName>
    <definedName name="FDC_52_2" hidden="1">"#"</definedName>
    <definedName name="FDC_52_3" hidden="1">"#"</definedName>
    <definedName name="FDC_52_4" hidden="1">"#"</definedName>
    <definedName name="FDC_52_5" hidden="1">"#"</definedName>
    <definedName name="FDC_52_6" hidden="1">"#"</definedName>
    <definedName name="FDC_52_7" hidden="1">"#"</definedName>
    <definedName name="FDC_52_8" hidden="1">"#"</definedName>
    <definedName name="FDC_52_9" hidden="1">"#"</definedName>
    <definedName name="FDC_53_0" hidden="1">"#"</definedName>
    <definedName name="FDC_53_1" hidden="1">"#"</definedName>
    <definedName name="FDC_53_10" hidden="1">"#"</definedName>
    <definedName name="FDC_53_11" hidden="1">"#"</definedName>
    <definedName name="FDC_53_12" hidden="1">"#"</definedName>
    <definedName name="FDC_53_13" hidden="1">"#"</definedName>
    <definedName name="FDC_53_14" hidden="1">"#"</definedName>
    <definedName name="FDC_53_2" hidden="1">"#"</definedName>
    <definedName name="FDC_53_3" hidden="1">"#"</definedName>
    <definedName name="FDC_53_4" hidden="1">"#"</definedName>
    <definedName name="FDC_53_5" hidden="1">"#"</definedName>
    <definedName name="FDC_53_6" hidden="1">"#"</definedName>
    <definedName name="FDC_53_7" hidden="1">"#"</definedName>
    <definedName name="FDC_53_8" hidden="1">"#"</definedName>
    <definedName name="FDC_53_9" hidden="1">"#"</definedName>
    <definedName name="FDC_54_0" hidden="1">"#"</definedName>
    <definedName name="FDC_54_1" hidden="1">"#"</definedName>
    <definedName name="FDC_54_10" hidden="1">"#"</definedName>
    <definedName name="FDC_54_11" hidden="1">"#"</definedName>
    <definedName name="FDC_54_12" hidden="1">"#"</definedName>
    <definedName name="FDC_54_13" hidden="1">"#"</definedName>
    <definedName name="FDC_54_14" hidden="1">"#"</definedName>
    <definedName name="FDC_54_2" hidden="1">"#"</definedName>
    <definedName name="FDC_54_3" hidden="1">"#"</definedName>
    <definedName name="FDC_54_4" hidden="1">"#"</definedName>
    <definedName name="FDC_54_5" hidden="1">"#"</definedName>
    <definedName name="FDC_54_6" hidden="1">"#"</definedName>
    <definedName name="FDC_54_7" hidden="1">"#"</definedName>
    <definedName name="FDC_54_8" hidden="1">"#"</definedName>
    <definedName name="FDC_54_9" hidden="1">"#"</definedName>
    <definedName name="FDC_55_0" hidden="1">"#"</definedName>
    <definedName name="FDC_55_1" hidden="1">"#"</definedName>
    <definedName name="FDC_55_10" hidden="1">"#"</definedName>
    <definedName name="FDC_55_11" hidden="1">"#"</definedName>
    <definedName name="FDC_55_12" hidden="1">"#"</definedName>
    <definedName name="FDC_55_13" hidden="1">"#"</definedName>
    <definedName name="FDC_55_14" hidden="1">"#"</definedName>
    <definedName name="FDC_55_2" hidden="1">"#"</definedName>
    <definedName name="FDC_55_3" hidden="1">"#"</definedName>
    <definedName name="FDC_55_4" hidden="1">"#"</definedName>
    <definedName name="FDC_55_5" hidden="1">"#"</definedName>
    <definedName name="FDC_55_6" hidden="1">"#"</definedName>
    <definedName name="FDC_55_7" hidden="1">"#"</definedName>
    <definedName name="FDC_55_8" hidden="1">"#"</definedName>
    <definedName name="FDC_55_9" hidden="1">"#"</definedName>
    <definedName name="FDC_56_0" hidden="1">"#"</definedName>
    <definedName name="FDC_56_1" hidden="1">"#"</definedName>
    <definedName name="FDC_56_10" hidden="1">"#"</definedName>
    <definedName name="FDC_56_11" hidden="1">"#"</definedName>
    <definedName name="FDC_56_12" hidden="1">"#"</definedName>
    <definedName name="FDC_56_13" hidden="1">"#"</definedName>
    <definedName name="FDC_56_14" hidden="1">"#"</definedName>
    <definedName name="FDC_56_2" hidden="1">"#"</definedName>
    <definedName name="FDC_56_3" hidden="1">"#"</definedName>
    <definedName name="FDC_56_4" hidden="1">"#"</definedName>
    <definedName name="FDC_56_5" hidden="1">"#"</definedName>
    <definedName name="FDC_56_6" hidden="1">"#"</definedName>
    <definedName name="FDC_56_7" hidden="1">"#"</definedName>
    <definedName name="FDC_56_8" hidden="1">"#"</definedName>
    <definedName name="FDC_56_9" hidden="1">"#"</definedName>
    <definedName name="FDC_57_0" hidden="1">"#"</definedName>
    <definedName name="FDC_57_1" hidden="1">"#"</definedName>
    <definedName name="FDC_57_10" hidden="1">"#"</definedName>
    <definedName name="FDC_57_11" hidden="1">"#"</definedName>
    <definedName name="FDC_57_12" hidden="1">"#"</definedName>
    <definedName name="FDC_57_13" hidden="1">"#"</definedName>
    <definedName name="FDC_57_14" hidden="1">"#"</definedName>
    <definedName name="FDC_57_2" hidden="1">"#"</definedName>
    <definedName name="FDC_57_3" hidden="1">"#"</definedName>
    <definedName name="FDC_57_4" hidden="1">"#"</definedName>
    <definedName name="FDC_57_5" hidden="1">"#"</definedName>
    <definedName name="FDC_57_6" hidden="1">"#"</definedName>
    <definedName name="FDC_57_7" hidden="1">"#"</definedName>
    <definedName name="FDC_57_8" hidden="1">"#"</definedName>
    <definedName name="FDC_57_9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1_1" hidden="1">"#"</definedName>
    <definedName name="FDC_61_10" hidden="1">"#"</definedName>
    <definedName name="FDC_61_11" hidden="1">"#"</definedName>
    <definedName name="FDC_61_12" hidden="1">"#"</definedName>
    <definedName name="FDC_61_13" hidden="1">"#"</definedName>
    <definedName name="FDC_61_14" hidden="1">"#"</definedName>
    <definedName name="FDC_61_2" hidden="1">"#"</definedName>
    <definedName name="FDC_61_3" hidden="1">"#"</definedName>
    <definedName name="FDC_61_4" hidden="1">"#"</definedName>
    <definedName name="FDC_61_5" hidden="1">"#"</definedName>
    <definedName name="FDC_61_6" hidden="1">"#"</definedName>
    <definedName name="FDC_61_7" hidden="1">"#"</definedName>
    <definedName name="FDC_61_8" hidden="1">"#"</definedName>
    <definedName name="FDC_61_9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65_1" hidden="1">"#"</definedName>
    <definedName name="FDC_65_10" hidden="1">"#"</definedName>
    <definedName name="FDC_65_11" hidden="1">"#"</definedName>
    <definedName name="FDC_65_12" hidden="1">"#"</definedName>
    <definedName name="FDC_65_13" hidden="1">"#"</definedName>
    <definedName name="FDC_65_14" hidden="1">"#"</definedName>
    <definedName name="FDC_65_2" hidden="1">"#"</definedName>
    <definedName name="FDC_65_3" hidden="1">"#"</definedName>
    <definedName name="FDC_65_4" hidden="1">"#"</definedName>
    <definedName name="FDC_65_5" hidden="1">"#"</definedName>
    <definedName name="FDC_65_6" hidden="1">"#"</definedName>
    <definedName name="FDC_65_7" hidden="1">"#"</definedName>
    <definedName name="FDC_65_8" hidden="1">"#"</definedName>
    <definedName name="FDC_65_9" hidden="1">"#"</definedName>
    <definedName name="FDC_66_0" hidden="1">"#"</definedName>
    <definedName name="FDC_66_1" hidden="1">"#"</definedName>
    <definedName name="FDC_66_10" hidden="1">"#"</definedName>
    <definedName name="FDC_66_11" hidden="1">"#"</definedName>
    <definedName name="FDC_66_12" hidden="1">"#"</definedName>
    <definedName name="FDC_66_13" hidden="1">"#"</definedName>
    <definedName name="FDC_66_14" hidden="1">"#"</definedName>
    <definedName name="FDC_66_2" hidden="1">"#"</definedName>
    <definedName name="FDC_66_3" hidden="1">"#"</definedName>
    <definedName name="FDC_66_4" hidden="1">"#"</definedName>
    <definedName name="FDC_66_5" hidden="1">"#"</definedName>
    <definedName name="FDC_66_6" hidden="1">"#"</definedName>
    <definedName name="FDC_66_7" hidden="1">"#"</definedName>
    <definedName name="FDC_66_8" hidden="1">"#"</definedName>
    <definedName name="FDC_66_9" hidden="1">"#"</definedName>
    <definedName name="FDC_67_0" hidden="1">"#"</definedName>
    <definedName name="FDC_67_1" hidden="1">"#"</definedName>
    <definedName name="FDC_67_10" hidden="1">"#"</definedName>
    <definedName name="FDC_67_11" hidden="1">"#"</definedName>
    <definedName name="FDC_67_12" hidden="1">"#"</definedName>
    <definedName name="FDC_67_13" hidden="1">"#"</definedName>
    <definedName name="FDC_67_14" hidden="1">"#"</definedName>
    <definedName name="FDC_67_2" hidden="1">"#"</definedName>
    <definedName name="FDC_67_3" hidden="1">"#"</definedName>
    <definedName name="FDC_67_4" hidden="1">"#"</definedName>
    <definedName name="FDC_67_5" hidden="1">"#"</definedName>
    <definedName name="FDC_67_6" hidden="1">"#"</definedName>
    <definedName name="FDC_67_7" hidden="1">"#"</definedName>
    <definedName name="FDC_67_8" hidden="1">"#"</definedName>
    <definedName name="FDC_67_9" hidden="1">"#"</definedName>
    <definedName name="FDC_68_0" hidden="1">"#"</definedName>
    <definedName name="FDC_68_1" hidden="1">"#"</definedName>
    <definedName name="FDC_68_10" hidden="1">"#"</definedName>
    <definedName name="FDC_68_11" hidden="1">"#"</definedName>
    <definedName name="FDC_68_12" hidden="1">"#"</definedName>
    <definedName name="FDC_68_13" hidden="1">"#"</definedName>
    <definedName name="FDC_68_14" hidden="1">"#"</definedName>
    <definedName name="FDC_68_2" hidden="1">"#"</definedName>
    <definedName name="FDC_68_3" hidden="1">"#"</definedName>
    <definedName name="FDC_68_4" hidden="1">"#"</definedName>
    <definedName name="FDC_68_5" hidden="1">"#"</definedName>
    <definedName name="FDC_68_6" hidden="1">"#"</definedName>
    <definedName name="FDC_68_7" hidden="1">"#"</definedName>
    <definedName name="FDC_68_8" hidden="1">"#"</definedName>
    <definedName name="FDC_68_9" hidden="1">"#"</definedName>
    <definedName name="FDC_69_0" hidden="1">"#"</definedName>
    <definedName name="FDC_69_1" hidden="1">"#"</definedName>
    <definedName name="FDC_69_10" hidden="1">"#"</definedName>
    <definedName name="FDC_69_11" hidden="1">"#"</definedName>
    <definedName name="FDC_69_12" hidden="1">"#"</definedName>
    <definedName name="FDC_69_13" hidden="1">"#"</definedName>
    <definedName name="FDC_69_14" hidden="1">"#"</definedName>
    <definedName name="FDC_69_2" hidden="1">"#"</definedName>
    <definedName name="FDC_69_3" hidden="1">"#"</definedName>
    <definedName name="FDC_69_4" hidden="1">"#"</definedName>
    <definedName name="FDC_69_5" hidden="1">"#"</definedName>
    <definedName name="FDC_69_6" hidden="1">"#"</definedName>
    <definedName name="FDC_69_7" hidden="1">"#"</definedName>
    <definedName name="FDC_69_8" hidden="1">"#"</definedName>
    <definedName name="FDC_69_9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70_0" hidden="1">"#"</definedName>
    <definedName name="FDC_70_1" hidden="1">"#"</definedName>
    <definedName name="FDC_70_10" hidden="1">"#"</definedName>
    <definedName name="FDC_70_11" hidden="1">"#"</definedName>
    <definedName name="FDC_70_12" hidden="1">"#"</definedName>
    <definedName name="FDC_70_13" hidden="1">"#"</definedName>
    <definedName name="FDC_70_14" hidden="1">"#"</definedName>
    <definedName name="FDC_70_2" hidden="1">"#"</definedName>
    <definedName name="FDC_70_3" hidden="1">"#"</definedName>
    <definedName name="FDC_70_4" hidden="1">"#"</definedName>
    <definedName name="FDC_70_5" hidden="1">"#"</definedName>
    <definedName name="FDC_70_6" hidden="1">"#"</definedName>
    <definedName name="FDC_70_7" hidden="1">"#"</definedName>
    <definedName name="FDC_70_8" hidden="1">"#"</definedName>
    <definedName name="FDC_70_9" hidden="1">"#"</definedName>
    <definedName name="FDC_71_0" hidden="1">"#"</definedName>
    <definedName name="FDC_71_1" hidden="1">"#"</definedName>
    <definedName name="FDC_71_10" hidden="1">"#"</definedName>
    <definedName name="FDC_71_11" hidden="1">"#"</definedName>
    <definedName name="FDC_71_12" hidden="1">"#"</definedName>
    <definedName name="FDC_71_13" hidden="1">"#"</definedName>
    <definedName name="FDC_71_14" hidden="1">"#"</definedName>
    <definedName name="FDC_71_2" hidden="1">"#"</definedName>
    <definedName name="FDC_71_3" hidden="1">"#"</definedName>
    <definedName name="FDC_71_4" hidden="1">"#"</definedName>
    <definedName name="FDC_71_5" hidden="1">"#"</definedName>
    <definedName name="FDC_71_6" hidden="1">"#"</definedName>
    <definedName name="FDC_71_7" hidden="1">"#"</definedName>
    <definedName name="FDC_71_8" hidden="1">"#"</definedName>
    <definedName name="FDC_71_9" hidden="1">"#"</definedName>
    <definedName name="FDC_72_0" hidden="1">"#"</definedName>
    <definedName name="FDC_72_1" hidden="1">"#"</definedName>
    <definedName name="FDC_72_10" hidden="1">"#"</definedName>
    <definedName name="FDC_72_11" hidden="1">"#"</definedName>
    <definedName name="FDC_72_12" hidden="1">"#"</definedName>
    <definedName name="FDC_72_13" hidden="1">"#"</definedName>
    <definedName name="FDC_72_14" hidden="1">"#"</definedName>
    <definedName name="FDC_72_2" hidden="1">"#"</definedName>
    <definedName name="FDC_72_3" hidden="1">"#"</definedName>
    <definedName name="FDC_72_4" hidden="1">"#"</definedName>
    <definedName name="FDC_72_5" hidden="1">"#"</definedName>
    <definedName name="FDC_72_6" hidden="1">"#"</definedName>
    <definedName name="FDC_72_7" hidden="1">"#"</definedName>
    <definedName name="FDC_72_8" hidden="1">"#"</definedName>
    <definedName name="FDC_72_9" hidden="1">"#"</definedName>
    <definedName name="FDC_73_0" hidden="1">"#"</definedName>
    <definedName name="FDC_73_1" hidden="1">"#"</definedName>
    <definedName name="FDC_73_10" hidden="1">"#"</definedName>
    <definedName name="FDC_73_11" hidden="1">"#"</definedName>
    <definedName name="FDC_73_12" hidden="1">"#"</definedName>
    <definedName name="FDC_73_13" hidden="1">"#"</definedName>
    <definedName name="FDC_73_14" hidden="1">"#"</definedName>
    <definedName name="FDC_73_2" hidden="1">"#"</definedName>
    <definedName name="FDC_73_3" hidden="1">"#"</definedName>
    <definedName name="FDC_73_4" hidden="1">"#"</definedName>
    <definedName name="FDC_73_5" hidden="1">"#"</definedName>
    <definedName name="FDC_73_6" hidden="1">"#"</definedName>
    <definedName name="FDC_73_7" hidden="1">"#"</definedName>
    <definedName name="FDC_73_8" hidden="1">"#"</definedName>
    <definedName name="FDC_73_9" hidden="1">"#"</definedName>
    <definedName name="FDC_74_0" hidden="1">"#"</definedName>
    <definedName name="FDC_74_1" hidden="1">"#"</definedName>
    <definedName name="FDC_74_10" hidden="1">"#"</definedName>
    <definedName name="FDC_74_11" hidden="1">"#"</definedName>
    <definedName name="FDC_74_12" hidden="1">"#"</definedName>
    <definedName name="FDC_74_13" hidden="1">"#"</definedName>
    <definedName name="FDC_74_14" hidden="1">"#"</definedName>
    <definedName name="FDC_74_2" hidden="1">"#"</definedName>
    <definedName name="FDC_74_3" hidden="1">"#"</definedName>
    <definedName name="FDC_74_4" hidden="1">"#"</definedName>
    <definedName name="FDC_74_5" hidden="1">"#"</definedName>
    <definedName name="FDC_74_6" hidden="1">"#"</definedName>
    <definedName name="FDC_74_7" hidden="1">"#"</definedName>
    <definedName name="FDC_74_8" hidden="1">"#"</definedName>
    <definedName name="FDC_74_9" hidden="1">"#"</definedName>
    <definedName name="FDC_75_0" hidden="1">"#"</definedName>
    <definedName name="FDC_75_1" hidden="1">"#"</definedName>
    <definedName name="FDC_75_10" hidden="1">"#"</definedName>
    <definedName name="FDC_75_11" hidden="1">"#"</definedName>
    <definedName name="FDC_75_12" hidden="1">"#"</definedName>
    <definedName name="FDC_75_13" hidden="1">"#"</definedName>
    <definedName name="FDC_75_14" hidden="1">"#"</definedName>
    <definedName name="FDC_75_2" hidden="1">"#"</definedName>
    <definedName name="FDC_75_3" hidden="1">"#"</definedName>
    <definedName name="FDC_75_4" hidden="1">"#"</definedName>
    <definedName name="FDC_75_5" hidden="1">"#"</definedName>
    <definedName name="FDC_75_6" hidden="1">"#"</definedName>
    <definedName name="FDC_75_7" hidden="1">"#"</definedName>
    <definedName name="FDC_75_8" hidden="1">"#"</definedName>
    <definedName name="FDC_75_9" hidden="1">"#"</definedName>
    <definedName name="FDC_76_0" hidden="1">"#"</definedName>
    <definedName name="FDC_76_1" hidden="1">"#"</definedName>
    <definedName name="FDC_76_10" hidden="1">"#"</definedName>
    <definedName name="FDC_76_11" hidden="1">"#"</definedName>
    <definedName name="FDC_76_12" hidden="1">"#"</definedName>
    <definedName name="FDC_76_13" hidden="1">"#"</definedName>
    <definedName name="FDC_76_14" hidden="1">"#"</definedName>
    <definedName name="FDC_76_2" hidden="1">"#"</definedName>
    <definedName name="FDC_76_3" hidden="1">"#"</definedName>
    <definedName name="FDC_76_4" hidden="1">"#"</definedName>
    <definedName name="FDC_76_5" hidden="1">"#"</definedName>
    <definedName name="FDC_76_6" hidden="1">"#"</definedName>
    <definedName name="FDC_76_7" hidden="1">"#"</definedName>
    <definedName name="FDC_76_8" hidden="1">"#"</definedName>
    <definedName name="FDC_76_9" hidden="1">"#"</definedName>
    <definedName name="FDC_77_0" hidden="1">"#"</definedName>
    <definedName name="FDC_77_1" hidden="1">"#"</definedName>
    <definedName name="FDC_77_10" hidden="1">"#"</definedName>
    <definedName name="FDC_77_11" hidden="1">"#"</definedName>
    <definedName name="FDC_77_12" hidden="1">"#"</definedName>
    <definedName name="FDC_77_13" hidden="1">"#"</definedName>
    <definedName name="FDC_77_14" hidden="1">"#"</definedName>
    <definedName name="FDC_77_2" hidden="1">"#"</definedName>
    <definedName name="FDC_77_3" hidden="1">"#"</definedName>
    <definedName name="FDC_77_4" hidden="1">"#"</definedName>
    <definedName name="FDC_77_5" hidden="1">"#"</definedName>
    <definedName name="FDC_77_6" hidden="1">"#"</definedName>
    <definedName name="FDC_77_7" hidden="1">"#"</definedName>
    <definedName name="FDC_77_8" hidden="1">"#"</definedName>
    <definedName name="FDC_77_9" hidden="1">"#"</definedName>
    <definedName name="FDC_78_0" hidden="1">"#"</definedName>
    <definedName name="FDC_78_1" hidden="1">"#"</definedName>
    <definedName name="FDC_78_10" hidden="1">"#"</definedName>
    <definedName name="FDC_78_11" hidden="1">"#"</definedName>
    <definedName name="FDC_78_12" hidden="1">"#"</definedName>
    <definedName name="FDC_78_13" hidden="1">"#"</definedName>
    <definedName name="FDC_78_14" hidden="1">"#"</definedName>
    <definedName name="FDC_78_2" hidden="1">"#"</definedName>
    <definedName name="FDC_78_3" hidden="1">"#"</definedName>
    <definedName name="FDC_78_4" hidden="1">"#"</definedName>
    <definedName name="FDC_78_5" hidden="1">"#"</definedName>
    <definedName name="FDC_78_6" hidden="1">"#"</definedName>
    <definedName name="FDC_78_7" hidden="1">"#"</definedName>
    <definedName name="FDC_78_8" hidden="1">"#"</definedName>
    <definedName name="FDC_78_9" hidden="1">"#"</definedName>
    <definedName name="FDC_79_0" hidden="1">"#"</definedName>
    <definedName name="FDC_79_1" hidden="1">"#"</definedName>
    <definedName name="FDC_79_10" hidden="1">"#"</definedName>
    <definedName name="FDC_79_11" hidden="1">"#"</definedName>
    <definedName name="FDC_79_12" hidden="1">"#"</definedName>
    <definedName name="FDC_79_13" hidden="1">"#"</definedName>
    <definedName name="FDC_79_14" hidden="1">"#"</definedName>
    <definedName name="FDC_79_2" hidden="1">"#"</definedName>
    <definedName name="FDC_79_3" hidden="1">"#"</definedName>
    <definedName name="FDC_79_4" hidden="1">"#"</definedName>
    <definedName name="FDC_79_5" hidden="1">"#"</definedName>
    <definedName name="FDC_79_6" hidden="1">"#"</definedName>
    <definedName name="FDC_79_7" hidden="1">"#"</definedName>
    <definedName name="FDC_79_8" hidden="1">"#"</definedName>
    <definedName name="FDC_79_9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80_0" hidden="1">"#"</definedName>
    <definedName name="FDC_80_1" hidden="1">"#"</definedName>
    <definedName name="FDC_80_10" hidden="1">"#"</definedName>
    <definedName name="FDC_80_11" hidden="1">"#"</definedName>
    <definedName name="FDC_80_12" hidden="1">"#"</definedName>
    <definedName name="FDC_80_13" hidden="1">"#"</definedName>
    <definedName name="FDC_80_14" hidden="1">"#"</definedName>
    <definedName name="FDC_80_2" hidden="1">"#"</definedName>
    <definedName name="FDC_80_3" hidden="1">"#"</definedName>
    <definedName name="FDC_80_4" hidden="1">"#"</definedName>
    <definedName name="FDC_80_5" hidden="1">"#"</definedName>
    <definedName name="FDC_80_6" hidden="1">"#"</definedName>
    <definedName name="FDC_80_7" hidden="1">"#"</definedName>
    <definedName name="FDC_80_8" hidden="1">"#"</definedName>
    <definedName name="FDC_80_9" hidden="1">"#"</definedName>
    <definedName name="FDC_81_0" hidden="1">"#"</definedName>
    <definedName name="FDC_81_1" hidden="1">"#"</definedName>
    <definedName name="FDC_81_10" hidden="1">"#"</definedName>
    <definedName name="FDC_81_11" hidden="1">"#"</definedName>
    <definedName name="FDC_81_12" hidden="1">"#"</definedName>
    <definedName name="FDC_81_13" hidden="1">"#"</definedName>
    <definedName name="FDC_81_14" hidden="1">"#"</definedName>
    <definedName name="FDC_81_2" hidden="1">"#"</definedName>
    <definedName name="FDC_81_3" hidden="1">"#"</definedName>
    <definedName name="FDC_81_4" hidden="1">"#"</definedName>
    <definedName name="FDC_81_5" hidden="1">"#"</definedName>
    <definedName name="FDC_81_6" hidden="1">"#"</definedName>
    <definedName name="FDC_81_7" hidden="1">"#"</definedName>
    <definedName name="FDC_81_8" hidden="1">"#"</definedName>
    <definedName name="FDC_81_9" hidden="1">"#"</definedName>
    <definedName name="FDC_82_0" hidden="1">"#"</definedName>
    <definedName name="FDC_82_1" hidden="1">"#"</definedName>
    <definedName name="FDC_82_10" hidden="1">"#"</definedName>
    <definedName name="FDC_82_11" hidden="1">"#"</definedName>
    <definedName name="FDC_82_12" hidden="1">"#"</definedName>
    <definedName name="FDC_82_13" hidden="1">"#"</definedName>
    <definedName name="FDC_82_14" hidden="1">"#"</definedName>
    <definedName name="FDC_82_2" hidden="1">"#"</definedName>
    <definedName name="FDC_82_3" hidden="1">"#"</definedName>
    <definedName name="FDC_82_4" hidden="1">"#"</definedName>
    <definedName name="FDC_82_5" hidden="1">"#"</definedName>
    <definedName name="FDC_82_6" hidden="1">"#"</definedName>
    <definedName name="FDC_82_7" hidden="1">"#"</definedName>
    <definedName name="FDC_82_8" hidden="1">"#"</definedName>
    <definedName name="FDC_82_9" hidden="1">"#"</definedName>
    <definedName name="FDC_83_0" hidden="1">"#"</definedName>
    <definedName name="FDC_83_1" hidden="1">"#"</definedName>
    <definedName name="FDC_83_10" hidden="1">"#"</definedName>
    <definedName name="FDC_83_11" hidden="1">"#"</definedName>
    <definedName name="FDC_83_12" hidden="1">"#"</definedName>
    <definedName name="FDC_83_13" hidden="1">"#"</definedName>
    <definedName name="FDC_83_14" hidden="1">"#"</definedName>
    <definedName name="FDC_83_2" hidden="1">"#"</definedName>
    <definedName name="FDC_83_3" hidden="1">"#"</definedName>
    <definedName name="FDC_83_4" hidden="1">"#"</definedName>
    <definedName name="FDC_83_5" hidden="1">"#"</definedName>
    <definedName name="FDC_83_6" hidden="1">"#"</definedName>
    <definedName name="FDC_83_7" hidden="1">"#"</definedName>
    <definedName name="FDC_83_8" hidden="1">"#"</definedName>
    <definedName name="FDC_83_9" hidden="1">"#"</definedName>
    <definedName name="FDC_84_0" hidden="1">"#"</definedName>
    <definedName name="FDC_84_1" hidden="1">"#"</definedName>
    <definedName name="FDC_84_10" hidden="1">"#"</definedName>
    <definedName name="FDC_84_11" hidden="1">"#"</definedName>
    <definedName name="FDC_84_12" hidden="1">"#"</definedName>
    <definedName name="FDC_84_13" hidden="1">"#"</definedName>
    <definedName name="FDC_84_14" hidden="1">"#"</definedName>
    <definedName name="FDC_84_2" hidden="1">"#"</definedName>
    <definedName name="FDC_84_3" hidden="1">"#"</definedName>
    <definedName name="FDC_84_4" hidden="1">"#"</definedName>
    <definedName name="FDC_84_5" hidden="1">"#"</definedName>
    <definedName name="FDC_84_6" hidden="1">"#"</definedName>
    <definedName name="FDC_84_7" hidden="1">"#"</definedName>
    <definedName name="FDC_84_8" hidden="1">"#"</definedName>
    <definedName name="FDC_84_9" hidden="1">"#"</definedName>
    <definedName name="FDC_85_0" hidden="1">"#"</definedName>
    <definedName name="FDC_85_1" hidden="1">"#"</definedName>
    <definedName name="FDC_85_10" hidden="1">"#"</definedName>
    <definedName name="FDC_85_11" hidden="1">"#"</definedName>
    <definedName name="FDC_85_12" hidden="1">"#"</definedName>
    <definedName name="FDC_85_13" hidden="1">"#"</definedName>
    <definedName name="FDC_85_14" hidden="1">"#"</definedName>
    <definedName name="FDC_85_2" hidden="1">"#"</definedName>
    <definedName name="FDC_85_3" hidden="1">"#"</definedName>
    <definedName name="FDC_85_4" hidden="1">"#"</definedName>
    <definedName name="FDC_85_5" hidden="1">"#"</definedName>
    <definedName name="FDC_85_6" hidden="1">"#"</definedName>
    <definedName name="FDC_85_7" hidden="1">"#"</definedName>
    <definedName name="FDC_85_8" hidden="1">"#"</definedName>
    <definedName name="FDC_85_9" hidden="1">"#"</definedName>
    <definedName name="FDC_86_0" hidden="1">"#"</definedName>
    <definedName name="FDC_86_1" hidden="1">"#"</definedName>
    <definedName name="FDC_86_10" hidden="1">"#"</definedName>
    <definedName name="FDC_86_11" hidden="1">"#"</definedName>
    <definedName name="FDC_86_12" hidden="1">"#"</definedName>
    <definedName name="FDC_86_13" hidden="1">"#"</definedName>
    <definedName name="FDC_86_14" hidden="1">"#"</definedName>
    <definedName name="FDC_86_2" hidden="1">"#"</definedName>
    <definedName name="FDC_86_3" hidden="1">"#"</definedName>
    <definedName name="FDC_86_4" hidden="1">"#"</definedName>
    <definedName name="FDC_86_5" hidden="1">"#"</definedName>
    <definedName name="FDC_86_6" hidden="1">"#"</definedName>
    <definedName name="FDC_86_7" hidden="1">"#"</definedName>
    <definedName name="FDC_86_8" hidden="1">"#"</definedName>
    <definedName name="FDC_86_9" hidden="1">"#"</definedName>
    <definedName name="FDC_87_0" hidden="1">"#"</definedName>
    <definedName name="FDC_87_1" hidden="1">"#"</definedName>
    <definedName name="FDC_87_10" hidden="1">"#"</definedName>
    <definedName name="FDC_87_11" hidden="1">"#"</definedName>
    <definedName name="FDC_87_12" hidden="1">"#"</definedName>
    <definedName name="FDC_87_13" hidden="1">"#"</definedName>
    <definedName name="FDC_87_14" hidden="1">"#"</definedName>
    <definedName name="FDC_87_2" hidden="1">"#"</definedName>
    <definedName name="FDC_87_3" hidden="1">"#"</definedName>
    <definedName name="FDC_87_4" hidden="1">"#"</definedName>
    <definedName name="FDC_87_5" hidden="1">"#"</definedName>
    <definedName name="FDC_87_6" hidden="1">"#"</definedName>
    <definedName name="FDC_87_7" hidden="1">"#"</definedName>
    <definedName name="FDC_87_8" hidden="1">"#"</definedName>
    <definedName name="FDC_87_9" hidden="1">"#"</definedName>
    <definedName name="FDC_88_0" hidden="1">"#"</definedName>
    <definedName name="FDC_88_1" hidden="1">"#"</definedName>
    <definedName name="FDC_88_10" hidden="1">"#"</definedName>
    <definedName name="FDC_88_11" hidden="1">"#"</definedName>
    <definedName name="FDC_88_12" hidden="1">"#"</definedName>
    <definedName name="FDC_88_13" hidden="1">"#"</definedName>
    <definedName name="FDC_88_14" hidden="1">"#"</definedName>
    <definedName name="FDC_88_2" hidden="1">"#"</definedName>
    <definedName name="FDC_88_3" hidden="1">"#"</definedName>
    <definedName name="FDC_88_4" hidden="1">"#"</definedName>
    <definedName name="FDC_88_5" hidden="1">"#"</definedName>
    <definedName name="FDC_88_6" hidden="1">"#"</definedName>
    <definedName name="FDC_88_7" hidden="1">"#"</definedName>
    <definedName name="FDC_88_8" hidden="1">"#"</definedName>
    <definedName name="FDC_88_9" hidden="1">"#"</definedName>
    <definedName name="FDC_89_0" hidden="1">"#"</definedName>
    <definedName name="FDC_89_1" hidden="1">"#"</definedName>
    <definedName name="FDC_89_10" hidden="1">"#"</definedName>
    <definedName name="FDC_89_11" hidden="1">"#"</definedName>
    <definedName name="FDC_89_12" hidden="1">"#"</definedName>
    <definedName name="FDC_89_13" hidden="1">"#"</definedName>
    <definedName name="FDC_89_14" hidden="1">"#"</definedName>
    <definedName name="FDC_89_2" hidden="1">"#"</definedName>
    <definedName name="FDC_89_3" hidden="1">"#"</definedName>
    <definedName name="FDC_89_4" hidden="1">"#"</definedName>
    <definedName name="FDC_89_5" hidden="1">"#"</definedName>
    <definedName name="FDC_89_6" hidden="1">"#"</definedName>
    <definedName name="FDC_89_7" hidden="1">"#"</definedName>
    <definedName name="FDC_89_8" hidden="1">"#"</definedName>
    <definedName name="FDC_89_9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C_90_0" hidden="1">"#"</definedName>
    <definedName name="FDC_90_1" hidden="1">"#"</definedName>
    <definedName name="FDC_90_10" hidden="1">"#"</definedName>
    <definedName name="FDC_90_11" hidden="1">"#"</definedName>
    <definedName name="FDC_90_12" hidden="1">"#"</definedName>
    <definedName name="FDC_90_13" hidden="1">"#"</definedName>
    <definedName name="FDC_90_14" hidden="1">"#"</definedName>
    <definedName name="FDC_90_2" hidden="1">"#"</definedName>
    <definedName name="FDC_90_3" hidden="1">"#"</definedName>
    <definedName name="FDC_90_4" hidden="1">"#"</definedName>
    <definedName name="FDC_90_5" hidden="1">"#"</definedName>
    <definedName name="FDC_90_6" hidden="1">"#"</definedName>
    <definedName name="FDC_90_7" hidden="1">"#"</definedName>
    <definedName name="FDC_90_8" hidden="1">"#"</definedName>
    <definedName name="FDC_90_9" hidden="1">"#"</definedName>
    <definedName name="FDC_91_0" hidden="1">"#"</definedName>
    <definedName name="FDC_91_1" hidden="1">"#"</definedName>
    <definedName name="FDC_91_10" hidden="1">"#"</definedName>
    <definedName name="FDC_91_11" hidden="1">"#"</definedName>
    <definedName name="FDC_91_12" hidden="1">"#"</definedName>
    <definedName name="FDC_91_13" hidden="1">"#"</definedName>
    <definedName name="FDC_91_14" hidden="1">"#"</definedName>
    <definedName name="FDC_91_2" hidden="1">"#"</definedName>
    <definedName name="FDC_91_3" hidden="1">"#"</definedName>
    <definedName name="FDC_91_4" hidden="1">"#"</definedName>
    <definedName name="FDC_91_5" hidden="1">"#"</definedName>
    <definedName name="FDC_91_6" hidden="1">"#"</definedName>
    <definedName name="FDC_91_7" hidden="1">"#"</definedName>
    <definedName name="FDC_91_8" hidden="1">"#"</definedName>
    <definedName name="FDC_91_9" hidden="1">"#"</definedName>
    <definedName name="FDC_92_0" hidden="1">"#"</definedName>
    <definedName name="FDC_92_1" hidden="1">"#"</definedName>
    <definedName name="FDC_92_10" hidden="1">"#"</definedName>
    <definedName name="FDC_92_11" hidden="1">"#"</definedName>
    <definedName name="FDC_92_12" hidden="1">"#"</definedName>
    <definedName name="FDC_92_13" hidden="1">"#"</definedName>
    <definedName name="FDC_92_14" hidden="1">"#"</definedName>
    <definedName name="FDC_92_2" hidden="1">"#"</definedName>
    <definedName name="FDC_92_3" hidden="1">"#"</definedName>
    <definedName name="FDC_92_4" hidden="1">"#"</definedName>
    <definedName name="FDC_92_5" hidden="1">"#"</definedName>
    <definedName name="FDC_92_6" hidden="1">"#"</definedName>
    <definedName name="FDC_92_7" hidden="1">"#"</definedName>
    <definedName name="FDC_92_8" hidden="1">"#"</definedName>
    <definedName name="FDC_92_9" hidden="1">"#"</definedName>
    <definedName name="FDC_93_0" hidden="1">"#"</definedName>
    <definedName name="FDC_93_1" hidden="1">"#"</definedName>
    <definedName name="FDC_93_10" hidden="1">"#"</definedName>
    <definedName name="FDC_93_11" hidden="1">"#"</definedName>
    <definedName name="FDC_93_12" hidden="1">"#"</definedName>
    <definedName name="FDC_93_13" hidden="1">"#"</definedName>
    <definedName name="FDC_93_14" hidden="1">"#"</definedName>
    <definedName name="FDC_93_2" hidden="1">"#"</definedName>
    <definedName name="FDC_93_3" hidden="1">"#"</definedName>
    <definedName name="FDC_93_4" hidden="1">"#"</definedName>
    <definedName name="FDC_93_5" hidden="1">"#"</definedName>
    <definedName name="FDC_93_6" hidden="1">"#"</definedName>
    <definedName name="FDC_93_7" hidden="1">"#"</definedName>
    <definedName name="FDC_93_8" hidden="1">"#"</definedName>
    <definedName name="FDC_93_9" hidden="1">"#"</definedName>
    <definedName name="FDC_94_0" hidden="1">"#"</definedName>
    <definedName name="FDC_94_1" hidden="1">"#"</definedName>
    <definedName name="FDC_94_10" hidden="1">"#"</definedName>
    <definedName name="FDC_94_11" hidden="1">"#"</definedName>
    <definedName name="FDC_94_12" hidden="1">"#"</definedName>
    <definedName name="FDC_94_13" hidden="1">"#"</definedName>
    <definedName name="FDC_94_14" hidden="1">"#"</definedName>
    <definedName name="FDC_94_2" hidden="1">"#"</definedName>
    <definedName name="FDC_94_3" hidden="1">"#"</definedName>
    <definedName name="FDC_94_4" hidden="1">"#"</definedName>
    <definedName name="FDC_94_5" hidden="1">"#"</definedName>
    <definedName name="FDC_94_6" hidden="1">"#"</definedName>
    <definedName name="FDC_94_7" hidden="1">"#"</definedName>
    <definedName name="FDC_94_8" hidden="1">"#"</definedName>
    <definedName name="FDC_94_9" hidden="1">"#"</definedName>
    <definedName name="FDC_95_0" hidden="1">"#"</definedName>
    <definedName name="FDC_95_1" hidden="1">"#"</definedName>
    <definedName name="FDC_95_10" hidden="1">"#"</definedName>
    <definedName name="FDC_95_11" hidden="1">"#"</definedName>
    <definedName name="FDC_95_12" hidden="1">"#"</definedName>
    <definedName name="FDC_95_13" hidden="1">"#"</definedName>
    <definedName name="FDC_95_14" hidden="1">"#"</definedName>
    <definedName name="FDC_95_2" hidden="1">"#"</definedName>
    <definedName name="FDC_95_3" hidden="1">"#"</definedName>
    <definedName name="FDC_95_4" hidden="1">"#"</definedName>
    <definedName name="FDC_95_5" hidden="1">"#"</definedName>
    <definedName name="FDC_95_6" hidden="1">"#"</definedName>
    <definedName name="FDC_95_7" hidden="1">"#"</definedName>
    <definedName name="FDC_95_8" hidden="1">"#"</definedName>
    <definedName name="FDC_95_9" hidden="1">"#"</definedName>
    <definedName name="FDC_96_0" hidden="1">"#"</definedName>
    <definedName name="FDC_96_1" hidden="1">"#"</definedName>
    <definedName name="FDC_96_10" hidden="1">"#"</definedName>
    <definedName name="FDC_96_11" hidden="1">"#"</definedName>
    <definedName name="FDC_96_12" hidden="1">"#"</definedName>
    <definedName name="FDC_96_13" hidden="1">"#"</definedName>
    <definedName name="FDC_96_14" hidden="1">"#"</definedName>
    <definedName name="FDC_96_2" hidden="1">"#"</definedName>
    <definedName name="FDC_96_3" hidden="1">"#"</definedName>
    <definedName name="FDC_96_4" hidden="1">"#"</definedName>
    <definedName name="FDC_96_5" hidden="1">"#"</definedName>
    <definedName name="FDC_96_6" hidden="1">"#"</definedName>
    <definedName name="FDC_96_7" hidden="1">"#"</definedName>
    <definedName name="FDC_96_8" hidden="1">"#"</definedName>
    <definedName name="FDC_96_9" hidden="1">"#"</definedName>
    <definedName name="FDC_97_0" hidden="1">"#"</definedName>
    <definedName name="FDC_97_1" hidden="1">"#"</definedName>
    <definedName name="FDC_97_10" hidden="1">"#"</definedName>
    <definedName name="FDC_97_11" hidden="1">"#"</definedName>
    <definedName name="FDC_97_12" hidden="1">"#"</definedName>
    <definedName name="FDC_97_13" hidden="1">"#"</definedName>
    <definedName name="FDC_97_14" hidden="1">"#"</definedName>
    <definedName name="FDC_97_2" hidden="1">"#"</definedName>
    <definedName name="FDC_97_3" hidden="1">"#"</definedName>
    <definedName name="FDC_97_4" hidden="1">"#"</definedName>
    <definedName name="FDC_97_5" hidden="1">"#"</definedName>
    <definedName name="FDC_97_6" hidden="1">"#"</definedName>
    <definedName name="FDC_97_7" hidden="1">"#"</definedName>
    <definedName name="FDC_97_8" hidden="1">"#"</definedName>
    <definedName name="FDC_97_9" hidden="1">"#"</definedName>
    <definedName name="FDC_98_0" hidden="1">"#"</definedName>
    <definedName name="FDC_98_1" hidden="1">"#"</definedName>
    <definedName name="FDC_98_10" hidden="1">"#"</definedName>
    <definedName name="FDC_98_11" hidden="1">"#"</definedName>
    <definedName name="FDC_98_12" hidden="1">"#"</definedName>
    <definedName name="FDC_98_13" hidden="1">"#"</definedName>
    <definedName name="FDC_98_14" hidden="1">"#"</definedName>
    <definedName name="FDC_98_2" hidden="1">"#"</definedName>
    <definedName name="FDC_98_3" hidden="1">"#"</definedName>
    <definedName name="FDC_98_4" hidden="1">"#"</definedName>
    <definedName name="FDC_98_5" hidden="1">"#"</definedName>
    <definedName name="FDC_98_6" hidden="1">"#"</definedName>
    <definedName name="FDC_98_7" hidden="1">"#"</definedName>
    <definedName name="FDC_98_8" hidden="1">"#"</definedName>
    <definedName name="FDC_98_9" hidden="1">"#"</definedName>
    <definedName name="FDC_99_0" hidden="1">"#"</definedName>
    <definedName name="FDC_99_1" hidden="1">"#"</definedName>
    <definedName name="FDC_99_10" hidden="1">"#"</definedName>
    <definedName name="FDC_99_11" hidden="1">"#"</definedName>
    <definedName name="FDC_99_12" hidden="1">"#"</definedName>
    <definedName name="FDC_99_13" hidden="1">"#"</definedName>
    <definedName name="FDC_99_14" hidden="1">"#"</definedName>
    <definedName name="FDC_99_2" hidden="1">"#"</definedName>
    <definedName name="FDC_99_3" hidden="1">"#"</definedName>
    <definedName name="FDC_99_4" hidden="1">"#"</definedName>
    <definedName name="FDC_99_5" hidden="1">"#"</definedName>
    <definedName name="FDC_99_6" hidden="1">"#"</definedName>
    <definedName name="FDC_99_7" hidden="1">"#"</definedName>
    <definedName name="FDC_99_8" hidden="1">"#"</definedName>
    <definedName name="FDC_99_9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localSheetId="14" hidden="1">{"Full Sheet",#N/A,FALSE,"Expense Comparison"}</definedName>
    <definedName name="fdf" hidden="1">{"Full Sheet",#N/A,FALSE,"Expense Comparison"}</definedName>
    <definedName name="fdfdfd" localSheetId="14" hidden="1">{#N/A,#N/A,FALSE,"CAPREIT"}</definedName>
    <definedName name="fdfdfd" localSheetId="16" hidden="1">{#N/A,#N/A,FALSE,"CAPREIT"}</definedName>
    <definedName name="fdfdfd" hidden="1">{#N/A,#N/A,FALSE,"CAPREIT"}</definedName>
    <definedName name="fdfdfdf" localSheetId="14" hidden="1">{#N/A,#N/A,FALSE,"CAPREIT"}</definedName>
    <definedName name="fdfdfdf" localSheetId="16" hidden="1">{#N/A,#N/A,FALSE,"CAPREIT"}</definedName>
    <definedName name="fdfdfdf" hidden="1">{#N/A,#N/A,FALSE,"CAPREIT"}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ad" localSheetId="14" hidden="1">{"inputs raw data",#N/A,TRUE,"INPUT"}</definedName>
    <definedName name="fdgad" hidden="1">{"inputs raw data",#N/A,TRUE,"INPUT"}</definedName>
    <definedName name="FDP_165_1_aUrv" hidden="1">#REF!</definedName>
    <definedName name="FDP_166_1_aUrv" localSheetId="16" hidden="1">#REF!</definedName>
    <definedName name="FDP_166_1_aUrv" hidden="1">#REF!</definedName>
    <definedName name="FDP_167_1_aUrv" localSheetId="16" hidden="1">#REF!</definedName>
    <definedName name="FDP_167_1_aUrv" hidden="1">#REF!</definedName>
    <definedName name="FDP_168_1_aSrv" localSheetId="16" hidden="1">#REF!</definedName>
    <definedName name="FDP_168_1_aSrv" hidden="1">#REF!</definedName>
    <definedName name="FDP_169_1_aUrv" localSheetId="16" hidden="1">#REF!</definedName>
    <definedName name="FDP_169_1_aUrv" hidden="1">#REF!</definedName>
    <definedName name="FDP_170_1_aSrv" localSheetId="16" hidden="1">#REF!</definedName>
    <definedName name="FDP_170_1_aSrv" hidden="1">#REF!</definedName>
    <definedName name="FDP_171_1_aUrv" localSheetId="16" hidden="1">#REF!</definedName>
    <definedName name="FDP_171_1_aUrv" hidden="1">#REF!</definedName>
    <definedName name="FDP_172_1_aUrv" localSheetId="16" hidden="1">#REF!</definedName>
    <definedName name="FDP_172_1_aUrv" hidden="1">#REF!</definedName>
    <definedName name="FDP_173_1_aUrv" localSheetId="16" hidden="1">#REF!</definedName>
    <definedName name="FDP_173_1_aUrv" hidden="1">#REF!</definedName>
    <definedName name="FDP_174_1_aSrv" localSheetId="16" hidden="1">#REF!</definedName>
    <definedName name="FDP_174_1_aSrv" hidden="1">#REF!</definedName>
    <definedName name="FDP_175_1_aUrv" localSheetId="16" hidden="1">#REF!</definedName>
    <definedName name="FDP_175_1_aUrv" hidden="1">#REF!</definedName>
    <definedName name="FDP_176_1_aUrv" localSheetId="16" hidden="1">#REF!</definedName>
    <definedName name="FDP_176_1_aUrv" hidden="1">#REF!</definedName>
    <definedName name="FDP_177_1_aSrv" localSheetId="16" hidden="1">#REF!</definedName>
    <definedName name="FDP_177_1_aSrv" hidden="1">#REF!</definedName>
    <definedName name="FDP_178_1_aSrv" localSheetId="16" hidden="1">#REF!</definedName>
    <definedName name="FDP_178_1_aSrv" hidden="1">#REF!</definedName>
    <definedName name="FDP_179_1_aSrv" localSheetId="16" hidden="1">#REF!</definedName>
    <definedName name="FDP_179_1_aSrv" hidden="1">#REF!</definedName>
    <definedName name="FDP_180_1_aSrv" localSheetId="16" hidden="1">#REF!</definedName>
    <definedName name="FDP_180_1_aSrv" hidden="1">#REF!</definedName>
    <definedName name="FDP_181_1_aUrv" localSheetId="16" hidden="1">#REF!</definedName>
    <definedName name="FDP_181_1_aUrv" hidden="1">#REF!</definedName>
    <definedName name="FDP_182_1_aSrv" localSheetId="16" hidden="1">#REF!</definedName>
    <definedName name="FDP_182_1_aSrv" hidden="1">#REF!</definedName>
    <definedName name="FDP_183_1_aSrv" localSheetId="16" hidden="1">#REF!</definedName>
    <definedName name="FDP_183_1_aSrv" hidden="1">#REF!</definedName>
    <definedName name="FDP_184_1_aUrv" localSheetId="16" hidden="1">#REF!</definedName>
    <definedName name="FDP_184_1_aUrv" hidden="1">#REF!</definedName>
    <definedName name="FDP_185_1_aSrv" localSheetId="16" hidden="1">#REF!</definedName>
    <definedName name="FDP_185_1_aSrv" hidden="1">#REF!</definedName>
    <definedName name="FDP_186_1_aUrv" localSheetId="16" hidden="1">#REF!</definedName>
    <definedName name="FDP_186_1_aUrv" hidden="1">#REF!</definedName>
    <definedName name="FDP_187_1_aSrv" localSheetId="16" hidden="1">#REF!</definedName>
    <definedName name="FDP_187_1_aSrv" hidden="1">#REF!</definedName>
    <definedName name="FDP_188_1_aUrv" localSheetId="16" hidden="1">#REF!</definedName>
    <definedName name="FDP_188_1_aUrv" hidden="1">#REF!</definedName>
    <definedName name="FDP_189_1_aUrv" localSheetId="16" hidden="1">#REF!</definedName>
    <definedName name="FDP_189_1_aUrv" hidden="1">#REF!</definedName>
    <definedName name="FDP_190_1_aUrv" localSheetId="16" hidden="1">#REF!</definedName>
    <definedName name="FDP_190_1_aUrv" hidden="1">#REF!</definedName>
    <definedName name="FDP_191_1_aUrv" localSheetId="16" hidden="1">#REF!</definedName>
    <definedName name="FDP_191_1_aUrv" hidden="1">#REF!</definedName>
    <definedName name="FDP_192_1_aSrv" localSheetId="16" hidden="1">#REF!</definedName>
    <definedName name="FDP_192_1_aSrv" hidden="1">#REF!</definedName>
    <definedName name="FDP_193_1_aUrv" localSheetId="16" hidden="1">#REF!</definedName>
    <definedName name="FDP_193_1_aUrv" hidden="1">#REF!</definedName>
    <definedName name="FDP_194_1_aUrv" localSheetId="16" hidden="1">#REF!</definedName>
    <definedName name="FDP_194_1_aUrv" hidden="1">#REF!</definedName>
    <definedName name="FDP_195_1_aUrv" localSheetId="16" hidden="1">#REF!</definedName>
    <definedName name="FDP_195_1_aUrv" hidden="1">#REF!</definedName>
    <definedName name="FDP_196_1_aSrv" localSheetId="16" hidden="1">#REF!</definedName>
    <definedName name="FDP_196_1_aSrv" hidden="1">#REF!</definedName>
    <definedName name="FDP_197_1_aUrv" localSheetId="16" hidden="1">#REF!</definedName>
    <definedName name="FDP_197_1_aUrv" hidden="1">#REF!</definedName>
    <definedName name="FDP_198_1_aSrv" localSheetId="16" hidden="1">#REF!</definedName>
    <definedName name="FDP_198_1_aSrv" hidden="1">#REF!</definedName>
    <definedName name="FDP_199_1_aUrv" localSheetId="16" hidden="1">#REF!</definedName>
    <definedName name="FDP_199_1_aUrv" hidden="1">#REF!</definedName>
    <definedName name="FDP_200_1_aUrv" localSheetId="16" hidden="1">#REF!</definedName>
    <definedName name="FDP_200_1_aUrv" hidden="1">#REF!</definedName>
    <definedName name="FDP_201_1_aUrv" localSheetId="16" hidden="1">#REF!</definedName>
    <definedName name="FDP_201_1_aUrv" hidden="1">#REF!</definedName>
    <definedName name="FDP_202_1_aUrv" localSheetId="16" hidden="1">#REF!</definedName>
    <definedName name="FDP_202_1_aUrv" hidden="1">#REF!</definedName>
    <definedName name="FDP_203_1_aSrv" localSheetId="16" hidden="1">#REF!</definedName>
    <definedName name="FDP_203_1_aSrv" hidden="1">#REF!</definedName>
    <definedName name="FDP_204_1_aUrv" localSheetId="16" hidden="1">#REF!</definedName>
    <definedName name="FDP_204_1_aUrv" hidden="1">#REF!</definedName>
    <definedName name="FDP_205_1_aUrv" localSheetId="16" hidden="1">#REF!</definedName>
    <definedName name="FDP_205_1_aUrv" hidden="1">#REF!</definedName>
    <definedName name="FDP_206_1_aUrv" localSheetId="16" hidden="1">#REF!</definedName>
    <definedName name="FDP_206_1_aUrv" hidden="1">#REF!</definedName>
    <definedName name="FDP_207_1_aUrv" localSheetId="16" hidden="1">#REF!</definedName>
    <definedName name="FDP_207_1_aUrv" hidden="1">#REF!</definedName>
    <definedName name="FDP_208_1_aSrv" localSheetId="16" hidden="1">#REF!</definedName>
    <definedName name="FDP_208_1_aSrv" hidden="1">#REF!</definedName>
    <definedName name="FDP_209_1_aUrv" localSheetId="16" hidden="1">#REF!</definedName>
    <definedName name="FDP_209_1_aUrv" hidden="1">#REF!</definedName>
    <definedName name="FDP_210_1_aUrv" localSheetId="16" hidden="1">#REF!</definedName>
    <definedName name="FDP_210_1_aUrv" hidden="1">#REF!</definedName>
    <definedName name="FDP_211_1_aUrv" localSheetId="16" hidden="1">#REF!</definedName>
    <definedName name="FDP_211_1_aUrv" hidden="1">#REF!</definedName>
    <definedName name="FDP_212_1_aUrv" localSheetId="16" hidden="1">#REF!</definedName>
    <definedName name="FDP_212_1_aUrv" hidden="1">#REF!</definedName>
    <definedName name="FDP_213_1_aSrv" localSheetId="16" hidden="1">#REF!</definedName>
    <definedName name="FDP_213_1_aSrv" hidden="1">#REF!</definedName>
    <definedName name="FDP_214_1_aUrv" localSheetId="16" hidden="1">#REF!</definedName>
    <definedName name="FDP_214_1_aUrv" hidden="1">#REF!</definedName>
    <definedName name="FDP_215_1_aUrv" localSheetId="16" hidden="1">#REF!</definedName>
    <definedName name="FDP_215_1_aUrv" hidden="1">#REF!</definedName>
    <definedName name="FDP_216_1_aUrv" localSheetId="16" hidden="1">#REF!</definedName>
    <definedName name="FDP_216_1_aUrv" hidden="1">#REF!</definedName>
    <definedName name="FDP_217_1_aUrv" localSheetId="16" hidden="1">#REF!</definedName>
    <definedName name="FDP_217_1_aUrv" hidden="1">#REF!</definedName>
    <definedName name="FDP_218_1_aSrv" localSheetId="16" hidden="1">#REF!</definedName>
    <definedName name="FDP_218_1_aSrv" hidden="1">#REF!</definedName>
    <definedName name="FDP_219_1_aSrv" localSheetId="16" hidden="1">#REF!</definedName>
    <definedName name="FDP_219_1_aSrv" hidden="1">#REF!</definedName>
    <definedName name="FDP_220_1_aSrv" localSheetId="16" hidden="1">#REF!</definedName>
    <definedName name="FDP_220_1_aSrv" hidden="1">#REF!</definedName>
    <definedName name="FDP_221_1_aSrv" localSheetId="16" hidden="1">#REF!</definedName>
    <definedName name="FDP_221_1_aSrv" hidden="1">#REF!</definedName>
    <definedName name="FDP_222_1_aSrv" localSheetId="16" hidden="1">#REF!</definedName>
    <definedName name="FDP_222_1_aSrv" hidden="1">#REF!</definedName>
    <definedName name="FDP_223_1_aSrv" localSheetId="16" hidden="1">#REF!</definedName>
    <definedName name="FDP_223_1_aSrv" hidden="1">#REF!</definedName>
    <definedName name="FDP_224_1_aUrv" localSheetId="16" hidden="1">#REF!</definedName>
    <definedName name="FDP_224_1_aUrv" hidden="1">#REF!</definedName>
    <definedName name="FDP_225_1_aUrv" localSheetId="16" hidden="1">#REF!</definedName>
    <definedName name="FDP_225_1_aUrv" hidden="1">#REF!</definedName>
    <definedName name="FDP_226_1_aUrv" localSheetId="16" hidden="1">#REF!</definedName>
    <definedName name="FDP_226_1_aUrv" hidden="1">#REF!</definedName>
    <definedName name="FDP_227_1_aUrv" localSheetId="16" hidden="1">#REF!</definedName>
    <definedName name="FDP_227_1_aUrv" hidden="1">#REF!</definedName>
    <definedName name="FDP_228_1_aSrv" localSheetId="16" hidden="1">#REF!</definedName>
    <definedName name="FDP_228_1_aSrv" hidden="1">#REF!</definedName>
    <definedName name="FDP_229_1_aSrv" localSheetId="16" hidden="1">#REF!</definedName>
    <definedName name="FDP_229_1_aSrv" hidden="1">#REF!</definedName>
    <definedName name="FDP_230_1_aSrv" localSheetId="16" hidden="1">#REF!</definedName>
    <definedName name="FDP_230_1_aSrv" hidden="1">#REF!</definedName>
    <definedName name="FDP_231_1_aSrv" localSheetId="16" hidden="1">#REF!</definedName>
    <definedName name="FDP_231_1_aSrv" hidden="1">#REF!</definedName>
    <definedName name="FDP_232_1_aSrv" localSheetId="16" hidden="1">#REF!</definedName>
    <definedName name="FDP_232_1_aSrv" hidden="1">#REF!</definedName>
    <definedName name="FDP_233_1_aSrv" localSheetId="16" hidden="1">#REF!</definedName>
    <definedName name="FDP_233_1_aSrv" hidden="1">#REF!</definedName>
    <definedName name="FDP_234_1_aUrv" localSheetId="16" hidden="1">#REF!</definedName>
    <definedName name="FDP_234_1_aUrv" hidden="1">#REF!</definedName>
    <definedName name="FDP_235_1_aUrv" localSheetId="16" hidden="1">#REF!</definedName>
    <definedName name="FDP_235_1_aUrv" hidden="1">#REF!</definedName>
    <definedName name="FDP_236_1_aUrv" localSheetId="16" hidden="1">#REF!</definedName>
    <definedName name="FDP_236_1_aUrv" hidden="1">#REF!</definedName>
    <definedName name="FDP_237_1_aUrv" localSheetId="16" hidden="1">#REF!</definedName>
    <definedName name="FDP_237_1_aUrv" hidden="1">#REF!</definedName>
    <definedName name="FDP_238_1_aSrv" localSheetId="16" hidden="1">#REF!</definedName>
    <definedName name="FDP_238_1_aSrv" hidden="1">#REF!</definedName>
    <definedName name="FDP_243_1_aSrv" localSheetId="16" hidden="1">#REF!</definedName>
    <definedName name="FDP_243_1_aSrv" hidden="1">#REF!</definedName>
    <definedName name="FDP_244_1_aSrv" localSheetId="16" hidden="1">#REF!</definedName>
    <definedName name="FDP_244_1_aSrv" hidden="1">#REF!</definedName>
    <definedName name="FDP_245_1_aSrv" localSheetId="16" hidden="1">#REF!</definedName>
    <definedName name="FDP_245_1_aSrv" hidden="1">#REF!</definedName>
    <definedName name="FDP_246_1_aSrv" localSheetId="16" hidden="1">#REF!</definedName>
    <definedName name="FDP_246_1_aSrv" hidden="1">#REF!</definedName>
    <definedName name="FDP_247_1_aSrv" localSheetId="16" hidden="1">#REF!</definedName>
    <definedName name="FDP_247_1_aSrv" hidden="1">#REF!</definedName>
    <definedName name="FDP_248_1_aSrv" localSheetId="16" hidden="1">#REF!</definedName>
    <definedName name="FDP_248_1_aSrv" hidden="1">#REF!</definedName>
    <definedName name="FDP_249_1_aSrv" localSheetId="16" hidden="1">#REF!</definedName>
    <definedName name="FDP_249_1_aSrv" hidden="1">#REF!</definedName>
    <definedName name="FDP_250_1_aSrv" localSheetId="16" hidden="1">#REF!</definedName>
    <definedName name="FDP_250_1_aSrv" hidden="1">#REF!</definedName>
    <definedName name="FDP_251_1_aSrv" localSheetId="16" hidden="1">#REF!</definedName>
    <definedName name="FDP_251_1_aSrv" hidden="1">#REF!</definedName>
    <definedName name="FDP_252_1_aSrv" localSheetId="16" hidden="1">#REF!</definedName>
    <definedName name="FDP_252_1_aSrv" hidden="1">#REF!</definedName>
    <definedName name="FDP_253_1_aSrv" localSheetId="16" hidden="1">#REF!</definedName>
    <definedName name="FDP_253_1_aSrv" hidden="1">#REF!</definedName>
    <definedName name="FDP_254_1_aSrv" localSheetId="16" hidden="1">#REF!</definedName>
    <definedName name="FDP_254_1_aSrv" hidden="1">#REF!</definedName>
    <definedName name="FDP_255_1_aSrv" localSheetId="16" hidden="1">#REF!</definedName>
    <definedName name="FDP_255_1_aSrv" hidden="1">#REF!</definedName>
    <definedName name="FDP_256_1_aSrv" localSheetId="16" hidden="1">#REF!</definedName>
    <definedName name="FDP_256_1_aSrv" hidden="1">#REF!</definedName>
    <definedName name="FDP_257_1_aSrv" localSheetId="16" hidden="1">#REF!</definedName>
    <definedName name="FDP_257_1_aSrv" hidden="1">#REF!</definedName>
    <definedName name="FDP_258_1_aSrv" localSheetId="16" hidden="1">#REF!</definedName>
    <definedName name="FDP_258_1_aSrv" hidden="1">#REF!</definedName>
    <definedName name="FDP_259_1_aSrv" localSheetId="16" hidden="1">#REF!</definedName>
    <definedName name="FDP_259_1_aSrv" hidden="1">#REF!</definedName>
    <definedName name="FDP_260_1_aSrv" localSheetId="16" hidden="1">#REF!</definedName>
    <definedName name="FDP_260_1_aSrv" hidden="1">#REF!</definedName>
    <definedName name="FDP_261_1_aSrv" localSheetId="16" hidden="1">#REF!</definedName>
    <definedName name="FDP_261_1_aSrv" hidden="1">#REF!</definedName>
    <definedName name="FDP_264_1_aUrv" localSheetId="16" hidden="1">#REF!</definedName>
    <definedName name="FDP_264_1_aUrv" hidden="1">#REF!</definedName>
    <definedName name="FDP_265_1_aUrv" localSheetId="16" hidden="1">#REF!</definedName>
    <definedName name="FDP_265_1_aUrv" hidden="1">#REF!</definedName>
    <definedName name="FDP_266_1_aUrv" localSheetId="16" hidden="1">#REF!</definedName>
    <definedName name="FDP_266_1_aUrv" hidden="1">#REF!</definedName>
    <definedName name="FDP_267_1_aUrv" localSheetId="16" hidden="1">#REF!</definedName>
    <definedName name="FDP_267_1_aUrv" hidden="1">#REF!</definedName>
    <definedName name="FDP_268_1_aUrv" localSheetId="16" hidden="1">#REF!</definedName>
    <definedName name="FDP_268_1_aUrv" hidden="1">#REF!</definedName>
    <definedName name="FDP_269_1_aUrv" localSheetId="16" hidden="1">#REF!</definedName>
    <definedName name="FDP_269_1_aUrv" hidden="1">#REF!</definedName>
    <definedName name="FDP_270_1_aUrv" localSheetId="16" hidden="1">#REF!</definedName>
    <definedName name="FDP_270_1_aUrv" hidden="1">#REF!</definedName>
    <definedName name="FDP_271_1_aUrv" localSheetId="16" hidden="1">#REF!</definedName>
    <definedName name="FDP_271_1_aUrv" hidden="1">#REF!</definedName>
    <definedName name="FDP_272_1_aUrv" localSheetId="16" hidden="1">#REF!</definedName>
    <definedName name="FDP_272_1_aUrv" hidden="1">#REF!</definedName>
    <definedName name="FDP_273_1_aUrv" localSheetId="16" hidden="1">#REF!</definedName>
    <definedName name="FDP_273_1_aUrv" hidden="1">#REF!</definedName>
    <definedName name="FDP_274_1_aUrv" localSheetId="16" hidden="1">#REF!</definedName>
    <definedName name="FDP_274_1_aUrv" hidden="1">#REF!</definedName>
    <definedName name="FDP_275_1_aUrv" localSheetId="16" hidden="1">#REF!</definedName>
    <definedName name="FDP_275_1_aUrv" hidden="1">#REF!</definedName>
    <definedName name="FDP_276_1_aUrv" localSheetId="16" hidden="1">#REF!</definedName>
    <definedName name="FDP_276_1_aUrv" hidden="1">#REF!</definedName>
    <definedName name="FDP_277_1_aUrv" localSheetId="16" hidden="1">#REF!</definedName>
    <definedName name="FDP_277_1_aUrv" hidden="1">#REF!</definedName>
    <definedName name="FDP_278_1_aUrv" localSheetId="16" hidden="1">#REF!</definedName>
    <definedName name="FDP_278_1_aUrv" hidden="1">#REF!</definedName>
    <definedName name="FDP_279_1_aSrv" localSheetId="16" hidden="1">#REF!</definedName>
    <definedName name="FDP_279_1_aSrv" hidden="1">#REF!</definedName>
    <definedName name="FDP_280_1_aSrv" localSheetId="16" hidden="1">#REF!</definedName>
    <definedName name="FDP_280_1_aSrv" hidden="1">#REF!</definedName>
    <definedName name="FDP_281_1_aSrv" localSheetId="16" hidden="1">#REF!</definedName>
    <definedName name="FDP_281_1_aSrv" hidden="1">#REF!</definedName>
    <definedName name="FDP_282_1_aSrv" localSheetId="16" hidden="1">#REF!</definedName>
    <definedName name="FDP_282_1_aSrv" hidden="1">#REF!</definedName>
    <definedName name="FDP_283_1_aSrv" localSheetId="16" hidden="1">#REF!</definedName>
    <definedName name="FDP_283_1_aSrv" hidden="1">#REF!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d" localSheetId="14" hidden="1">{"Page1",#N/A,FALSE,"Summary";"Page2",#N/A,FALSE,"Summary";"Page3",#N/A,FALSE,"Summary";"Page4",#N/A,FALSE,"Summary"}</definedName>
    <definedName name="fdsd" hidden="1">{"Page1",#N/A,FALSE,"Summary";"Page2",#N/A,FALSE,"Summary";"Page3",#N/A,FALSE,"Summary";"Page4",#N/A,FALSE,"Summary"}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localSheetId="14" hidden="1">{#N/A,#N/A,TRUE,"Summary";"AnnualRentRoll",#N/A,TRUE,"RentRoll";#N/A,#N/A,TRUE,"ExitStratigy";#N/A,#N/A,TRUE,"OperatingAssumptions"}</definedName>
    <definedName name="ff" hidden="1">{#N/A,#N/A,TRUE,"Summary";"AnnualRentRoll",#N/A,TRUE,"RentRoll";#N/A,#N/A,TRUE,"ExitStratigy";#N/A,#N/A,TRUE,"OperatingAssumptions"}</definedName>
    <definedName name="ffdd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f" localSheetId="14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" localSheetId="14" hidden="1">{"Outputs",#N/A,TRUE,"North America";"Outputs",#N/A,TRUE,"Europe";"Outputs",#N/A,TRUE,"Asia Pacific";"Outputs",#N/A,TRUE,"Latin America";"Outputs",#N/A,TRUE,"Wireless"}</definedName>
    <definedName name="ffff" hidden="1">{"Outputs",#N/A,TRUE,"North America";"Outputs",#N/A,TRUE,"Europe";"Outputs",#N/A,TRUE,"Asia Pacific";"Outputs",#N/A,TRUE,"Latin America";"Outputs",#N/A,TRUE,"Wireless"}</definedName>
    <definedName name="fffff" localSheetId="14" hidden="1">{0,#N/A,TRUE,0;0,#N/A,TRUE,0;0,#N/A,TRUE,0;0,#N/A,TRUE,0;0,#N/A,TRUE,0}</definedName>
    <definedName name="fffff" hidden="1">{0,#N/A,TRUE,0;0,#N/A,TRUE,0;0,#N/A,TRUE,0;0,#N/A,TRUE,0;0,#N/A,TRUE,0}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fffffff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ffffffffffff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g" localSheetId="14" hidden="1">{"schedule1",#N/A,FALSE,"Sheet1";"schedule2",#N/A,FALSE,"Sheet1";"schedule3",#N/A,FALSE,"Sheet1";"schedule4",#N/A,FALSE,"Sheet1";"schedule5",#N/A,FALSE,"Sheet1";"schedule6",#N/A,FALSE,"Sheet1"}</definedName>
    <definedName name="fg" hidden="1">{"schedule1",#N/A,FALSE,"Sheet1";"schedule2",#N/A,FALSE,"Sheet1";"schedule3",#N/A,FALSE,"Sheet1";"schedule4",#N/A,FALSE,"Sheet1";"schedule5",#N/A,FALSE,"Sheet1";"schedule6",#N/A,FALSE,"Sheet1"}</definedName>
    <definedName name="fgds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d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ghhjjk" localSheetId="14" hidden="1">{#N/A,#N/A,FALSE,"Centres";#N/A,#N/A,FALSE,"Partenariats";#N/A,#N/A,FALSE,"P.Diverses";#N/A,#N/A,FALSE,"Adm";#N/A,#N/A,FALSE,"Autres R-D";#N/A,#N/A,FALSE,"Intérêts"}</definedName>
    <definedName name="fgghhjjk" hidden="1">{#N/A,#N/A,FALSE,"Centres";#N/A,#N/A,FALSE,"Partenariats";#N/A,#N/A,FALSE,"P.Diverses";#N/A,#N/A,FALSE,"Adm";#N/A,#N/A,FALSE,"Autres R-D";#N/A,#N/A,FALSE,"Intérêts"}</definedName>
    <definedName name="FG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G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hg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nal" localSheetId="14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nal3" hidden="1">{"Construction_Short",#N/A,FALSE,"Construction"}</definedName>
    <definedName name="Financing_Module_On">#REF!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sajf" localSheetId="14" hidden="1">{#N/A,#N/A,FALSE,"SCHEDULE A";"MINIMUM RENT",#N/A,FALSE,"SCHEDULES B &amp; C";"PERCENTAGE RENT",#N/A,FALSE,"SCHEDULES B &amp; C"}</definedName>
    <definedName name="fksajf" hidden="1">{#N/A,#N/A,FALSE,"SCHEDULE A";"MINIMUM RENT",#N/A,FALSE,"SCHEDULES B &amp; C";"PERCENTAGE RENT",#N/A,FALSE,"SCHEDULES B &amp; C"}</definedName>
    <definedName name="fldfjlsd" hidden="1">#REF!</definedName>
    <definedName name="fm" localSheetId="14" hidden="1">{"summary1",#N/A,TRUE,"Comps";"summary2",#N/A,TRUE,"Comps";"summary3",#N/A,TRUE,"Comps"}</definedName>
    <definedName name="fm" hidden="1">{"summary1",#N/A,TRUE,"Comps";"summary2",#N/A,TRUE,"Comps";"summary3",#N/A,TRUE,"Comps"}</definedName>
    <definedName name="for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forum" hidden="1">{#N/A,#N/A,FALSE,"RENT ROLL"}</definedName>
    <definedName name="FORUMfrontSHEET" hidden="1">{#N/A,#N/A,FALSE,"RENT ROLL"}</definedName>
    <definedName name="frderf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der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ONT" hidden="1">{#N/A,#N/A,FALSE,"RENT ROLL"}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VGB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VG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g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atewaybudget0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BHN" localSheetId="14" hidden="1">{#N/A,#N/A,FALSE,"Min compa cad";#N/A,#N/A,FALSE,"Min CAN Equité ";#N/A,#N/A,FALSE,"Analyse can"}</definedName>
    <definedName name="GBHN" hidden="1">{#N/A,#N/A,FALSE,"Min compa cad";#N/A,#N/A,FALSE,"Min CAN Equité ";#N/A,#N/A,FALSE,"Analyse can"}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" hidden="1">{"incomemth",#N/A,TRUE,"forecast00";"incomepercentmth",#N/A,TRUE,"forecast00";"balancemth",#N/A,TRUE,"forecast00";"cashmth",#N/A,TRUE,"forecast00";"covenantmth",#N/A,TRUE,"forecast00"}</definedName>
    <definedName name="gfd" localSheetId="14" hidden="1">{#N/A,#N/A,FALSE,"Min compar us";#N/A,#N/A,FALSE,"Min US Equité ";#N/A,#N/A,FALSE,"Analyse U.S."}</definedName>
    <definedName name="gfd" hidden="1">{#N/A,#N/A,FALSE,"Min compar us";#N/A,#N/A,FALSE,"Min US Equité ";#N/A,#N/A,FALSE,"Analyse U.S."}</definedName>
    <definedName name="gfdsserrt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dsserr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h" localSheetId="14" hidden="1">{#N/A,#N/A,FALSE,"Adm comp";#N/A,#N/A,FALSE,"Adm ajust";"adm",#N/A,FALSE,"Administration";#N/A,#N/A,FALSE,"Adm Bgt 97 vs Prév. 96";#N/A,#N/A,FALSE,"Adm Bgt 97 vs 96"}</definedName>
    <definedName name="gfh" hidden="1">{#N/A,#N/A,FALSE,"Adm comp";#N/A,#N/A,FALSE,"Adm ajust";"adm",#N/A,FALSE,"Administration";#N/A,#N/A,FALSE,"Adm Bgt 97 vs Prév. 96";#N/A,#N/A,FALSE,"Adm Bgt 97 vs 96"}</definedName>
    <definedName name="gfhs" localSheetId="14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localSheetId="14" hidden="1">{#N/A,#N/A,FALSE,"PropertyInfo"}</definedName>
    <definedName name="gg" hidden="1">{#N/A,#N/A,FALSE,"PropertyInfo"}</definedName>
    <definedName name="gg.2" hidden="1">{#N/A,#N/A,FALSE,"Cashflow Analysis";#N/A,#N/A,FALSE,"Sensitivity Analysis";#N/A,#N/A,FALSE,"PV";#N/A,#N/A,FALSE,"Pro Forma"}</definedName>
    <definedName name="ggg" localSheetId="14" hidden="1">{#N/A,#N/A,FALSE,"PropertyInfo"}</definedName>
    <definedName name="ggg" hidden="1">{#N/A,#N/A,FALSE,"PropertyInfo"}</definedName>
    <definedName name="GGGGGGG" localSheetId="14" hidden="1">{#N/A,#N/A,FALSE,"Adm comp";#N/A,#N/A,FALSE,"Adm ajust";"adm",#N/A,FALSE,"Administration";#N/A,#N/A,FALSE,"Adm Bgt 97 vs Prév. 96";#N/A,#N/A,FALSE,"Adm Bgt 97 vs 96"}</definedName>
    <definedName name="GGGGGGG" hidden="1">{#N/A,#N/A,FALSE,"Adm comp";#N/A,#N/A,FALSE,"Adm ajust";"adm",#N/A,FALSE,"Administration";#N/A,#N/A,FALSE,"Adm Bgt 97 vs Prév. 96";#N/A,#N/A,FALSE,"Adm Bgt 97 vs 96"}</definedName>
    <definedName name="ggggggggggggggggg" hidden="1">{#N/A,#N/A,FALSE,"Summary"}</definedName>
    <definedName name="ggggggggggggggggggg" hidden="1">{#N/A,#N/A,FALSE,"Cover";#N/A,#N/A,FALSE,"Stack";#N/A,#N/A,FALSE,"Cost S";#N/A,#N/A,FALSE," CF";#N/A,#N/A,FALSE,"Investor"}</definedName>
    <definedName name="gh" localSheetId="14" hidden="1">{#N/A,#N/A,FALSE,"Adm comp";#N/A,#N/A,FALSE,"Adm ajust";"adm",#N/A,FALSE,"Administration";#N/A,#N/A,FALSE,"Adm Bgt 97 vs Prév. 96";#N/A,#N/A,FALSE,"Adm Bgt 97 vs 96"}</definedName>
    <definedName name="gh" hidden="1">{#N/A,#N/A,FALSE,"Adm comp";#N/A,#N/A,FALSE,"Adm ajust";"adm",#N/A,FALSE,"Administration";#N/A,#N/A,FALSE,"Adm Bgt 97 vs Prév. 96";#N/A,#N/A,FALSE,"Adm Bgt 97 vs 96"}</definedName>
    <definedName name="ghgh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ig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GJHJHJH" localSheetId="14" hidden="1">{#N/A,#N/A,FALSE,"CONTROLE"}</definedName>
    <definedName name="GJHJHJH" hidden="1">{#N/A,#N/A,FALSE,"CONTROLE"}</definedName>
    <definedName name="gkf" localSheetId="14" hidden="1">{"Proforma",#N/A,FALSE,"Sheet1"}</definedName>
    <definedName name="gkf" hidden="1">{"Proforma",#N/A,FALSE,"Sheet1"}</definedName>
    <definedName name="GKUY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_Module_On?">#REF!</definedName>
    <definedName name="GLLG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L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o" localSheetId="14" hidden="1">{"Construction Costs",#N/A,FALSE,"Budget";"Income Statement",#N/A,FALSE,"Budget"}</definedName>
    <definedName name="go" hidden="1">{"Construction Costs",#N/A,FALSE,"Budget";"Income Statement",#N/A,FALSE,"Budget"}</definedName>
    <definedName name="graph123" hidden="1">#REF!</definedName>
    <definedName name="Graph1234" hidden="1">#REF!</definedName>
    <definedName name="Graph12345" hidden="1">#REF!</definedName>
    <definedName name="Graph123456" hidden="1">#REF!</definedName>
    <definedName name="Graph1234567" hidden="1">#REF!</definedName>
    <definedName name="grgsfs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ound_Lease_Years_Remaining">#REF!</definedName>
    <definedName name="GROUP" hidden="1">"bissql"</definedName>
    <definedName name="Growth_Begin_Month">#REF!</definedName>
    <definedName name="GY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h" hidden="1">{#N/A,#N/A,FALSE,"PropertyInfo"}</definedName>
    <definedName name="HD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ghg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h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j" localSheetId="14" hidden="1">{#N/A,#N/A,FALSE,"Min compa cad";#N/A,#N/A,FALSE,"Min CAN Equité ";#N/A,#N/A,FALSE,"Analyse can"}</definedName>
    <definedName name="hgj" hidden="1">{#N/A,#N/A,FALSE,"Min compa cad";#N/A,#N/A,FALSE,"Min CAN Equité ";#N/A,#N/A,FALSE,"Analyse can"}</definedName>
    <definedName name="hh" localSheetId="14" hidden="1">{#N/A,#N/A,FALSE,"Summary"}</definedName>
    <definedName name="hh" hidden="1">{#N/A,#N/A,FALSE,"Summary"}</definedName>
    <definedName name="hhh" localSheetId="14" hidden="1">{#N/A,#N/A,FALSE,"Summary"}</definedName>
    <definedName name="hhh" hidden="1">{#N/A,#N/A,FALSE,"Summary"}</definedName>
    <definedName name="HHHHH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HHHH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ij" hidden="1">{"Construction_Short",#N/A,FALSE,"Construction"}</definedName>
    <definedName name="hj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f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KM" localSheetId="14" hidden="1">{#N/A,#N/A,FALSE,"Adm comp";#N/A,#N/A,FALSE,"Adm ajust";"adm",#N/A,FALSE,"Administration";#N/A,#N/A,FALSE,"Adm Bgt 97 vs Prév. 96";#N/A,#N/A,FALSE,"Adm Bgt 97 vs 96"}</definedName>
    <definedName name="HJKM" hidden="1">{#N/A,#N/A,FALSE,"Adm comp";#N/A,#N/A,FALSE,"Adm ajust";"adm",#N/A,FALSE,"Administration";#N/A,#N/A,FALSE,"Adm Bgt 97 vs Prév. 96";#N/A,#N/A,FALSE,"Adm Bgt 97 vs 96"}</definedName>
    <definedName name="hkjhjh" localSheetId="14" hidden="1">{"Page1",#N/A,FALSE,"Summary";"Page2",#N/A,FALSE,"Summary";"Page3",#N/A,FALSE,"Summary";"Page4",#N/A,FALSE,"Summary"}</definedName>
    <definedName name="hkjhjh" hidden="1">{"Page1",#N/A,FALSE,"Summary";"Page2",#N/A,FALSE,"Summary";"Page3",#N/A,FALSE,"Summary";"Page4",#N/A,FALSE,"Summary"}</definedName>
    <definedName name="HMLkUp" hidden="1">#REF!</definedName>
    <definedName name="HMSeek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localSheetId="16" hidden="1">#REF!</definedName>
    <definedName name="hn.YearLabel" hidden="1">#REF!</definedName>
    <definedName name="HNJM" localSheetId="14" hidden="1">{#N/A,#N/A,FALSE,"Min compar us";#N/A,#N/A,FALSE,"Min US Equité ";#N/A,#N/A,FALSE,"Analyse U.S."}</definedName>
    <definedName name="HNJM" hidden="1">{#N/A,#N/A,FALSE,"Min compar us";#N/A,#N/A,FALSE,"Min US Equité ";#N/A,#N/A,FALSE,"Analyse U.S."}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pe" localSheetId="14" hidden="1">{#N/A,#N/A,FALSE,"LP Exp";#N/A,#N/A,FALSE,"Salary";#N/A,#N/A,FALSE,"Admin Exp";#N/A,#N/A,FALSE,"QTS Bud";#N/A,#N/A,FALSE,"Marketing"}</definedName>
    <definedName name="hope" hidden="1">{#N/A,#N/A,FALSE,"LP Exp";#N/A,#N/A,FALSE,"Salary";#N/A,#N/A,FALSE,"Admin Exp";#N/A,#N/A,FALSE,"QTS Bud";#N/A,#N/A,FALSE,"Marketing"}</definedName>
    <definedName name="hope_condo" localSheetId="14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ouy" hidden="1">{#N/A,#N/A,FALSE,"AD_Purchase";#N/A,#N/A,FALSE,"Credit";#N/A,#N/A,FALSE,"PF Acquisition";#N/A,#N/A,FALSE,"PF Offering"}</definedName>
    <definedName name="hthjtnjgtngjjyk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hjtnjgtngjjy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ml" localSheetId="14" hidden="1">{"'Assump'!$F$6:$J$6"}</definedName>
    <definedName name="html" hidden="1">{"'Assump'!$F$6:$J$6"}</definedName>
    <definedName name="HTML_CodePage" hidden="1">1252</definedName>
    <definedName name="HTML_Control" localSheetId="14" hidden="1">{"'Assump'!$F$6:$J$6"}</definedName>
    <definedName name="HTML_Control" hidden="1">{"'Assump'!$F$6:$J$6"}</definedName>
    <definedName name="HTML_Description" hidden="1">""</definedName>
    <definedName name="HTML_Email" hidden="1">""</definedName>
    <definedName name="HTML_Header" hidden="1">"Rolling"</definedName>
    <definedName name="html_icontrol" localSheetId="14" hidden="1">{"'Cash Requirements 5F '!$A$1:$AC$48"}</definedName>
    <definedName name="html_icontrol" hidden="1">{"'Cash Requirements 5F '!$A$1:$AC$48"}</definedName>
    <definedName name="HTML_LastUpdate" hidden="1">"7/24/98"</definedName>
    <definedName name="HTML_LineAfter" hidden="1">FALSE</definedName>
    <definedName name="HTML_LineBefore" hidden="1">FALSE</definedName>
    <definedName name="HTML_Name" hidden="1">"Paulie Englishman"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HD:Web Site “~adamodar”:pc:datasets:MyHTML.html"</definedName>
    <definedName name="HTML_Title" hidden="1">"Property Month End Template"</definedName>
    <definedName name="htmlnew" localSheetId="14" hidden="1">{"'Assump'!$F$6:$J$6"}</definedName>
    <definedName name="htmlnew" hidden="1">{"'Assump'!$F$6:$J$6"}</definedName>
    <definedName name="htrhtht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trhtht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m" localSheetId="14" hidden="1">{"RATES",#N/A,FALSE,"RECOVERY RATES";"CONTRIBUTIONS",#N/A,FALSE,"RECOVERY RATES";"GLA CATEGORY SUMMARY",#N/A,FALSE,"RECOVERY RATES"}</definedName>
    <definedName name="hum" hidden="1">{"RATES",#N/A,FALSE,"RECOVERY RATES";"CONTRIBUTIONS",#N/A,FALSE,"RECOVERY RATES";"GLA CATEGORY SUMMARY",#N/A,FALSE,"RECOVERY RATES"}</definedName>
    <definedName name="ignore" hidden="1">{#N/A,#N/A,FALSE,"WATCHDSC";#N/A,#N/A,FALSE,"2LOSSMOD";#N/A,#N/A,FALSE,"2LOSS";#N/A,#N/A,FALSE,"DSC";#N/A,#N/A,FALSE,"OPERAT";#N/A,#N/A,FALSE,"ADJUST";#N/A,#N/A,FALSE,"LEASE EXPIRE"}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CF1" hidden="1">#REF!</definedName>
    <definedName name="IHMPrintMR1" hidden="1">#REF!</definedName>
    <definedName name="IHMPrintMR2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intVAL1" localSheetId="16" hidden="1">#REF!</definedName>
    <definedName name="IHMPrintVAL1" hidden="1">#REF!</definedName>
    <definedName name="IHMPrintVAL2" localSheetId="16" hidden="1">#REF!</definedName>
    <definedName name="IHMPrintVAL2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HTR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HT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" localSheetId="14" hidden="1">{#N/A,#N/A,FALSE,"Adm comp";#N/A,#N/A,FALSE,"Adm ajust";"adm",#N/A,FALSE,"Administration";#N/A,#N/A,FALSE,"Adm Bgt 97 vs Prév. 96";#N/A,#N/A,FALSE,"Adm Bgt 97 vs 96"}</definedName>
    <definedName name="III" hidden="1">{#N/A,#N/A,FALSE,"Adm comp";#N/A,#N/A,FALSE,"Adm ajust";"adm",#N/A,FALSE,"Administration";#N/A,#N/A,FALSE,"Adm Bgt 97 vs Prév. 96";#N/A,#N/A,FALSE,"Adm Bgt 97 vs 96"}</definedName>
    <definedName name="IIIIII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KLO" localSheetId="14" hidden="1">{#N/A,#N/A,FALSE,"Adm comp";#N/A,#N/A,FALSE,"Adm ajust";"adm",#N/A,FALSE,"Administration";#N/A,#N/A,FALSE,"Adm Bgt 97 vs Prév. 96";#N/A,#N/A,FALSE,"Adm Bgt 97 vs 96"}</definedName>
    <definedName name="IKLO" hidden="1">{#N/A,#N/A,FALSE,"Adm comp";#N/A,#N/A,FALSE,"Adm ajust";"adm",#N/A,FALSE,"Administration";#N/A,#N/A,FALSE,"Adm Bgt 97 vs Prév. 96";#N/A,#N/A,FALSE,"Adm Bgt 97 vs 96"}</definedName>
    <definedName name="ILL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ad" hidden="1">49</definedName>
    <definedName name="INININ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ININ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TROP" hidden="1">#REF!</definedName>
    <definedName name="IntroPrintArea" localSheetId="14" hidden="1">#REF!</definedName>
    <definedName name="IntroPrintArea" localSheetId="16" hidden="1">#REF!</definedName>
    <definedName name="IntroPrintArea" hidden="1">#REF!</definedName>
    <definedName name="IntroPrintArea_b" hidden="1">#REF!</definedName>
    <definedName name="inves" localSheetId="14" hidden="1">{#N/A,#N/A,FALSE,"Adm comp";#N/A,#N/A,FALSE,"Adm ajust";"adm",#N/A,FALSE,"Administration";#N/A,#N/A,FALSE,"Adm Bgt 97 vs Prév. 96";#N/A,#N/A,FALSE,"Adm Bgt 97 vs 96"}</definedName>
    <definedName name="inves" hidden="1">{#N/A,#N/A,FALSE,"Adm comp";#N/A,#N/A,FALSE,"Adm ajust";"adm",#N/A,FALSE,"Administration";#N/A,#N/A,FALSE,"Adm Bgt 97 vs Prév. 96";#N/A,#N/A,FALSE,"Adm Bgt 97 vs 96"}</definedName>
    <definedName name="Investiss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i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ment_Name">#REF!</definedName>
    <definedName name="Investment_Period_Months">#REF!</definedName>
    <definedName name="INVV" localSheetId="14" hidden="1">{#N/A,#N/A,FALSE,"Adm comp";#N/A,#N/A,FALSE,"Adm ajust";"adm",#N/A,FALSE,"Administration";#N/A,#N/A,FALSE,"Adm Bgt 97 vs Prév. 96";#N/A,#N/A,FALSE,"Adm Bgt 97 vs 96"}</definedName>
    <definedName name="INVV" hidden="1">{#N/A,#N/A,FALSE,"Adm comp";#N/A,#N/A,FALSE,"Adm ajust";"adm",#N/A,FALSE,"Administration";#N/A,#N/A,FALSE,"Adm Bgt 97 vs Prév. 96";#N/A,#N/A,FALSE,"Adm Bgt 97 vs 96"}</definedName>
    <definedName name="INVVV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OPPPP" localSheetId="14" hidden="1">{#N/A,#N/A,FALSE,"Adm comp";#N/A,#N/A,FALSE,"Adm ajust";"adm",#N/A,FALSE,"Administration";#N/A,#N/A,FALSE,"Adm Bgt 97 vs Prév. 96";#N/A,#N/A,FALSE,"Adm Bgt 97 vs 96"}</definedName>
    <definedName name="IOPPPP" hidden="1">{#N/A,#N/A,FALSE,"Adm comp";#N/A,#N/A,FALSE,"Adm ajust";"adm",#N/A,FALSE,"Administration";#N/A,#N/A,FALSE,"Adm Bgt 97 vs Prév. 96";#N/A,#N/A,FALSE,"Adm Bgt 97 vs 96"}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localSheetId="14" hidden="1">"c1630"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localSheetId="14" hidden="1">"c2106"</definedName>
    <definedName name="IQ_DIV_PAYMENT_DATE" hidden="1">"c2205"</definedName>
    <definedName name="IQ_DIV_RECORD_DATE" localSheetId="14" hidden="1">"c2105"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THOM" hidden="1">"c4005"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THOM" hidden="1">"c5187"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THOM" hidden="1">"c3999"</definedName>
    <definedName name="IQ_FFO_HIGH_EST" hidden="1">"c419"</definedName>
    <definedName name="IQ_FFO_HIGH_EST_CIQ" hidden="1">"c4977"</definedName>
    <definedName name="IQ_FFO_HIGH_EST_THOM" hidden="1">"c4001"</definedName>
    <definedName name="IQ_FFO_LOW_EST" hidden="1">"c420"</definedName>
    <definedName name="IQ_FFO_LOW_EST_CIQ" hidden="1">"c4978"</definedName>
    <definedName name="IQ_FFO_LOW_EST_THOM" hidden="1">"c4002"</definedName>
    <definedName name="IQ_FFO_MEDIAN_EST" hidden="1">"c1665"</definedName>
    <definedName name="IQ_FFO_MEDIAN_EST_CIQ" hidden="1">"c4979"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41484.4929050926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localSheetId="14" hidden="1">"c2127"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1" hidden="1">"IQ_REVENUE_EST_1"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localSheetId="14" hidden="1">39245.9427430556</definedName>
    <definedName name="IQ_REVISION_DATE_" hidden="1">38968.6239236111</definedName>
    <definedName name="IQ_REVISION_DATE__1" hidden="1">39125.817037037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localSheetId="14" hidden="1">"c2104"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Type">#REF!</definedName>
    <definedName name="IsColHidden" hidden="1">FALSE</definedName>
    <definedName name="IsLTMColHidden" hidden="1">FALSE</definedName>
    <definedName name="IsTemplate" hidden="1">#REF!</definedName>
    <definedName name="iuiuiuiuiu" localSheetId="14" hidden="1">{#N/A,#N/A,FALSE,"Centres";#N/A,#N/A,FALSE,"Partenariats";#N/A,#N/A,FALSE,"P.Diverses";#N/A,#N/A,FALSE,"Adm";#N/A,#N/A,FALSE,"Autres R-D";#N/A,#N/A,FALSE,"Intérêts"}</definedName>
    <definedName name="iuiuiuiuiu" hidden="1">{#N/A,#N/A,FALSE,"Centres";#N/A,#N/A,FALSE,"Partenariats";#N/A,#N/A,FALSE,"P.Diverses";#N/A,#N/A,FALSE,"Adm";#N/A,#N/A,FALSE,"Autres R-D";#N/A,#N/A,FALSE,"Intérêts"}</definedName>
    <definedName name="IUY" localSheetId="14" hidden="1">{#N/A,#N/A,FALSE,"Min compar us";#N/A,#N/A,FALSE,"Min US Equité ";#N/A,#N/A,FALSE,"Analyse U.S."}</definedName>
    <definedName name="IUY" hidden="1">{#N/A,#N/A,FALSE,"Min compar us";#N/A,#N/A,FALSE,"Min US Equité ";#N/A,#N/A,FALSE,"Analyse U.S."}</definedName>
    <definedName name="iuyiu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iuy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b" localSheetId="14" hidden="1">{"summary1",#N/A,TRUE,"Comps";"summary2",#N/A,TRUE,"Comps";"summary3",#N/A,TRUE,"Comps"}</definedName>
    <definedName name="jb" hidden="1">{"summary1",#N/A,TRUE,"Comps";"summary2",#N/A,TRUE,"Comps";"summary3",#N/A,TRUE,"Comps"}</definedName>
    <definedName name="JDFG" localSheetId="14" hidden="1">{#N/A,#N/A,FALSE,"Centres";#N/A,#N/A,FALSE,"Partenariats";#N/A,#N/A,FALSE,"P.Diverses";#N/A,#N/A,FALSE,"Adm";#N/A,#N/A,FALSE,"Autres R-D";#N/A,#N/A,FALSE,"Intérêts"}</definedName>
    <definedName name="JDFG" hidden="1">{#N/A,#N/A,FALSE,"Centres";#N/A,#N/A,FALSE,"Partenariats";#N/A,#N/A,FALSE,"P.Diverses";#N/A,#N/A,FALSE,"Adm";#N/A,#N/A,FALSE,"Autres R-D";#N/A,#N/A,FALSE,"Intérêts"}</definedName>
    <definedName name="jhgjh" localSheetId="14" hidden="1">{"Section 1",#N/A,TRUE,"Summary";"Section 2",#N/A,TRUE,"Summary";"Section 3",#N/A,TRUE,"Summary";"Section 4",#N/A,TRUE,"Summary"}</definedName>
    <definedName name="jhgjh" hidden="1">{"Section 1",#N/A,TRUE,"Summary";"Section 2",#N/A,TRUE,"Summary";"Section 3",#N/A,TRUE,"Summary";"Section 4",#N/A,TRUE,"Summary"}</definedName>
    <definedName name="JHJHJHMHHMH" localSheetId="14" hidden="1">{#N/A,#N/A,FALSE,"CONTROLE"}</definedName>
    <definedName name="JHJHJHMHHMH" hidden="1">{#N/A,#N/A,FALSE,"CONTROLE"}</definedName>
    <definedName name="jhk" localSheetId="14" hidden="1">{#N/A,#N/A,FALSE,"Centres";#N/A,#N/A,FALSE,"Partenariats";#N/A,#N/A,FALSE,"P.Diverses";#N/A,#N/A,FALSE,"Adm";#N/A,#N/A,FALSE,"Autres R-D";#N/A,#N/A,FALSE,"Intérêts"}</definedName>
    <definedName name="jhk" hidden="1">{#N/A,#N/A,FALSE,"Centres";#N/A,#N/A,FALSE,"Partenariats";#N/A,#N/A,FALSE,"P.Diverses";#N/A,#N/A,FALSE,"Adm";#N/A,#N/A,FALSE,"Autres R-D";#N/A,#N/A,FALSE,"Intérêts"}</definedName>
    <definedName name="JJJ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JJ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K" localSheetId="14" hidden="1">{#N/A,#N/A,FALSE,"Adm comp";#N/A,#N/A,FALSE,"Adm ajust";"adm",#N/A,FALSE,"Administration";#N/A,#N/A,FALSE,"Adm Bgt 97 vs Prév. 96";#N/A,#N/A,FALSE,"Adm Bgt 97 vs 96"}</definedName>
    <definedName name="JK" hidden="1">{#N/A,#N/A,FALSE,"Adm comp";#N/A,#N/A,FALSE,"Adm ajust";"adm",#N/A,FALSE,"Administration";#N/A,#N/A,FALSE,"Adm Bgt 97 vs Prév. 96";#N/A,#N/A,FALSE,"Adm Bgt 97 vs 96"}</definedName>
    <definedName name="JKK" hidden="1">{#N/A,#N/A,FALSE,"96 RENT SUM";#N/A,#N/A,FALSE,"LSGACTSCHED";#N/A,#N/A,FALSE,"Conc. Sched"}</definedName>
    <definedName name="JMKL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MK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peg" hidden="1">{"'Assump'!$F$6:$J$6"}</definedName>
    <definedName name="Jr_Funding_Month">#REF!</definedName>
    <definedName name="jsfda" hidden="1">{"incomemth",#N/A,TRUE,"forecast00";"incomepercentmth",#N/A,TRUE,"forecast00";"balancemth",#N/A,TRUE,"forecast00";"cashmth",#N/A,TRUE,"forecast00";"covenantmth",#N/A,TRUE,"forecast00"}</definedName>
    <definedName name="juhuhu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huhu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lie" hidden="1">{#N/A,#N/A,FALSE,"RENT ROLL"}</definedName>
    <definedName name="JUNK" localSheetId="14" hidden="1">{"SCHEDULE",#N/A,FALSE,"Fin_sched"}</definedName>
    <definedName name="JUNK" hidden="1">{"SCHEDULE",#N/A,FALSE,"Fin_sched"}</definedName>
    <definedName name="Junk_condo" localSheetId="14" hidden="1">{"SCHEDULE",#N/A,FALSE,"Fin_sched"}</definedName>
    <definedName name="Junk_condo" hidden="1">{"SCHEDULE",#N/A,FALSE,"Fin_sched"}</definedName>
    <definedName name="JUNK2" localSheetId="14" hidden="1">{"SUMMARY",#N/A,FALSE,"Fin_sched"}</definedName>
    <definedName name="JUNK2" hidden="1">{"SUMMARY",#N/A,FALSE,"Fin_sched"}</definedName>
    <definedName name="jyjkykhm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yjkykh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2_WBEVMODE" hidden="1">-1</definedName>
    <definedName name="ke" hidden="1">#REF!</definedName>
    <definedName name="KGKHJ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hhhhhhhh" localSheetId="14" hidden="1">{"Output",#N/A,FALSE,"US_FL";"Output",#N/A,FALSE,"EUROPE_FL";"Output",#N/A,FALSE,"ASIA_FL"}</definedName>
    <definedName name="khhhhhhhhh" hidden="1">{"Output",#N/A,FALSE,"US_FL";"Output",#N/A,FALSE,"EUROPE_FL";"Output",#N/A,FALSE,"ASIA_FL"}</definedName>
    <definedName name="kill" localSheetId="14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localSheetId="14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localSheetId="14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localSheetId="1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J" localSheetId="14" hidden="1">{#N/A,#N/A,FALSE,"Adm comp";#N/A,#N/A,FALSE,"Adm ajust";"adm",#N/A,FALSE,"Administration";#N/A,#N/A,FALSE,"Adm Bgt 97 vs Prév. 96";#N/A,#N/A,FALSE,"Adm Bgt 97 vs 96"}</definedName>
    <definedName name="KJ" hidden="1">{#N/A,#N/A,FALSE,"Adm comp";#N/A,#N/A,FALSE,"Adm ajust";"adm",#N/A,FALSE,"Administration";#N/A,#N/A,FALSE,"Adm Bgt 97 vs Prév. 96";#N/A,#N/A,FALSE,"Adm Bgt 97 vs 96"}</definedName>
    <definedName name="KJH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l" localSheetId="14" hidden="1">{#N/A,#N/A,FALSE,"Min compa cad";#N/A,#N/A,FALSE,"Min CAN Equité ";#N/A,#N/A,FALSE,"Analyse can"}</definedName>
    <definedName name="kjl" hidden="1">{#N/A,#N/A,FALSE,"Min compa cad";#N/A,#N/A,FALSE,"Min CAN Equité ";#N/A,#N/A,FALSE,"Analyse can"}</definedName>
    <definedName name="kjojoj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ojo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kk" localSheetId="14" hidden="1">{#N/A,#N/A,FALSE,"B_Spread"}</definedName>
    <definedName name="kkk" hidden="1">{#N/A,#N/A,FALSE,"B_Spread"}</definedName>
    <definedName name="kkkkkkkkkkkkkkk" localSheetId="14" hidden="1">{"Page1",#N/A,FALSE,"Summary";"Page2",#N/A,FALSE,"Summary";"Page3",#N/A,FALSE,"Summary";"Page4",#N/A,FALSE,"Summary"}</definedName>
    <definedName name="kkkkkkkkkkkkkkk" hidden="1">{"Page1",#N/A,FALSE,"Summary";"Page2",#N/A,FALSE,"Summary";"Page3",#N/A,FALSE,"Summary";"Page4",#N/A,FALSE,"Summary"}</definedName>
    <definedName name="km" hidden="1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kokok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localSheetId="14" hidden="1">{"Construction Costs",#N/A,FALSE,"Budget";"Income Statement",#N/A,FALSE,"Budget"}</definedName>
    <definedName name="l" hidden="1">{"Construction Costs",#N/A,FALSE,"Budget";"Income Statement",#N/A,FALSE,"Budget"}</definedName>
    <definedName name="Label_SF_M2">#REF!</definedName>
    <definedName name="Label_Unit_Type">#REF!</definedName>
    <definedName name="Label_Unit_Type_Singular">#REF!</definedName>
    <definedName name="lank" hidden="1">#REF!</definedName>
    <definedName name="leasing" hidden="1">{#N/A,#N/A,FALSE,"96 RENT SUM";#N/A,#N/A,FALSE,"LSGACTSCHED";#N/A,#N/A,FALSE,"Conc. Sched"}</definedName>
    <definedName name="LI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mcount" hidden="1">1</definedName>
    <definedName name="List_Location">OFFSET(#REF!,0,0,93-COUNTIF(#REF!,""),1)</definedName>
    <definedName name="List_Property_Type">OFFSET(#REF!,0,0,1,10-COUNTIF(#REF!,""))</definedName>
    <definedName name="lk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djfalk" hidden="1">{#N/A,#N/A,FALSE,"RENT ROLL"}</definedName>
    <definedName name="lkdsaflkdsjf" hidden="1">{#N/A,#N/A,FALSE,"RENT ROLL"}</definedName>
    <definedName name="LKJH" localSheetId="14" hidden="1">{#N/A,#N/A,FALSE,"Min compar us";#N/A,#N/A,FALSE,"Min US Equité ";#N/A,#N/A,FALSE,"Analyse U.S."}</definedName>
    <definedName name="LKJH" hidden="1">{#N/A,#N/A,FALSE,"Min compar us";#N/A,#N/A,FALSE,"Min US Equité ";#N/A,#N/A,FALSE,"Analyse U.S."}</definedName>
    <definedName name="lkjhgfd" localSheetId="14" hidden="1">{#N/A,#N/A,FALSE,"Centres";#N/A,#N/A,FALSE,"Partenariats";#N/A,#N/A,FALSE,"P.Diverses";#N/A,#N/A,FALSE,"Adm";#N/A,#N/A,FALSE,"Autres R-D";#N/A,#N/A,FALSE,"Intérêts"}</definedName>
    <definedName name="lkjhgfd" hidden="1">{#N/A,#N/A,FALSE,"Centres";#N/A,#N/A,FALSE,"Partenariats";#N/A,#N/A,FALSE,"P.Diverses";#N/A,#N/A,FALSE,"Adm";#N/A,#N/A,FALSE,"Autres R-D";#N/A,#N/A,FALSE,"Intérêts"}</definedName>
    <definedName name="lkkkkk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kk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lklklkl" localSheetId="14" hidden="1">{#N/A,#N/A,FALSE,"Centres";#N/A,#N/A,FALSE,"Partenariats";#N/A,#N/A,FALSE,"P.Diverses";#N/A,#N/A,FALSE,"Adm";#N/A,#N/A,FALSE,"Autres R-D";#N/A,#N/A,FALSE,"Intérêts"}</definedName>
    <definedName name="lkklklklkl" hidden="1">{#N/A,#N/A,FALSE,"Centres";#N/A,#N/A,FALSE,"Partenariats";#N/A,#N/A,FALSE,"P.Diverses";#N/A,#N/A,FALSE,"Adm";#N/A,#N/A,FALSE,"Autres R-D";#N/A,#N/A,FALSE,"Intérêts"}</definedName>
    <definedName name="ll" localSheetId="14" hidden="1">{#N/A,#N/A,TRUE,"Maritime Park Arena PCD";#N/A,#N/A,TRUE,"Maritime Park Arena IOR"}</definedName>
    <definedName name="ll" hidden="1">{"Construction Costs",#N/A,FALSE,"Budget";"Income Statement",#N/A,FALSE,"Budget"}</definedName>
    <definedName name="lll" localSheetId="14" hidden="1">{#N/A,#N/A,FALSE,"Centres";#N/A,#N/A,FALSE,"Partenariats";#N/A,#N/A,FALSE,"P.Diverses";#N/A,#N/A,FALSE,"Adm";#N/A,#N/A,FALSE,"Autres R-D";#N/A,#N/A,FALSE,"Intérêts"}</definedName>
    <definedName name="lll" hidden="1">{"Outflow 1",#N/A,FALSE,"Outflows-Inflows";"Outflow 2",#N/A,FALSE,"Outflows-Inflows";"Inflow 1",#N/A,FALSE,"Outflows-Inflows";"Inflow 2",#N/A,FALSE,"Outflows-Inflows"}</definedName>
    <definedName name="lllkkjhhggf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kkjhhgg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lll" localSheetId="14" hidden="1">{#N/A,#N/A,FALSE,"Adm comp";#N/A,#N/A,FALSE,"Adm ajust";"adm",#N/A,FALSE,"Administration";#N/A,#N/A,FALSE,"Adm Bgt 97 vs Prév. 96";#N/A,#N/A,FALSE,"Adm Bgt 97 vs 96"}</definedName>
    <definedName name="llllll" hidden="1">{#N/A,#N/A,FALSE,"Adm comp";#N/A,#N/A,FALSE,"Adm ajust";"adm",#N/A,FALSE,"Administration";#N/A,#N/A,FALSE,"Adm Bgt 97 vs Prév. 96";#N/A,#N/A,FALSE,"Adm Bgt 97 vs 96"}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ckard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pez" hidden="1">{#N/A,#N/A,FALSE,"RENT ROLL"}</definedName>
    <definedName name="Louvers" localSheetId="14" hidden="1">{#N/A,#N/A,TRUE,"Ericsson Stadium PCD ";#N/A,#N/A,TRUE,"Ericsson Stadium IOR"}</definedName>
    <definedName name="Louvers" hidden="1">{#N/A,#N/A,TRUE,"Ericsson Stadium PCD ";#N/A,#N/A,TRUE,"Ericsson Stadium IOR"}</definedName>
    <definedName name="Louversa" localSheetId="14" hidden="1">{#N/A,#N/A,TRUE,"Ericsson Stadium PCD ";#N/A,#N/A,TRUE,"Ericsson Stadium IOR"}</definedName>
    <definedName name="Louversa" hidden="1">{#N/A,#N/A,TRUE,"Ericsson Stadium PCD ";#N/A,#N/A,TRUE,"Ericsson Stadium IOR"}</definedName>
    <definedName name="lsldfkj" hidden="1">{#N/A,#N/A,FALSE,"RENT ROLL"}</definedName>
    <definedName name="LTC_Actual">#REF!</definedName>
    <definedName name="lulululul" localSheetId="14" hidden="1">{#N/A,#N/A,FALSE,"Centres";#N/A,#N/A,FALSE,"Partenariats";#N/A,#N/A,FALSE,"P.Diverses";#N/A,#N/A,FALSE,"Adm";#N/A,#N/A,FALSE,"Autres R-D";#N/A,#N/A,FALSE,"Intérêts"}</definedName>
    <definedName name="lulululul" hidden="1">{#N/A,#N/A,FALSE,"Centres";#N/A,#N/A,FALSE,"Partenariats";#N/A,#N/A,FALSE,"P.Diverses";#N/A,#N/A,FALSE,"Adm";#N/A,#N/A,FALSE,"Autres R-D";#N/A,#N/A,FALSE,"Intérêts"}</definedName>
    <definedName name="m" hidden="1">{#N/A,#N/A,FALSE,"matx B4 DS";#N/A,#N/A,FALSE,"matx B4 DS Hac";#N/A,#N/A,FALSE,"matx B4 DS Chabot";#N/A,#N/A,FALSE,"matx B4 DS Diablo"}</definedName>
    <definedName name="M_PlaceofPath" hidden="1">"F:\CMOTZ\excel\ati\ATI_VDF.XLS"</definedName>
    <definedName name="Manager_Salary_Per_Month">#N/A</definedName>
    <definedName name="Managersalaryper">#N/A</definedName>
    <definedName name="Managersalarypermonth">#N/A</definedName>
    <definedName name="mark" hidden="1">{#N/A,#N/A,FALSE,"RENT ROLL"}</definedName>
    <definedName name="MarketRent" hidden="1">#REF!</definedName>
    <definedName name="maryann" hidden="1">{#N/A,#N/A,FALSE,"RENT ROLL"}</definedName>
    <definedName name="matrix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melo" localSheetId="14" hidden="1">{"AnnualRentRoll",#N/A,FALSE,"RentRoll"}</definedName>
    <definedName name="melo" hidden="1">{"AnnualRentRoll",#N/A,FALSE,"RentRoll"}</definedName>
    <definedName name="meow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F_1st_Stab_Month">#REF!</definedName>
    <definedName name="MF_Module_On">#REF!</definedName>
    <definedName name="MF_Units">#REF!</definedName>
    <definedName name="MF_Untrended?">#REF!</definedName>
    <definedName name="MGHM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ickey" hidden="1">{#N/A,#N/A,FALSE,"RENT ROLL"}</definedName>
    <definedName name="mkmkmkmk" localSheetId="14" hidden="1">{#N/A,#N/A,FALSE,"Centres";#N/A,#N/A,FALSE,"Partenariats";#N/A,#N/A,FALSE,"P.Diverses";#N/A,#N/A,FALSE,"Adm";#N/A,#N/A,FALSE,"Autres R-D";#N/A,#N/A,FALSE,"Intérêts"}</definedName>
    <definedName name="mkmkmkmk" hidden="1">{#N/A,#N/A,FALSE,"Centres";#N/A,#N/A,FALSE,"Partenariats";#N/A,#N/A,FALSE,"P.Diverses";#N/A,#N/A,FALSE,"Adm";#N/A,#N/A,FALSE,"Autres R-D";#N/A,#N/A,FALSE,"Intérêts"}</definedName>
    <definedName name="MLNK042408363cd84fae940205bc2d1baa4e" hidden="1">#REF!</definedName>
    <definedName name="MLNK6e26c0d95ee9464b8e6330ce373d8ca7" hidden="1">#REF!</definedName>
    <definedName name="mmmmmmmmmmmm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mmmmmmmmmmm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n" localSheetId="14" hidden="1">{#N/A,#N/A,FALSE,"Adm comp";#N/A,#N/A,FALSE,"Adm ajust";"adm",#N/A,FALSE,"Administration";#N/A,#N/A,FALSE,"Adm Bgt 97 vs Prév. 96";#N/A,#N/A,FALSE,"Adm Bgt 97 vs 96"}</definedName>
    <definedName name="mn" hidden="1">{#N/A,#N/A,FALSE,"Adm comp";#N/A,#N/A,FALSE,"Adm ajust";"adm",#N/A,FALSE,"Administration";#N/A,#N/A,FALSE,"Adm Bgt 97 vs Prév. 96";#N/A,#N/A,FALSE,"Adm Bgt 97 vs 96"}</definedName>
    <definedName name="MO" localSheetId="14" hidden="1">{#N/A,#N/A,FALSE,"Adm comp";#N/A,#N/A,FALSE,"Adm ajust";"adm",#N/A,FALSE,"Administration";#N/A,#N/A,FALSE,"Adm Bgt 97 vs Prév. 96";#N/A,#N/A,FALSE,"Adm Bgt 97 vs 96"}</definedName>
    <definedName name="MO" hidden="1">{#N/A,#N/A,FALSE,"Adm comp";#N/A,#N/A,FALSE,"Adm ajust";"adm",#N/A,FALSE,"Administration";#N/A,#N/A,FALSE,"Adm Bgt 97 vs Prév. 96";#N/A,#N/A,FALSE,"Adm Bgt 97 vs 96"}</definedName>
    <definedName name="MSforecast" hidden="1">{"'Sheet1'!$A$1:$I$10","'Sheet1'!$A$1:$I$11"}</definedName>
    <definedName name="MU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" hidden="1">#REF!</definedName>
    <definedName name="NAM" localSheetId="14" hidden="1">{#N/A,#N/A,FALSE,"Adm comp";#N/A,#N/A,FALSE,"Adm ajust";"adm",#N/A,FALSE,"Administration";#N/A,#N/A,FALSE,"Adm Bgt 97 vs Prév. 96";#N/A,#N/A,FALSE,"Adm Bgt 97 vs 96"}</definedName>
    <definedName name="NAM" hidden="1">{#N/A,#N/A,FALSE,"Adm comp";#N/A,#N/A,FALSE,"Adm ajust";"adm",#N/A,FALSE,"Administration";#N/A,#N/A,FALSE,"Adm Bgt 97 vs Prév. 96";#N/A,#N/A,FALSE,"Adm Bgt 97 vs 96"}</definedName>
    <definedName name="nb" localSheetId="14" hidden="1">{#N/A,#N/A,FALSE,"Adm comp";#N/A,#N/A,FALSE,"Adm ajust";"adm",#N/A,FALSE,"Administration";#N/A,#N/A,FALSE,"Adm Bgt 97 vs Prév. 96";#N/A,#N/A,FALSE,"Adm Bgt 97 vs 96"}</definedName>
    <definedName name="nb" hidden="1">{#N/A,#N/A,FALSE,"Adm comp";#N/A,#N/A,FALSE,"Adm ajust";"adm",#N/A,FALSE,"Administration";#N/A,#N/A,FALSE,"Adm Bgt 97 vs Prév. 96";#N/A,#N/A,FALSE,"Adm Bgt 97 vs 96"}</definedName>
    <definedName name="NetSf" hidden="1">#REF!</definedName>
    <definedName name="new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order1" hidden="1">255</definedName>
    <definedName name="newhtml" localSheetId="14" hidden="1">{"'Assump'!$F$6:$J$6"}</definedName>
    <definedName name="newhtml" hidden="1">{"'Assump'!$F$6:$J$6"}</definedName>
    <definedName name="NH" localSheetId="14" hidden="1">{#N/A,#N/A,FALSE,"CONTROLE"}</definedName>
    <definedName name="NH" hidden="1">{#N/A,#N/A,FALSE,"CONTROLE"}</definedName>
    <definedName name="nn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nn" localSheetId="14" hidden="1">{#N/A,#N/A,FALSE,"CONTROLE"}</definedName>
    <definedName name="nnnnn" hidden="1">{#N/A,#N/A,FALSE,"CONTROLE"}</definedName>
    <definedName name="no" localSheetId="14" hidden="1">{"Construction Costs",#N/A,FALSE,"Budget";"Income Statement",#N/A,FALSE,"Budget"}</definedName>
    <definedName name="no" hidden="1">{"Construction Costs",#N/A,FALSE,"Budget";"Income Statement",#N/A,FALSE,"Budget"}</definedName>
    <definedName name="noname1" hidden="1">#REF!</definedName>
    <definedName name="NONO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N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thing" localSheetId="14" hidden="1">{"Construction Costs",#N/A,FALSE,"Budget";"Income Statement",#N/A,FALSE,"Budget"}</definedName>
    <definedName name="nothing" hidden="1">{"Construction Costs",#N/A,FALSE,"Budget";"Income Statement",#N/A,FALSE,"Budget"}</definedName>
    <definedName name="NP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RA">#REF!</definedName>
    <definedName name="NVVN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VV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Y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" localSheetId="14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ffice1" hidden="1">{#N/A,#N/A,FALSE,"Cashflow Analysis";#N/A,#N/A,FALSE,"Sensitivity Analysis";#N/A,#N/A,FALSE,"PV";#N/A,#N/A,FALSE,"Pro Forma"}</definedName>
    <definedName name="offices" localSheetId="14" hidden="1">{"Construction Costs",#N/A,FALSE,"Budget";"Income Statement",#N/A,FALSE,"Budget"}</definedName>
    <definedName name="offices" hidden="1">{"Construction Costs",#N/A,FALSE,"Budget";"Income Statement",#N/A,FALSE,"Budget"}</definedName>
    <definedName name="OIIUSDF" localSheetId="14" hidden="1">{#N/A,#N/A,FALSE,"Min compar us";#N/A,#N/A,FALSE,"Min US Equité ";#N/A,#N/A,FALSE,"Analyse U.S."}</definedName>
    <definedName name="OIIUSDF" hidden="1">{#N/A,#N/A,FALSE,"Min compar us";#N/A,#N/A,FALSE,"Min US Equité ";#N/A,#N/A,FALSE,"Analyse U.S."}</definedName>
    <definedName name="oioioioioio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oioioioio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U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oo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YYY" localSheetId="14" hidden="1">{#N/A,#N/A,FALSE,"Min compa cad";#N/A,#N/A,FALSE,"Min CAN Equité ";#N/A,#N/A,FALSE,"Analyse can"}</definedName>
    <definedName name="OIUYYY" hidden="1">{#N/A,#N/A,FALSE,"Min compa cad";#N/A,#N/A,FALSE,"Min CAN Equité ";#N/A,#N/A,FALSE,"Analyse can"}</definedName>
    <definedName name="ok" localSheetId="14" hidden="1">{"Construction Costs",#N/A,FALSE,"Budget";"Income Statement",#N/A,FALSE,"Budget"}</definedName>
    <definedName name="ok" hidden="1">{"Construction Costs",#N/A,FALSE,"Budget";"Income Statement",#N/A,FALSE,"Budget"}</definedName>
    <definedName name="OKMJUH" localSheetId="14" hidden="1">{#N/A,#N/A,FALSE,"Centres";#N/A,#N/A,FALSE,"Partenariats";#N/A,#N/A,FALSE,"P.Diverses";#N/A,#N/A,FALSE,"Adm";#N/A,#N/A,FALSE,"Autres R-D";#N/A,#N/A,FALSE,"Intérêts"}</definedName>
    <definedName name="OKMJUH" hidden="1">{#N/A,#N/A,FALSE,"Centres";#N/A,#N/A,FALSE,"Partenariats";#N/A,#N/A,FALSE,"P.Diverses";#N/A,#N/A,FALSE,"Adm";#N/A,#N/A,FALSE,"Autres R-D";#N/A,#N/A,FALSE,"Intérêts"}</definedName>
    <definedName name="okokok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dDateStamp" hidden="1">#REF!</definedName>
    <definedName name="oldhtl" localSheetId="14" hidden="1">{"'Assump'!$F$6:$J$6"}</definedName>
    <definedName name="oldhtl" hidden="1">{"'Assump'!$F$6:$J$6"}</definedName>
    <definedName name="oldkill" localSheetId="14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localSheetId="14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localSheetId="14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LIDA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LIDA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P" localSheetId="14" hidden="1">{#N/A,#N/A,FALSE,"Min compar us";#N/A,#N/A,FALSE,"Min US Equité ";#N/A,#N/A,FALSE,"Analyse U.S."}</definedName>
    <definedName name="OLP" hidden="1">{#N/A,#N/A,FALSE,"Min compar us";#N/A,#N/A,FALSE,"Min US Equité ";#N/A,#N/A,FALSE,"Analyse U.S."}</definedName>
    <definedName name="OLPP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SS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NS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o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ooo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ooo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peration_Period_Months">#REF!</definedName>
    <definedName name="Operations_Begin_Date">#REF!</definedName>
    <definedName name="Operations_Begin_Month">#REF!</definedName>
    <definedName name="ORDER" hidden="1">0</definedName>
    <definedName name="ORI_1st_Stab_Month">#REF!</definedName>
    <definedName name="ORI_Module_On">#REF!</definedName>
    <definedName name="ORI_Untrended?">#REF!</definedName>
    <definedName name="othername" hidden="1">{#N/A,#N/A,FALSE,"ExecSum";#N/A,#N/A,FALSE,"Budget";#N/A,#N/A,FALSE,"Summary1";#N/A,#N/A,FALSE,"CashFlow"}</definedName>
    <definedName name="OVNOV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VNO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" localSheetId="14" hidden="1">{#N/A,#N/A,FALSE,"Min compa cad";#N/A,#N/A,FALSE,"Min CAN Equité ";#N/A,#N/A,FALSE,"Analyse can"}</definedName>
    <definedName name="P" hidden="1">{#N/A,#N/A,FALSE,"Min compa cad";#N/A,#N/A,FALSE,"Min CAN Equité ";#N/A,#N/A,FALSE,"Analyse can"}</definedName>
    <definedName name="pa" localSheetId="14" hidden="1">{#N/A,#N/A,FALSE,"Min compa cad";#N/A,#N/A,FALSE,"Min CAN Equité ";#N/A,#N/A,FALSE,"Analyse can"}</definedName>
    <definedName name="pa" hidden="1">{#N/A,#N/A,FALSE,"Min compa cad";#N/A,#N/A,FALSE,"Min CAN Equité ";#N/A,#N/A,FALSE,"Analyse can"}</definedName>
    <definedName name="PAAER" localSheetId="14" hidden="1">{#N/A,#N/A,FALSE,"Min compa cad";#N/A,#N/A,FALSE,"Min CAN Equité ";#N/A,#N/A,FALSE,"Analyse can"}</definedName>
    <definedName name="PAAER" hidden="1">{#N/A,#N/A,FALSE,"Min compa cad";#N/A,#N/A,FALSE,"Min CAN Equité ";#N/A,#N/A,FALSE,"Analyse can"}</definedName>
    <definedName name="PAAP" localSheetId="14" hidden="1">{#N/A,#N/A,FALSE,"Min compa cad";#N/A,#N/A,FALSE,"Min CAN Equité ";#N/A,#N/A,FALSE,"Analyse can"}</definedName>
    <definedName name="PAAP" hidden="1">{#N/A,#N/A,FALSE,"Min compa cad";#N/A,#N/A,FALSE,"Min CAN Equité ";#N/A,#N/A,FALSE,"Analyse can"}</definedName>
    <definedName name="PAAPP" localSheetId="14" hidden="1">{#N/A,#N/A,FALSE,"Min compar us";#N/A,#N/A,FALSE,"Min US Equité ";#N/A,#N/A,FALSE,"Analyse U.S."}</definedName>
    <definedName name="PAAPP" hidden="1">{#N/A,#N/A,FALSE,"Min compar us";#N/A,#N/A,FALSE,"Min US Equité ";#N/A,#N/A,FALSE,"Analyse U.S."}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EWQ" localSheetId="14" hidden="1">{#N/A,#N/A,FALSE,"Min compar us";#N/A,#N/A,FALSE,"Min US Equité ";#N/A,#N/A,FALSE,"Analyse U.S."}</definedName>
    <definedName name="PAEWQ" hidden="1">{#N/A,#N/A,FALSE,"Min compar us";#N/A,#N/A,FALSE,"Min US Equité ";#N/A,#N/A,FALSE,"Analyse U.S."}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PA" localSheetId="14" hidden="1">{#N/A,#N/A,FALSE,"Min compa cad";#N/A,#N/A,FALSE,"Min CAN Equité ";#N/A,#N/A,FALSE,"Analyse can"}</definedName>
    <definedName name="PAPA" hidden="1">{#N/A,#N/A,FALSE,"Min compa cad";#N/A,#N/A,FALSE,"Min CAN Equité ";#N/A,#N/A,FALSE,"Analyse can"}</definedName>
    <definedName name="PAPAP" localSheetId="14" hidden="1">{#N/A,#N/A,FALSE,"Min compar us";#N/A,#N/A,FALSE,"Min US Equité ";#N/A,#N/A,FALSE,"Analyse U.S."}</definedName>
    <definedName name="PAPAP" hidden="1">{#N/A,#N/A,FALSE,"Min compar us";#N/A,#N/A,FALSE,"Min US Equité ";#N/A,#N/A,FALSE,"Analyse U.S."}</definedName>
    <definedName name="par" localSheetId="14" hidden="1">{#N/A,#N/A,FALSE,"Min compar us";#N/A,#N/A,FALSE,"Min US Equité ";#N/A,#N/A,FALSE,"Analyse U.S."}</definedName>
    <definedName name="par" hidden="1">{#N/A,#N/A,FALSE,"Min compar us";#N/A,#N/A,FALSE,"Min US Equité ";#N/A,#N/A,FALSE,"Analyse U.S."}</definedName>
    <definedName name="Param_CumRent" hidden="1">#REF!</definedName>
    <definedName name="Param_CurrentDate" hidden="1">#REF!</definedName>
    <definedName name="Param_DRCredit" localSheetId="14" hidden="1">#REF!</definedName>
    <definedName name="Param_DRCredit" localSheetId="16" hidden="1">#REF!</definedName>
    <definedName name="Param_DRCredit" hidden="1">#REF!</definedName>
    <definedName name="Param_DRNonCredit" localSheetId="14" hidden="1">#REF!</definedName>
    <definedName name="Param_DRNonCredit" localSheetId="16" hidden="1">#REF!</definedName>
    <definedName name="Param_DRNonCredit" hidden="1">#REF!</definedName>
    <definedName name="Param_IncludeCPI" localSheetId="14" hidden="1">#REF!</definedName>
    <definedName name="Param_IncludeCPI" hidden="1">#REF!</definedName>
    <definedName name="Param_IncludePercentRent" localSheetId="14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PAR" localSheetId="14" hidden="1">{#N/A,#N/A,FALSE,"Min compa cad";#N/A,#N/A,FALSE,"Min CAN Equité ";#N/A,#N/A,FALSE,"Analyse can"}</definedName>
    <definedName name="PARPAR" hidden="1">{#N/A,#N/A,FALSE,"Min compa cad";#N/A,#N/A,FALSE,"Min CAN Equité ";#N/A,#N/A,FALSE,"Analyse can"}</definedName>
    <definedName name="PARR" localSheetId="14" hidden="1">{#N/A,#N/A,FALSE,"Min compar us";#N/A,#N/A,FALSE,"Min US Equité ";#N/A,#N/A,FALSE,"Analyse U.S."}</definedName>
    <definedName name="PARR" hidden="1">{#N/A,#N/A,FALSE,"Min compar us";#N/A,#N/A,FALSE,"Min US Equité ";#N/A,#N/A,FALSE,"Analyse U.S."}</definedName>
    <definedName name="PARTPART" localSheetId="14" hidden="1">{#N/A,#N/A,FALSE,"Min compar us";#N/A,#N/A,FALSE,"Min US Equité ";#N/A,#N/A,FALSE,"Analyse U.S."}</definedName>
    <definedName name="PARTPART" hidden="1">{#N/A,#N/A,FALSE,"Min compar us";#N/A,#N/A,FALSE,"Min US Equité ";#N/A,#N/A,FALSE,"Analyse U.S."}</definedName>
    <definedName name="PATR" localSheetId="14" hidden="1">{#N/A,#N/A,FALSE,"Min compa cad";#N/A,#N/A,FALSE,"Min CAN Equité ";#N/A,#N/A,FALSE,"Analyse can"}</definedName>
    <definedName name="PATR" hidden="1">{#N/A,#N/A,FALSE,"Min compa cad";#N/A,#N/A,FALSE,"Min CAN Equité ";#N/A,#N/A,FALSE,"Analyse can"}</definedName>
    <definedName name="Per_Unit_Type">#REF!</definedName>
    <definedName name="Perm_Debt_Funding">#REF!</definedName>
    <definedName name="PermDebt_Funding_Date">#REF!</definedName>
    <definedName name="PermDebt_Funding_Month">MAX(#REF!,1)</definedName>
    <definedName name="PHOTOS" hidden="1">{#N/A,#N/A,FALSE,"RENT ROLL"}</definedName>
    <definedName name="pier90" localSheetId="14" hidden="1">{"excavation",#N/A,FALSE,"DETAIL.XLS"}</definedName>
    <definedName name="pier90" hidden="1">{"excavation",#N/A,FALSE,"DETAIL.XLS"}</definedName>
    <definedName name="PIPO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atform" localSheetId="14" hidden="1">{#N/A,#N/A,TRUE,"Ericsson Stadium PCD ";#N/A,#N/A,TRUE,"Ericsson Stadium IOR"}</definedName>
    <definedName name="platform" hidden="1">{#N/A,#N/A,TRUE,"Ericsson Stadium PCD ";#N/A,#N/A,TRUE,"Ericsson Stadium IOR"}</definedName>
    <definedName name="platforma" localSheetId="14" hidden="1">{#N/A,#N/A,TRUE,"Ericsson Stadium PCD ";#N/A,#N/A,TRUE,"Ericsson Stadium IOR"}</definedName>
    <definedName name="platforma" hidden="1">{#N/A,#N/A,TRUE,"Ericsson Stadium PCD ";#N/A,#N/A,TRUE,"Ericsson Stadium IOR"}</definedName>
    <definedName name="plllllll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llll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O" localSheetId="14" hidden="1">{#N/A,#N/A,FALSE,"Min compa cad";#N/A,#N/A,FALSE,"Min CAN Equité ";#N/A,#N/A,FALSE,"Analyse can"}</definedName>
    <definedName name="PLO" hidden="1">{#N/A,#N/A,FALSE,"Min compa cad";#N/A,#N/A,FALSE,"Min CAN Equité ";#N/A,#N/A,FALSE,"Analyse can"}</definedName>
    <definedName name="pm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n" localSheetId="16" hidden="1">#REF!</definedName>
    <definedName name="pn" hidden="1">#REF!</definedName>
    <definedName name="POAA" localSheetId="14" hidden="1">{#N/A,#N/A,FALSE,"Min compa cad";#N/A,#N/A,FALSE,"Min CAN Equité ";#N/A,#N/A,FALSE,"Analyse can"}</definedName>
    <definedName name="POAA" hidden="1">{#N/A,#N/A,FALSE,"Min compa cad";#N/A,#N/A,FALSE,"Min CAN Equité ";#N/A,#N/A,FALSE,"Analyse can"}</definedName>
    <definedName name="POI" localSheetId="14" hidden="1">{#N/A,#N/A,FALSE,"Adm comp";#N/A,#N/A,FALSE,"Adm ajust";"adm",#N/A,FALSE,"Administration";#N/A,#N/A,FALSE,"Adm Bgt 97 vs Prév. 96";#N/A,#N/A,FALSE,"Adm Bgt 97 vs 96"}</definedName>
    <definedName name="POI" hidden="1">{#N/A,#N/A,FALSE,"Adm comp";#N/A,#N/A,FALSE,"Adm ajust";"adm",#N/A,FALSE,"Administration";#N/A,#N/A,FALSE,"Adm Bgt 97 vs Prév. 96";#N/A,#N/A,FALSE,"Adm Bgt 97 vs 96"}</definedName>
    <definedName name="POIII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oi" localSheetId="14" hidden="1">{#N/A,#N/A,FALSE,"Centres";#N/A,#N/A,FALSE,"Partenariats";#N/A,#N/A,FALSE,"P.Diverses";#N/A,#N/A,FALSE,"Adm";#N/A,#N/A,FALSE,"Autres R-D";#N/A,#N/A,FALSE,"Intérêts"}</definedName>
    <definedName name="poioi" hidden="1">{#N/A,#N/A,FALSE,"Centres";#N/A,#N/A,FALSE,"Partenariats";#N/A,#N/A,FALSE,"P.Diverses";#N/A,#N/A,FALSE,"Adm";#N/A,#N/A,FALSE,"Autres R-D";#N/A,#N/A,FALSE,"Intérêts"}</definedName>
    <definedName name="poiuytr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iuyt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popopop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popopop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pp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" localSheetId="14" hidden="1">{#N/A,#N/A,FALSE,"Adm comp";#N/A,#N/A,FALSE,"Adm ajust";"adm",#N/A,FALSE,"Administration";#N/A,#N/A,FALSE,"Adm Bgt 97 vs Prév. 96";#N/A,#N/A,FALSE,"Adm Bgt 97 vs 96"}</definedName>
    <definedName name="pppppppp" hidden="1">{#N/A,#N/A,FALSE,"Adm comp";#N/A,#N/A,FALSE,"Adm ajust";"adm",#N/A,FALSE,"Administration";#N/A,#N/A,FALSE,"Adm Bgt 97 vs Prév. 96";#N/A,#N/A,FALSE,"Adm Bgt 97 vs 96"}</definedName>
    <definedName name="pppppppppppppppppppppp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ppppppppp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referred_Return">#REF!</definedName>
    <definedName name="Preferred_Return_Monthly">#REF!</definedName>
    <definedName name="_xlnm.Print_Area" localSheetId="1">Dashboard!$B$2:$W$59</definedName>
    <definedName name="_xlnm.Print_Area" localSheetId="14">'Partnership Terms + Fees'!$B$2:$G$20</definedName>
    <definedName name="_xlnm.Print_Area" localSheetId="15">'Promote Cash Flow'!$C$2:$DV$223</definedName>
    <definedName name="_xlnm.Print_Area" localSheetId="3">'Scenario 0'!$B$1:$P$187</definedName>
    <definedName name="_xlnm.Print_Area" localSheetId="4">'Scenario 1'!$B$1:$P$186</definedName>
    <definedName name="_xlnm.Print_Area" localSheetId="5">'Scenario 2'!$B$1:$P$186</definedName>
    <definedName name="_xlnm.Print_Area" localSheetId="6">'Scenario 3'!$B$1:$P$186</definedName>
    <definedName name="_xlnm.Print_Area" localSheetId="16">'Waterfall Summary'!$B$2:$T$51</definedName>
    <definedName name="Print_Area_Reset" localSheetId="16">OFFSET(Full_Print,0,0,Last_Row)</definedName>
    <definedName name="Print_Mode">#REF!</definedName>
    <definedName name="PrintFormat" hidden="1">#REF!</definedName>
    <definedName name="prntall" hidden="1">{#N/A,#N/A,FALSE,"Land";#N/A,#N/A,FALSE,"Cost Analysis";"Summary",#N/A,FALSE,"Equipment"}</definedName>
    <definedName name="promote" hidden="1">{"Investor",#N/A,FALSE,"Model";"Property",#N/A,FALSE,"Model";"Incentive Taxes",#N/A,FALSE,"Model"}</definedName>
    <definedName name="Promote_Structure">#REF!</definedName>
    <definedName name="Promote_Structure_Monthly">#REF!</definedName>
    <definedName name="Property_Type">#REF!</definedName>
    <definedName name="psc" hidden="1">#REF!</definedName>
    <definedName name="PTRU" localSheetId="14" hidden="1">{#N/A,#N/A,FALSE,"Min compar us";#N/A,#N/A,FALSE,"Min US Equité ";#N/A,#N/A,FALSE,"Analyse U.S."}</definedName>
    <definedName name="PTRU" hidden="1">{#N/A,#N/A,FALSE,"Min compar us";#N/A,#N/A,FALSE,"Min US Equité ";#N/A,#N/A,FALSE,"Analyse U.S."}</definedName>
    <definedName name="PUB_FileID" hidden="1">"L10004026.xls"</definedName>
    <definedName name="PUB_UserID" hidden="1">"MAYERX"</definedName>
    <definedName name="PY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Y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ASW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Z" localSheetId="14" hidden="1">{#N/A,#N/A,FALSE,"EOAF";#N/A,#N/A,FALSE,"Ingresos";#N/A,#N/A,FALSE,"Rat2";#N/A,#N/A,FALSE,"IFP";#N/A,#N/A,FALSE,"Anexo"}</definedName>
    <definedName name="QAZ" hidden="1">{#N/A,#N/A,FALSE,"EOAF";#N/A,#N/A,FALSE,"Ingresos";#N/A,#N/A,FALSE,"Rat2";#N/A,#N/A,FALSE,"IFP";#N/A,#N/A,FALSE,"Anexo"}</definedName>
    <definedName name="qazaqaa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azaqa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IWUE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IWUE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OAIWKSUIE" localSheetId="14" hidden="1">{#N/A,#N/A,FALSE,"Min compar us";#N/A,#N/A,FALSE,"Min US Equité ";#N/A,#N/A,FALSE,"Analyse U.S."}</definedName>
    <definedName name="QOAIWKSUIE" hidden="1">{#N/A,#N/A,FALSE,"Min compar us";#N/A,#N/A,FALSE,"Min US Equité ";#N/A,#N/A,FALSE,"Analyse U.S."}</definedName>
    <definedName name="QPPPP" localSheetId="14" hidden="1">{#N/A,#N/A,FALSE,"Adm comp";#N/A,#N/A,FALSE,"Adm ajust";"adm",#N/A,FALSE,"Administration";#N/A,#N/A,FALSE,"Adm Bgt 97 vs Prév. 96";#N/A,#N/A,FALSE,"Adm Bgt 97 vs 96"}</definedName>
    <definedName name="QPPPP" hidden="1">{#N/A,#N/A,FALSE,"Adm comp";#N/A,#N/A,FALSE,"Adm ajust";"adm",#N/A,FALSE,"Administration";#N/A,#N/A,FALSE,"Adm Bgt 97 vs Prév. 96";#N/A,#N/A,FALSE,"Adm Bgt 97 vs 96"}</definedName>
    <definedName name="QPWOEIRUT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PWOEIRU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" hidden="1">{"ed1",#N/A,TRUE,"E-D";"ed2",#N/A,TRUE,"E-D"}</definedName>
    <definedName name="qqqq" localSheetId="14" hidden="1">{#N/A,#N/A,FALSE,"Adm comp";#N/A,#N/A,FALSE,"Adm ajust";"adm",#N/A,FALSE,"Administration";#N/A,#N/A,FALSE,"Adm Bgt 97 vs Prév. 96";#N/A,#N/A,FALSE,"Adm Bgt 97 vs 96"}</definedName>
    <definedName name="qqqq" hidden="1">{#N/A,#N/A,FALSE,"Adm comp";#N/A,#N/A,FALSE,"Adm ajust";"adm",#N/A,FALSE,"Administration";#N/A,#N/A,FALSE,"Adm Bgt 97 vs Prév. 96";#N/A,#N/A,FALSE,"Adm Bgt 97 vs 96"}</definedName>
    <definedName name="qqqqqq" localSheetId="14" hidden="1">{#N/A,#N/A,FALSE,"Min compar us";#N/A,#N/A,FALSE,"Min US Equité ";#N/A,#N/A,FALSE,"Analyse U.S."}</definedName>
    <definedName name="qqqqqq" hidden="1">{#N/A,#N/A,FALSE,"Min compar us";#N/A,#N/A,FALSE,"Min US Equité ";#N/A,#N/A,FALSE,"Analyse U.S."}</definedName>
    <definedName name="qqqqqqqqqqqqqqqq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qqqqqqqqqqqqqq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re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sdddd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ssdddd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uarterly" hidden="1">{"CF",#N/A,FALSE,"Cash Flow";"RET",#N/A,FALSE,"Returns";"NPV",#N/A,FALSE,"Values";"ASMPT",#N/A,FALSE,"Assumptions"}</definedName>
    <definedName name="QUERY1.keep_password" hidden="1">TRUE</definedName>
    <definedName name="QUERY1.query_connection" hidden="1">{"Driver={Microsoft Visual FoxPro Driver};UID=;PWD=;SourceDB=g:\prop;SourceType=DBF;Exclusive=No;BackgroundFetch=No;Collate=Machine;Null=Yes;Deleted=Yes;"}</definedName>
    <definedName name="QUERY1.query_definition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options" hidden="1">{TRUE;FALSE}</definedName>
    <definedName name="QUERY1.query_statement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2.keep_password" hidden="1">TRUE</definedName>
    <definedName name="QUERY2.query_connection" hidden="1">{"Driver={Microsoft Visual FoxPro Driver};UID=;PWD=;SourceDB=P:\PROP\HUN\DATA;SourceType=DBF;Exclusive=No;BackgroundFetch=No;Collate=Machine;Null=Yes;Deleted=Yes;"}</definedName>
    <definedName name="QUERY2.query_definition" hidden="1">{"SELECT property.name, ALLTRIM(property.city)+', '+property.state, property.numunits
FROM property property"}</definedName>
    <definedName name="QUERY2.query_options" hidden="1">{TRUE;FALSE}</definedName>
    <definedName name="QUERY2.query_statement" hidden="1">{"SELECT property.name, ALLTRIM(property.city)+', '+property.state, property.numunits
FROM property property"}</definedName>
    <definedName name="QUERY3.keep_password" hidden="1">TRUE</definedName>
    <definedName name="QUERY3.query_connection" hidden="1">{"Driver={Microsoft Visual FoxPro Driver};UID=;PWD=;SourceDB=g:\prop;SourceType=DBF;Exclusive=No;BackgroundFetch=No;Collate=Machine;Null=Yes;Deleted=Yes;"}</definedName>
    <definedName name="QUERY3.query_definition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options" hidden="1">{TRUE;FALSE}</definedName>
    <definedName name="QUERY3.query_statement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4.keep_password" hidden="1">TRUE</definedName>
    <definedName name="QUERY4.query_connection" hidden="1">{"Driver={Microsoft Visual FoxPro Driver};UID=;PWD=;SourceDB=g:\prop;SourceType=DBF;Exclusive=No;BackgroundFetch=No;Collate=Machine;Null=Yes;Deleted=Yes;"}</definedName>
    <definedName name="QUERY4.query_definition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options" hidden="1">{TRUE;FALSE}</definedName>
    <definedName name="QUERY4.query_statement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5.keep_password" hidden="1">TRUE</definedName>
    <definedName name="QUERY5.query_connection" hidden="1">{"Driver={Microsoft Visual FoxPro Driver};UID=;PWD=;SourceDB=P:\PROP\ANN\DATA;SourceType=DBF;Exclusive=No;BackgroundFetch=No;Collate=Machine;Null=Yes;Deleted=Yes;"}</definedName>
    <definedName name="QUERY5.query_definition" hidden="1">{"SELECT property.name, ALLTRIM(property.city)+', '+property.state, property.numunits
FROM property property"}</definedName>
    <definedName name="QUERY5.query_options" hidden="1">{TRUE;FALSE}</definedName>
    <definedName name="QUERY5.query_statement" hidden="1">{"SELECT property.name, ALLTRIM(property.city)+', '+property.state, property.numunits
FROM property property"}</definedName>
    <definedName name="QUERY6.keep_password" hidden="1">TRUE</definedName>
    <definedName name="QUERY6.query_connection" hidden="1">{"Driver={Microsoft Visual FoxPro Driver};UID=;PWD=;SourceDB=G:\PROP;SourceType=DBF;Exclusive=No;BackgroundFetch=No;Collate=Machine;Null=Yes;Deleted=Yes;"}</definedName>
    <definedName name="QUERY6.query_definition" hidden="1">{"SELECT * FROM ANNTURN a WHERE (a.prop='ANN')
ORDER BY a.year"}</definedName>
    <definedName name="QUERY6.query_options" hidden="1">{FALSE;FALSE}</definedName>
    <definedName name="QUERY6.query_statement" hidden="1">{"SELECT * FROM ANNTURN a WHERE (a.prop='ANN')
ORDER BY a.year"}</definedName>
    <definedName name="qw" localSheetId="14" hidden="1">{"FCB_ALL",#N/A,FALSE,"FCB";"GREY_ALL",#N/A,FALSE,"GREY"}</definedName>
    <definedName name="qw" hidden="1">{"FCB_ALL",#N/A,FALSE,"FCB";"GREY_ALL",#N/A,FALSE,"GREY"}</definedName>
    <definedName name="QWE" localSheetId="14" hidden="1">{#N/A,#N/A,FALSE,"Min compar us";#N/A,#N/A,FALSE,"Min US Equité ";#N/A,#N/A,FALSE,"Analyse U.S."}</definedName>
    <definedName name="QWE" hidden="1">{#N/A,#N/A,FALSE,"Min compar us";#N/A,#N/A,FALSE,"Min US Equité ";#N/A,#N/A,FALSE,"Analyse U.S."}</definedName>
    <definedName name="qwert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OISD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OISD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QWQ" localSheetId="14" hidden="1">{#N/A,#N/A,FALSE,"Min compa cad";#N/A,#N/A,FALSE,"Min CAN Equité ";#N/A,#N/A,FALSE,"Analyse can"}</definedName>
    <definedName name="QWQWQ" hidden="1">{#N/A,#N/A,FALSE,"Min compa cad";#N/A,#N/A,FALSE,"Min CAN Equité ";#N/A,#N/A,FALSE,"Analyse can"}</definedName>
    <definedName name="QWSXC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WSXC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r.CashFlow" hidden="1">#REF!</definedName>
    <definedName name="r.Leverage" localSheetId="16" hidden="1">#REF!</definedName>
    <definedName name="r.Leverage" hidden="1">#REF!</definedName>
    <definedName name="r.Liquidity" localSheetId="16" hidden="1">#REF!</definedName>
    <definedName name="r.Liquidity" hidden="1">#REF!</definedName>
    <definedName name="r.Market" localSheetId="16" hidden="1">#REF!</definedName>
    <definedName name="r.Market" hidden="1">#REF!</definedName>
    <definedName name="r.Profitability" localSheetId="16" hidden="1">#REF!</definedName>
    <definedName name="r.Profitability" hidden="1">#REF!</definedName>
    <definedName name="r.Summary" localSheetId="16" hidden="1">#REF!</definedName>
    <definedName name="r.Summary" hidden="1">#REF!</definedName>
    <definedName name="Range_Architecture">OFFSET(#REF!,0,0,1,PermDebt_Funding_Month)</definedName>
    <definedName name="Range_Carry">OFFSET(#REF!,0,0,1,PermDebt_Funding_Month)</definedName>
    <definedName name="Range_CFO">OFFSET(#REF!,0,0,1,#REF!)</definedName>
    <definedName name="Range_Construction">OFFSET(#REF!,0,0,1,PermDebt_Funding_Month)</definedName>
    <definedName name="Range_Cumulative_Spent">OFFSET(#REF!,,,1,PermDebt_Funding_Month)</definedName>
    <definedName name="Range_Dates">OFFSET(#REF!,0,0,1,PermDebt_Funding_Month)</definedName>
    <definedName name="Range_Dates_Monthly">"OFFSET($F$53,,,1,Analysis_End_Month+1)"</definedName>
    <definedName name="Range_Equity_Draws">OFFSET(#REF!,0,0,1,PermDebt_Funding_Month)</definedName>
    <definedName name="Range_FFE">OFFSET(#REF!,0,0,1,PermDebt_Funding_Month)</definedName>
    <definedName name="Range_Interest_Fees">OFFSET(#REF!,0,0,1,PermDebt_Funding_Month)</definedName>
    <definedName name="Range_Land">OFFSET(#REF!,0,0,1,PermDebt_Funding_Month)</definedName>
    <definedName name="Range_Loan_Draws_NoInt">OFFSET(#REF!,0,0,1,PermDebt_Funding_Month)</definedName>
    <definedName name="Range_NOI">OFFSET(#REF!,0,0,1,#REF!)</definedName>
    <definedName name="Range_NRA_Cum_Expired">OFFSET(#REF!,0,0,1,#REF!)</definedName>
    <definedName name="Range_NRA_Expiring">OFFSET(#REF!,0,0,1,#REF!)</definedName>
    <definedName name="Range_NRA_Previously_Expired">OFFSET(#REF!,0,0,1,#REF!)</definedName>
    <definedName name="Range_OpShortfall">OFFSET(#REF!,0,0,1,PermDebt_Funding_Month)</definedName>
    <definedName name="Range_Other">OFFSET(#REF!,0,0,1,PermDebt_Funding_Month)</definedName>
    <definedName name="Range_PivotTable_Tenancy_Data">OFFSET(#REF!,0,0,COUNT(#REF!)+1,7)</definedName>
    <definedName name="Range_Property_Value">OFFSET(#REF!,0,0,1,MAX(#REF!))</definedName>
    <definedName name="Range_Soft">OFFSET(#REF!,0,0,1,PermDebt_Funding_Month)</definedName>
    <definedName name="Range_TI">OFFSET(#REF!,0,0,1,PermDebt_Funding_Month)</definedName>
    <definedName name="RCIII" hidden="1">{"ba1",#N/A,TRUE,"B-A";"ba2",#N/A,TRUE,"B-A"}</definedName>
    <definedName name="re" localSheetId="16" hidden="1">#REF!</definedName>
    <definedName name="re" hidden="1">#REF!</definedName>
    <definedName name="READ" hidden="1">FALSE</definedName>
    <definedName name="redo" localSheetId="14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finance_Funding_Month">#REF!</definedName>
    <definedName name="Refinance_True?">#REF!</definedName>
    <definedName name="reforma" localSheetId="14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forma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IWU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IW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lat" localSheetId="14" hidden="1">{#N/A,#N/A,FALSE,"CONTROLE";#N/A,#N/A,FALSE,"CONTROLE"}</definedName>
    <definedName name="Relat" hidden="1">{#N/A,#N/A,FALSE,"CONTROLE";#N/A,#N/A,FALSE,"CONTROLE"}</definedName>
    <definedName name="renat" localSheetId="14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nat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port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erve">#N/A</definedName>
    <definedName name="Residu" hidden="1">{#N/A,#N/A,TRUE,"Summary";"AnnualRentRoll",#N/A,TRUE,"RentRoll";#N/A,#N/A,TRUE,"ExitStratigy";#N/A,#N/A,TRUE,"OperatingAssumptions"}</definedName>
    <definedName name="Residual_End_Date">#REF!</definedName>
    <definedName name="Residual_End_Month">#REF!</definedName>
    <definedName name="Residual_Land_Analysis_On?">#REF!</definedName>
    <definedName name="Reversion_Year">#REF!</definedName>
    <definedName name="rf" hidden="1">{#N/A,#N/A,FALSE,"CF Yr3";#N/A,#N/A,FALSE,"Rent Roll";#N/A,#N/A,FALSE,"Rent Yr3";#N/A,#N/A,FALSE,"Occ Yr3";#N/A,#N/A,FALSE,"TI+Com Yr3";#N/A,#N/A,FALSE,"OER Yr3";#N/A,#N/A,FALSE,"OE Yr3"}</definedName>
    <definedName name="rfkdjfd" localSheetId="14" hidden="1">{#N/A,#N/A,FALSE,"Min compa cad";#N/A,#N/A,FALSE,"Min CAN Equité ";#N/A,#N/A,FALSE,"Analyse can"}</definedName>
    <definedName name="rfkdjfd" hidden="1">{#N/A,#N/A,FALSE,"Min compa cad";#N/A,#N/A,FALSE,"Min CAN Equité ";#N/A,#N/A,FALSE,"Analyse can"}</definedName>
    <definedName name="RGB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hfrhhjtyjfyjtj" localSheetId="14" hidden="1">{#N/A,#N/A,FALSE,"Centres";#N/A,#N/A,FALSE,"Partenariats";#N/A,#N/A,FALSE,"P.Diverses";#N/A,#N/A,FALSE,"Adm";#N/A,#N/A,FALSE,"Autres R-D";#N/A,#N/A,FALSE,"Intérêts"}</definedName>
    <definedName name="rghfrhhjtyjfyjtj" hidden="1">{#N/A,#N/A,FALSE,"Centres";#N/A,#N/A,FALSE,"Partenariats";#N/A,#N/A,FALSE,"P.Diverses";#N/A,#N/A,FALSE,"Adm";#N/A,#N/A,FALSE,"Autres R-D";#N/A,#N/A,FALSE,"Intérêts"}</definedName>
    <definedName name="RLAINPUT_DebtLoan1Funding" hidden="1">#REF!,#REF!,#REF!</definedName>
    <definedName name="RLAINPUT_DebtLoan2Funding" hidden="1">#REF!,#REF!,#REF!</definedName>
    <definedName name="RLAINPUT_DebtLoan3Funding" hidden="1">#REF!,#REF!,#REF!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Loan3Refi" hidden="1">#REF!,#REF!,#REF!</definedName>
    <definedName name="Roof" hidden="1">{"Roofs Page 1",#N/A,FALSE,"Roof Outline";"Roofs Page 2",#N/A,FALSE,"Roof Outline"}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eparaturen" localSheetId="14" hidden="1">#REF!</definedName>
    <definedName name="Rreparaturen" localSheetId="16" hidden="1">#REF!</definedName>
    <definedName name="Rreparaturen" hidden="1">#REF!</definedName>
    <definedName name="rrr" localSheetId="14" hidden="1">{#N/A,#N/A,FALSE,"ExecutiveSummary";#N/A,#N/A,FALSE,"CostDetail";#N/A,#N/A,FALSE,"IncomeDetail"}</definedName>
    <definedName name="rrr" hidden="1">{#N/A,#N/A,FALSE,"ExecutiveSummary";#N/A,#N/A,FALSE,"CostDetail";#N/A,#N/A,FALSE,"IncomeDetail"}</definedName>
    <definedName name="rrrr" localSheetId="14" hidden="1">{#N/A,#N/A,FALSE,"Adm comp";#N/A,#N/A,FALSE,"Adm ajust";"adm",#N/A,FALSE,"Administration";#N/A,#N/A,FALSE,"Adm Bgt 97 vs Prév. 96";#N/A,#N/A,FALSE,"Adm Bgt 97 vs 96"}</definedName>
    <definedName name="rrrr" hidden="1">{#N/A,#N/A,FALSE,"Adm comp";#N/A,#N/A,FALSE,"Adm ajust";"adm",#N/A,FALSE,"Administration";#N/A,#N/A,FALSE,"Adm Bgt 97 vs Prév. 96";#N/A,#N/A,FALSE,"Adm Bgt 97 vs 96"}</definedName>
    <definedName name="RRRRR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r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rrrr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" localSheetId="14" hidden="1">{"inputs raw data",#N/A,TRUE,"INPUT"}</definedName>
    <definedName name="rt" hidden="1">{"inputs raw data",#N/A,TRUE,"INPUT"}</definedName>
    <definedName name="rtrhtrhtrhtrhtr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htrhtrhtrhtr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TR" localSheetId="14" hidden="1">{#N/A,#N/A,FALSE,"Min compar us";#N/A,#N/A,FALSE,"Min US Equité ";#N/A,#N/A,FALSE,"Analyse U.S."}</definedName>
    <definedName name="RTRTR" hidden="1">{#N/A,#N/A,FALSE,"Min compar us";#N/A,#N/A,FALSE,"Min US Equité ";#N/A,#N/A,FALSE,"Analyse U.S."}</definedName>
    <definedName name="rtyuiop" localSheetId="14" hidden="1">{#N/A,#N/A,FALSE,"Min compar us";#N/A,#N/A,FALSE,"Min US Equité ";#N/A,#N/A,FALSE,"Analyse U.S."}</definedName>
    <definedName name="rtyuiop" hidden="1">{#N/A,#N/A,FALSE,"Min compar us";#N/A,#N/A,FALSE,"Min US Equité ";#N/A,#N/A,FALSE,"Analyse U.S."}</definedName>
    <definedName name="rw" localSheetId="14" hidden="1">{#N/A,#N/A,FALSE,"Adm comp";#N/A,#N/A,FALSE,"Adm ajust";"adm",#N/A,FALSE,"Administration";#N/A,#N/A,FALSE,"Adm Bgt 97 vs Prév. 96";#N/A,#N/A,FALSE,"Adm Bgt 97 vs 96"}</definedName>
    <definedName name="rw" hidden="1">{#N/A,#N/A,FALSE,"Adm comp";#N/A,#N/A,FALSE,"Adm ajust";"adm",#N/A,FALSE,"Administration";#N/A,#N/A,FALSE,"Adm Bgt 97 vs Prév. 96";#N/A,#N/A,FALSE,"Adm Bgt 97 vs 96"}</definedName>
    <definedName name="Rwvu.ALL." hidden="1">#REF!,#REF!</definedName>
    <definedName name="Rwvu.CAM._.RECOVERIES." localSheetId="16" hidden="1">#REF!,#REF!,#REF!</definedName>
    <definedName name="Rwvu.CAM._.RECOVERIES." hidden="1">#REF!,#REF!,#REF!</definedName>
    <definedName name="Rwvu.CAM._.TABLE." localSheetId="16" hidden="1">#REF!,#REF!,#REF!</definedName>
    <definedName name="Rwvu.CAM._.TABLE." hidden="1">#REF!,#REF!,#REF!</definedName>
    <definedName name="Rwvu.INSURANCE._.RECOVERIES." localSheetId="16" hidden="1">#REF!,#REF!,#REF!,#REF!</definedName>
    <definedName name="Rwvu.INSURANCE._.RECOVERIES." hidden="1">#REF!,#REF!,#REF!,#REF!</definedName>
    <definedName name="Rwvu.MINIMUM._.RENT." localSheetId="16" hidden="1">#REF!,#REF!</definedName>
    <definedName name="Rwvu.MINIMUM._.RENT." hidden="1">#REF!,#REF!</definedName>
    <definedName name="Rwvu.OCCUPANCY._.ANALYSIS." localSheetId="16" hidden="1">#REF!,#REF!,#REF!</definedName>
    <definedName name="Rwvu.OCCUPANCY._.ANALYSIS." hidden="1">#REF!,#REF!,#REF!</definedName>
    <definedName name="Rwvu.PERCENTAGE._.RENT." localSheetId="16" hidden="1">#REF!,#REF!,#REF!</definedName>
    <definedName name="Rwvu.PERCENTAGE._.RENT." hidden="1">#REF!,#REF!,#REF!</definedName>
    <definedName name="Rwvu.TAX._.RECOVERIES." localSheetId="16" hidden="1">#REF!,#REF!,#REF!,#REF!</definedName>
    <definedName name="Rwvu.TAX._.RECOVERIES." hidden="1">#REF!,#REF!,#REF!,#REF!</definedName>
    <definedName name="Rwvu.WAT." localSheetId="16" hidden="1">#REF!</definedName>
    <definedName name="Rwvu.WAT." hidden="1">#REF!</definedName>
    <definedName name="s" hidden="1">{#N/A,#N/A,FALSE,"Internal";#N/A,#N/A,FALSE,"CLOSING-EXT";#N/A,#N/A,FALSE,"GAIN-LOSS"}</definedName>
    <definedName name="sa" localSheetId="14" hidden="1">{"cap_structure",#N/A,FALSE,"Graph-Mkt Cap";"price",#N/A,FALSE,"Graph-Price";"ebit",#N/A,FALSE,"Graph-EBITDA";"ebitda",#N/A,FALSE,"Graph-EBITDA"}</definedName>
    <definedName name="sa" hidden="1">{"cap_structure",#N/A,FALSE,"Graph-Mkt Cap";"price",#N/A,FALSE,"Graph-Price";"ebit",#N/A,FALSE,"Graph-EBITDA";"ebitda",#N/A,FALSE,"Graph-EBITDA"}</definedName>
    <definedName name="saa" hidden="1">{"rtn",#N/A,FALSE,"RTN";"tables",#N/A,FALSE,"RTN";"cf",#N/A,FALSE,"CF";"stats",#N/A,FALSE,"Stats";"prop",#N/A,FALSE,"Prop"}</definedName>
    <definedName name="sadd" hidden="1">{"MonthlyRentRoll",#N/A,FALSE,"RentRoll"}</definedName>
    <definedName name="sadd1" hidden="1">{"MonthlyRentRoll",#N/A,FALSE,"RentRoll"}</definedName>
    <definedName name="sadd2" hidden="1">{"MonthlyRentRoll",#N/A,FALSE,"RentRoll"}</definedName>
    <definedName name="sadd22" hidden="1">{"MonthlyRentRoll",#N/A,FALSE,"RentRoll"}</definedName>
    <definedName name="saddd" hidden="1">{"AnnualRentRoll",#N/A,FALSE,"RentRoll"}</definedName>
    <definedName name="saddd2" hidden="1">{"AnnualRentRoll",#N/A,FALSE,"RentRoll"}</definedName>
    <definedName name="sadddd2" hidden="1">{"AnnualRentRoll",#N/A,FALSE,"RentRoll"}</definedName>
    <definedName name="saddddd" hidden="1">{"AnnualRentRoll",#N/A,FALSE,"RentRoll"}</definedName>
    <definedName name="saddddddd2" hidden="1">{#N/A,#N/A,FALSE,"ExitStratigy"}</definedName>
    <definedName name="sadddddddd" hidden="1">{#N/A,#N/A,FALSE,"ExitStratigy"}</definedName>
    <definedName name="saddddddddd2" hidden="1">{#N/A,#N/A,FALSE,"LoanAssumptions"}</definedName>
    <definedName name="sadddddddddd" hidden="1">{#N/A,#N/A,FALSE,"LoanAssumptions"}</definedName>
    <definedName name="saddddddddddd2" hidden="1">{#N/A,#N/A,FALSE,"OperatingAssumptions"}</definedName>
    <definedName name="saddddddddddddd" hidden="1">{#N/A,#N/A,FALSE,"OperatingAssumptions"}</definedName>
    <definedName name="sadsadsa" localSheetId="14" hidden="1">{"'Assump'!$F$6:$J$6"}</definedName>
    <definedName name="sadsadsa" hidden="1">{"'Assump'!$F$6:$J$6"}</definedName>
    <definedName name="SADSADSADSA" localSheetId="14" hidden="1">{#N/A,#N/A,FALSE,"CONTROLE"}</definedName>
    <definedName name="SADSADSADSA" hidden="1">{#N/A,#N/A,FALSE,"CONTROLE"}</definedName>
    <definedName name="sagf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ary">#N/A</definedName>
    <definedName name="Sales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SANDER" localSheetId="14" hidden="1">{#N/A,#N/A,FALSE,"A";#N/A,#N/A,FALSE,"C"}</definedName>
    <definedName name="SANDER" hidden="1">{#N/A,#N/A,FALSE,"A";#N/A,#N/A,FALSE,"C"}</definedName>
    <definedName name="sandra" hidden="1">{#N/A,#N/A,FALSE,"RENT ROLL"}</definedName>
    <definedName name="sand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SAPBEXdnldView" hidden="1">"3SK7F7OFPP13FE31LWSFONY3P"</definedName>
    <definedName name="SAPBEXrevision" hidden="1">3</definedName>
    <definedName name="SAPBEXsysID" hidden="1">"B01"</definedName>
    <definedName name="SAPBEXwbID" hidden="1">"1OKLBDAAGJ3NPBUSNNGRFDKQH"</definedName>
    <definedName name="sas" hidden="1">{"Outflow 1",#N/A,FALSE,"Outflows-Inflows";"Outflow 2",#N/A,FALSE,"Outflows-Inflows";"Inflow 1",#N/A,FALSE,"Outflows-Inflows";"Inflow 2",#N/A,FALSE,"Outflows-Inflows"}</definedName>
    <definedName name="Scurve_dist">#REF!</definedName>
    <definedName name="sd" localSheetId="14" hidden="1">{#N/A,#N/A,FALSE,"Adm comp";#N/A,#N/A,FALSE,"Adm ajust";"adm",#N/A,FALSE,"Administration";#N/A,#N/A,FALSE,"Adm Bgt 97 vs Prév. 96";#N/A,#N/A,FALSE,"Adm Bgt 97 vs 96"}</definedName>
    <definedName name="sd" hidden="1">{#N/A,#N/A,FALSE,"Adm comp";#N/A,#N/A,FALSE,"Adm ajust";"adm",#N/A,FALSE,"Administration";#N/A,#N/A,FALSE,"Adm Bgt 97 vs Prév. 96";#N/A,#N/A,FALSE,"Adm Bgt 97 vs 96"}</definedName>
    <definedName name="SD_1x1_11x1_3_G_9003" hidden="1">#REF!</definedName>
    <definedName name="SD_1x1_2_G_0" hidden="1">#REF!</definedName>
    <definedName name="SD_1x1_3_G_0" hidden="1">#REF!</definedName>
    <definedName name="SD_1x1_62_G_0" hidden="1">#REF!</definedName>
    <definedName name="SD_1x1_6x1_1_B_9000" hidden="1">#REF!</definedName>
    <definedName name="SD_1x1_6x1_10_B_20" hidden="1">#REF!</definedName>
    <definedName name="SD_1x1_6x1_11_B_0" hidden="1">#REF!</definedName>
    <definedName name="SD_1x1_6x1_12_B_0" hidden="1">#REF!</definedName>
    <definedName name="SD_1x1_6x1_13_B_0" hidden="1">#REF!</definedName>
    <definedName name="SD_1x1_6x1_14_B_0" hidden="1">#REF!</definedName>
    <definedName name="SD_1x1_6x1_15_B_0" hidden="1">#REF!</definedName>
    <definedName name="SD_1x1_6x1_16_B_0" hidden="1">#REF!</definedName>
    <definedName name="SD_1x1_6x1_17_B_0" hidden="1">#REF!</definedName>
    <definedName name="SD_1x1_6x1_18_B_0" hidden="1">#REF!</definedName>
    <definedName name="SD_1x1_6x1_19_B_0" hidden="1">#REF!</definedName>
    <definedName name="SD_1x1_6x1_20_B_0" hidden="1">#REF!</definedName>
    <definedName name="SD_1x1_6x1_21_B_0" hidden="1">#REF!</definedName>
    <definedName name="SD_1x1_6x1_22_B_0" hidden="1">#REF!</definedName>
    <definedName name="SD_1x1_6x1_25_B_0" hidden="1">#REF!</definedName>
    <definedName name="SD_1x1_6x1_3_B_0" hidden="1">#REF!</definedName>
    <definedName name="SD_1x1_6x1_4_B_0" hidden="1">#REF!</definedName>
    <definedName name="SD_1x1_6x1_5_B_0" hidden="1">#REF!</definedName>
    <definedName name="SD_1x1_6x1_6_B_0" hidden="1">#REF!</definedName>
    <definedName name="SD_1x1_6x1_7_B_14" hidden="1">#REF!</definedName>
    <definedName name="SD_1x1_6x1_8_B_11" hidden="1">#REF!</definedName>
    <definedName name="SD_1x1_6x1_9_B_0" hidden="1">#REF!</definedName>
    <definedName name="SD_1x1_6x10_1_B_9000" hidden="1">#REF!</definedName>
    <definedName name="SD_1x1_6x10_10_B_20" hidden="1">#REF!</definedName>
    <definedName name="SD_1x1_6x10_11_B_0" hidden="1">#REF!</definedName>
    <definedName name="SD_1x1_6x10_12_B_0" hidden="1">#REF!</definedName>
    <definedName name="SD_1x1_6x10_13_B_0" hidden="1">#REF!</definedName>
    <definedName name="SD_1x1_6x10_14_B_0" hidden="1">#REF!</definedName>
    <definedName name="SD_1x1_6x10_15_B_0" hidden="1">#REF!</definedName>
    <definedName name="SD_1x1_6x10_16_B_0" hidden="1">#REF!</definedName>
    <definedName name="SD_1x1_6x10_17_B_0" hidden="1">#REF!</definedName>
    <definedName name="SD_1x1_6x10_18_B_0" hidden="1">#REF!</definedName>
    <definedName name="SD_1x1_6x10_19_B_0" hidden="1">#REF!</definedName>
    <definedName name="SD_1x1_6x10_20_B_0" hidden="1">#REF!</definedName>
    <definedName name="SD_1x1_6x10_21_B_0" hidden="1">#REF!</definedName>
    <definedName name="SD_1x1_6x10_22_B_0" hidden="1">#REF!</definedName>
    <definedName name="SD_1x1_6x10_25_B_0" hidden="1">#REF!</definedName>
    <definedName name="SD_1x1_6x10_3_B_0" hidden="1">#REF!</definedName>
    <definedName name="SD_1x1_6x10_4_B_0" hidden="1">#REF!</definedName>
    <definedName name="SD_1x1_6x10_5_B_0" hidden="1">#REF!</definedName>
    <definedName name="SD_1x1_6x10_6_B_0" hidden="1">#REF!</definedName>
    <definedName name="SD_1x1_6x10_7_B_14" hidden="1">#REF!</definedName>
    <definedName name="SD_1x1_6x10_8_B_11" hidden="1">#REF!</definedName>
    <definedName name="SD_1x1_6x10_9_B_0" hidden="1">#REF!</definedName>
    <definedName name="SD_1x1_6x11_1_B_9000" hidden="1">#REF!</definedName>
    <definedName name="SD_1x1_6x11_10_B_20" hidden="1">#REF!</definedName>
    <definedName name="SD_1x1_6x11_11_B_0" hidden="1">#REF!</definedName>
    <definedName name="SD_1x1_6x11_12_B_0" hidden="1">#REF!</definedName>
    <definedName name="SD_1x1_6x11_13_B_0" hidden="1">#REF!</definedName>
    <definedName name="SD_1x1_6x11_14_B_0" hidden="1">#REF!</definedName>
    <definedName name="SD_1x1_6x11_15_B_0" hidden="1">#REF!</definedName>
    <definedName name="SD_1x1_6x11_16_B_0" hidden="1">#REF!</definedName>
    <definedName name="SD_1x1_6x11_17_B_0" hidden="1">#REF!</definedName>
    <definedName name="SD_1x1_6x11_18_B_0" hidden="1">#REF!</definedName>
    <definedName name="SD_1x1_6x11_19_B_0" hidden="1">#REF!</definedName>
    <definedName name="SD_1x1_6x11_20_B_0" hidden="1">#REF!</definedName>
    <definedName name="SD_1x1_6x11_21_B_0" hidden="1">#REF!</definedName>
    <definedName name="SD_1x1_6x11_22_B_0" hidden="1">#REF!</definedName>
    <definedName name="SD_1x1_6x11_25_B_0" hidden="1">#REF!</definedName>
    <definedName name="SD_1x1_6x11_3_B_0" hidden="1">#REF!</definedName>
    <definedName name="SD_1x1_6x11_4_B_0" hidden="1">#REF!</definedName>
    <definedName name="SD_1x1_6x11_5_B_0" hidden="1">#REF!</definedName>
    <definedName name="SD_1x1_6x11_6_B_0" hidden="1">#REF!</definedName>
    <definedName name="SD_1x1_6x11_7_B_14" hidden="1">#REF!</definedName>
    <definedName name="SD_1x1_6x11_8_B_11" hidden="1">#REF!</definedName>
    <definedName name="SD_1x1_6x11_9_B_0" hidden="1">#REF!</definedName>
    <definedName name="SD_1x1_6x12_1_B_9000" hidden="1">#REF!</definedName>
    <definedName name="SD_1x1_6x12_10_B_20" hidden="1">#REF!</definedName>
    <definedName name="SD_1x1_6x12_11_B_0" hidden="1">#REF!</definedName>
    <definedName name="SD_1x1_6x12_12_B_0" hidden="1">#REF!</definedName>
    <definedName name="SD_1x1_6x12_13_B_0" hidden="1">#REF!</definedName>
    <definedName name="SD_1x1_6x12_14_B_0" hidden="1">#REF!</definedName>
    <definedName name="SD_1x1_6x12_15_B_0" hidden="1">#REF!</definedName>
    <definedName name="SD_1x1_6x12_16_B_0" hidden="1">#REF!</definedName>
    <definedName name="SD_1x1_6x12_17_B_0" hidden="1">#REF!</definedName>
    <definedName name="SD_1x1_6x12_18_B_0" hidden="1">#REF!</definedName>
    <definedName name="SD_1x1_6x12_19_B_0" hidden="1">#REF!</definedName>
    <definedName name="SD_1x1_6x12_20_B_0" hidden="1">#REF!</definedName>
    <definedName name="SD_1x1_6x12_21_B_0" hidden="1">#REF!</definedName>
    <definedName name="SD_1x1_6x12_22_B_0" hidden="1">#REF!</definedName>
    <definedName name="SD_1x1_6x12_25_B_0" hidden="1">#REF!</definedName>
    <definedName name="SD_1x1_6x12_3_B_0" hidden="1">#REF!</definedName>
    <definedName name="SD_1x1_6x12_4_B_0" hidden="1">#REF!</definedName>
    <definedName name="SD_1x1_6x12_5_B_0" hidden="1">#REF!</definedName>
    <definedName name="SD_1x1_6x12_6_B_0" hidden="1">#REF!</definedName>
    <definedName name="SD_1x1_6x12_7_B_14" hidden="1">#REF!</definedName>
    <definedName name="SD_1x1_6x12_8_B_11" hidden="1">#REF!</definedName>
    <definedName name="SD_1x1_6x12_9_B_0" hidden="1">#REF!</definedName>
    <definedName name="SD_1x1_6x13_1_B_9000" hidden="1">#REF!</definedName>
    <definedName name="SD_1x1_6x13_10_B_20" hidden="1">#REF!</definedName>
    <definedName name="SD_1x1_6x13_11_B_0" hidden="1">#REF!</definedName>
    <definedName name="SD_1x1_6x13_12_B_0" hidden="1">#REF!</definedName>
    <definedName name="SD_1x1_6x13_13_B_0" hidden="1">#REF!</definedName>
    <definedName name="SD_1x1_6x13_14_B_0" hidden="1">#REF!</definedName>
    <definedName name="SD_1x1_6x13_15_B_0" hidden="1">#REF!</definedName>
    <definedName name="SD_1x1_6x13_16_B_0" hidden="1">#REF!</definedName>
    <definedName name="SD_1x1_6x13_17_B_0" hidden="1">#REF!</definedName>
    <definedName name="SD_1x1_6x13_18_B_0" hidden="1">#REF!</definedName>
    <definedName name="SD_1x1_6x13_19_B_0" hidden="1">#REF!</definedName>
    <definedName name="SD_1x1_6x13_20_B_0" hidden="1">#REF!</definedName>
    <definedName name="SD_1x1_6x13_21_B_0" hidden="1">#REF!</definedName>
    <definedName name="SD_1x1_6x13_22_B_0" hidden="1">#REF!</definedName>
    <definedName name="SD_1x1_6x13_25_B_0" hidden="1">#REF!</definedName>
    <definedName name="SD_1x1_6x13_3_B_0" hidden="1">#REF!</definedName>
    <definedName name="SD_1x1_6x13_4_B_0" hidden="1">#REF!</definedName>
    <definedName name="SD_1x1_6x13_5_B_0" hidden="1">#REF!</definedName>
    <definedName name="SD_1x1_6x13_6_B_0" hidden="1">#REF!</definedName>
    <definedName name="SD_1x1_6x13_7_B_14" hidden="1">#REF!</definedName>
    <definedName name="SD_1x1_6x13_8_B_11" hidden="1">#REF!</definedName>
    <definedName name="SD_1x1_6x13_9_B_0" hidden="1">#REF!</definedName>
    <definedName name="SD_1x1_6x14_1_B_9000" hidden="1">#REF!</definedName>
    <definedName name="SD_1x1_6x14_10_B_20" hidden="1">#REF!</definedName>
    <definedName name="SD_1x1_6x14_11_B_0" hidden="1">#REF!</definedName>
    <definedName name="SD_1x1_6x14_12_B_0" hidden="1">#REF!</definedName>
    <definedName name="SD_1x1_6x14_13_B_0" hidden="1">#REF!</definedName>
    <definedName name="SD_1x1_6x14_14_B_0" hidden="1">#REF!</definedName>
    <definedName name="SD_1x1_6x14_15_B_0" hidden="1">#REF!</definedName>
    <definedName name="SD_1x1_6x14_16_B_0" hidden="1">#REF!</definedName>
    <definedName name="SD_1x1_6x14_17_B_0" hidden="1">#REF!</definedName>
    <definedName name="SD_1x1_6x14_18_B_0" hidden="1">#REF!</definedName>
    <definedName name="SD_1x1_6x14_19_B_0" hidden="1">#REF!</definedName>
    <definedName name="SD_1x1_6x14_20_B_0" hidden="1">#REF!</definedName>
    <definedName name="SD_1x1_6x14_21_B_0" hidden="1">#REF!</definedName>
    <definedName name="SD_1x1_6x14_22_B_0" hidden="1">#REF!</definedName>
    <definedName name="SD_1x1_6x14_25_B_0" hidden="1">#REF!</definedName>
    <definedName name="SD_1x1_6x14_3_B_0" hidden="1">#REF!</definedName>
    <definedName name="SD_1x1_6x14_4_B_0" hidden="1">#REF!</definedName>
    <definedName name="SD_1x1_6x14_5_B_0" hidden="1">#REF!</definedName>
    <definedName name="SD_1x1_6x14_6_B_0" hidden="1">#REF!</definedName>
    <definedName name="SD_1x1_6x14_7_B_14" hidden="1">#REF!</definedName>
    <definedName name="SD_1x1_6x14_8_B_11" hidden="1">#REF!</definedName>
    <definedName name="SD_1x1_6x14_9_B_0" hidden="1">#REF!</definedName>
    <definedName name="SD_1x1_6x15_1_B_9000" hidden="1">#REF!</definedName>
    <definedName name="SD_1x1_6x15_10_B_20" hidden="1">#REF!</definedName>
    <definedName name="SD_1x1_6x15_11_B_0" hidden="1">#REF!</definedName>
    <definedName name="SD_1x1_6x15_12_B_0" hidden="1">#REF!</definedName>
    <definedName name="SD_1x1_6x15_13_B_0" hidden="1">#REF!</definedName>
    <definedName name="SD_1x1_6x15_14_B_0" hidden="1">#REF!</definedName>
    <definedName name="SD_1x1_6x15_15_B_0" hidden="1">#REF!</definedName>
    <definedName name="SD_1x1_6x15_16_B_0" hidden="1">#REF!</definedName>
    <definedName name="SD_1x1_6x15_17_B_0" hidden="1">#REF!</definedName>
    <definedName name="SD_1x1_6x15_18_B_0" hidden="1">#REF!</definedName>
    <definedName name="SD_1x1_6x15_19_B_0" hidden="1">#REF!</definedName>
    <definedName name="SD_1x1_6x15_20_B_0" hidden="1">#REF!</definedName>
    <definedName name="SD_1x1_6x15_21_B_0" hidden="1">#REF!</definedName>
    <definedName name="SD_1x1_6x15_22_B_0" hidden="1">#REF!</definedName>
    <definedName name="SD_1x1_6x15_25_B_0" hidden="1">#REF!</definedName>
    <definedName name="SD_1x1_6x15_3_B_0" hidden="1">#REF!</definedName>
    <definedName name="SD_1x1_6x15_4_B_0" hidden="1">#REF!</definedName>
    <definedName name="SD_1x1_6x15_5_B_0" hidden="1">#REF!</definedName>
    <definedName name="SD_1x1_6x15_6_B_0" hidden="1">#REF!</definedName>
    <definedName name="SD_1x1_6x15_7_B_14" hidden="1">#REF!</definedName>
    <definedName name="SD_1x1_6x15_8_B_11" hidden="1">#REF!</definedName>
    <definedName name="SD_1x1_6x15_9_B_0" hidden="1">#REF!</definedName>
    <definedName name="SD_1x1_6x2_1_B_9000" hidden="1">#REF!</definedName>
    <definedName name="SD_1x1_6x2_10_B_20" hidden="1">#REF!</definedName>
    <definedName name="SD_1x1_6x2_11_B_0" hidden="1">#REF!</definedName>
    <definedName name="SD_1x1_6x2_12_B_0" hidden="1">#REF!</definedName>
    <definedName name="SD_1x1_6x2_13_B_0" hidden="1">#REF!</definedName>
    <definedName name="SD_1x1_6x2_14_B_0" hidden="1">#REF!</definedName>
    <definedName name="SD_1x1_6x2_15_B_0" hidden="1">#REF!</definedName>
    <definedName name="SD_1x1_6x2_16_B_0" hidden="1">#REF!</definedName>
    <definedName name="SD_1x1_6x2_17_B_0" hidden="1">#REF!</definedName>
    <definedName name="SD_1x1_6x2_18_B_0" hidden="1">#REF!</definedName>
    <definedName name="SD_1x1_6x2_19_B_0" hidden="1">#REF!</definedName>
    <definedName name="SD_1x1_6x2_20_B_0" hidden="1">#REF!</definedName>
    <definedName name="SD_1x1_6x2_21_B_0" hidden="1">#REF!</definedName>
    <definedName name="SD_1x1_6x2_22_B_0" hidden="1">#REF!</definedName>
    <definedName name="SD_1x1_6x2_25_B_0" hidden="1">#REF!</definedName>
    <definedName name="SD_1x1_6x2_3_B_0" hidden="1">#REF!</definedName>
    <definedName name="SD_1x1_6x2_4_B_0" hidden="1">#REF!</definedName>
    <definedName name="SD_1x1_6x2_5_B_0" hidden="1">#REF!</definedName>
    <definedName name="SD_1x1_6x2_6_B_0" hidden="1">#REF!</definedName>
    <definedName name="SD_1x1_6x2_7_B_14" hidden="1">#REF!</definedName>
    <definedName name="SD_1x1_6x2_8_B_11" hidden="1">#REF!</definedName>
    <definedName name="SD_1x1_6x2_9_B_0" hidden="1">#REF!</definedName>
    <definedName name="SD_1x1_6x3_1_B_9000" hidden="1">#REF!</definedName>
    <definedName name="SD_1x1_6x3_10_B_20" hidden="1">#REF!</definedName>
    <definedName name="SD_1x1_6x3_11_B_0" hidden="1">#REF!</definedName>
    <definedName name="SD_1x1_6x3_12_B_0" hidden="1">#REF!</definedName>
    <definedName name="SD_1x1_6x3_13_B_0" hidden="1">#REF!</definedName>
    <definedName name="SD_1x1_6x3_14_B_0" hidden="1">#REF!</definedName>
    <definedName name="SD_1x1_6x3_15_B_0" hidden="1">#REF!</definedName>
    <definedName name="SD_1x1_6x3_16_B_0" hidden="1">#REF!</definedName>
    <definedName name="SD_1x1_6x3_17_B_0" hidden="1">#REF!</definedName>
    <definedName name="SD_1x1_6x3_18_B_0" hidden="1">#REF!</definedName>
    <definedName name="SD_1x1_6x3_19_B_0" hidden="1">#REF!</definedName>
    <definedName name="SD_1x1_6x3_20_B_0" hidden="1">#REF!</definedName>
    <definedName name="SD_1x1_6x3_21_B_0" hidden="1">#REF!</definedName>
    <definedName name="SD_1x1_6x3_22_B_0" hidden="1">#REF!</definedName>
    <definedName name="SD_1x1_6x3_25_B_0" hidden="1">#REF!</definedName>
    <definedName name="SD_1x1_6x3_3_B_0" hidden="1">#REF!</definedName>
    <definedName name="SD_1x1_6x3_4_B_0" hidden="1">#REF!</definedName>
    <definedName name="SD_1x1_6x3_5_B_0" hidden="1">#REF!</definedName>
    <definedName name="SD_1x1_6x3_6_B_0" hidden="1">#REF!</definedName>
    <definedName name="SD_1x1_6x3_7_B_14" hidden="1">#REF!</definedName>
    <definedName name="SD_1x1_6x3_8_B_11" hidden="1">#REF!</definedName>
    <definedName name="SD_1x1_6x3_9_B_0" hidden="1">#REF!</definedName>
    <definedName name="SD_1x1_6x4_1_B_9000" hidden="1">#REF!</definedName>
    <definedName name="SD_1x1_6x4_10_B_20" hidden="1">#REF!</definedName>
    <definedName name="SD_1x1_6x4_11_B_0" hidden="1">#REF!</definedName>
    <definedName name="SD_1x1_6x4_12_B_0" hidden="1">#REF!</definedName>
    <definedName name="SD_1x1_6x4_13_B_0" hidden="1">#REF!</definedName>
    <definedName name="SD_1x1_6x4_14_B_0" hidden="1">#REF!</definedName>
    <definedName name="SD_1x1_6x4_15_B_0" hidden="1">#REF!</definedName>
    <definedName name="SD_1x1_6x4_16_B_0" hidden="1">#REF!</definedName>
    <definedName name="SD_1x1_6x4_17_B_0" hidden="1">#REF!</definedName>
    <definedName name="SD_1x1_6x4_18_B_0" hidden="1">#REF!</definedName>
    <definedName name="SD_1x1_6x4_19_B_0" hidden="1">#REF!</definedName>
    <definedName name="SD_1x1_6x4_20_B_0" hidden="1">#REF!</definedName>
    <definedName name="SD_1x1_6x4_21_B_0" hidden="1">#REF!</definedName>
    <definedName name="SD_1x1_6x4_22_B_0" hidden="1">#REF!</definedName>
    <definedName name="SD_1x1_6x4_25_B_0" hidden="1">#REF!</definedName>
    <definedName name="SD_1x1_6x4_3_B_0" hidden="1">#REF!</definedName>
    <definedName name="SD_1x1_6x4_4_B_0" hidden="1">#REF!</definedName>
    <definedName name="SD_1x1_6x4_5_B_0" hidden="1">#REF!</definedName>
    <definedName name="SD_1x1_6x4_6_B_0" hidden="1">#REF!</definedName>
    <definedName name="SD_1x1_6x4_7_B_14" hidden="1">#REF!</definedName>
    <definedName name="SD_1x1_6x4_8_B_11" hidden="1">#REF!</definedName>
    <definedName name="SD_1x1_6x4_9_B_0" hidden="1">#REF!</definedName>
    <definedName name="SD_1x1_6x5_1_B_9000" hidden="1">#REF!</definedName>
    <definedName name="SD_1x1_6x5_10_B_20" hidden="1">#REF!</definedName>
    <definedName name="SD_1x1_6x5_11_B_0" hidden="1">#REF!</definedName>
    <definedName name="SD_1x1_6x5_12_B_0" hidden="1">#REF!</definedName>
    <definedName name="SD_1x1_6x5_13_B_0" hidden="1">#REF!</definedName>
    <definedName name="SD_1x1_6x5_14_B_0" hidden="1">#REF!</definedName>
    <definedName name="SD_1x1_6x5_15_B_0" hidden="1">#REF!</definedName>
    <definedName name="SD_1x1_6x5_16_B_0" hidden="1">#REF!</definedName>
    <definedName name="SD_1x1_6x5_17_B_0" hidden="1">#REF!</definedName>
    <definedName name="SD_1x1_6x5_18_B_0" hidden="1">#REF!</definedName>
    <definedName name="SD_1x1_6x5_19_B_0" hidden="1">#REF!</definedName>
    <definedName name="SD_1x1_6x5_20_B_0" hidden="1">#REF!</definedName>
    <definedName name="SD_1x1_6x5_21_B_0" hidden="1">#REF!</definedName>
    <definedName name="SD_1x1_6x5_22_B_0" hidden="1">#REF!</definedName>
    <definedName name="SD_1x1_6x5_25_B_0" hidden="1">#REF!</definedName>
    <definedName name="SD_1x1_6x5_3_B_0" hidden="1">#REF!</definedName>
    <definedName name="SD_1x1_6x5_4_B_0" hidden="1">#REF!</definedName>
    <definedName name="SD_1x1_6x5_5_B_0" hidden="1">#REF!</definedName>
    <definedName name="SD_1x1_6x5_6_B_0" hidden="1">#REF!</definedName>
    <definedName name="SD_1x1_6x5_7_B_14" hidden="1">#REF!</definedName>
    <definedName name="SD_1x1_6x5_8_B_11" hidden="1">#REF!</definedName>
    <definedName name="SD_1x1_6x5_9_B_0" hidden="1">#REF!</definedName>
    <definedName name="SD_1x1_6x6_1_B_9000" hidden="1">#REF!</definedName>
    <definedName name="SD_1x1_6x6_10_B_20" hidden="1">#REF!</definedName>
    <definedName name="SD_1x1_6x6_11_B_0" hidden="1">#REF!</definedName>
    <definedName name="SD_1x1_6x6_12_B_0" hidden="1">#REF!</definedName>
    <definedName name="SD_1x1_6x6_13_B_0" hidden="1">#REF!</definedName>
    <definedName name="SD_1x1_6x6_14_B_0" hidden="1">#REF!</definedName>
    <definedName name="SD_1x1_6x6_15_B_0" hidden="1">#REF!</definedName>
    <definedName name="SD_1x1_6x6_16_B_0" hidden="1">#REF!</definedName>
    <definedName name="SD_1x1_6x6_17_B_0" hidden="1">#REF!</definedName>
    <definedName name="SD_1x1_6x6_18_B_0" hidden="1">#REF!</definedName>
    <definedName name="SD_1x1_6x6_19_B_0" hidden="1">#REF!</definedName>
    <definedName name="SD_1x1_6x6_20_B_0" hidden="1">#REF!</definedName>
    <definedName name="SD_1x1_6x6_21_B_0" hidden="1">#REF!</definedName>
    <definedName name="SD_1x1_6x6_22_B_0" hidden="1">#REF!</definedName>
    <definedName name="SD_1x1_6x6_25_B_0" hidden="1">#REF!</definedName>
    <definedName name="SD_1x1_6x6_3_B_0" hidden="1">#REF!</definedName>
    <definedName name="SD_1x1_6x6_4_B_0" hidden="1">#REF!</definedName>
    <definedName name="SD_1x1_6x6_5_B_0" hidden="1">#REF!</definedName>
    <definedName name="SD_1x1_6x6_6_B_0" hidden="1">#REF!</definedName>
    <definedName name="SD_1x1_6x6_7_B_14" hidden="1">#REF!</definedName>
    <definedName name="SD_1x1_6x6_8_B_11" hidden="1">#REF!</definedName>
    <definedName name="SD_1x1_6x6_9_B_0" hidden="1">#REF!</definedName>
    <definedName name="SD_1x1_6x7_1_B_9000" hidden="1">#REF!</definedName>
    <definedName name="SD_1x1_6x7_10_B_20" hidden="1">#REF!</definedName>
    <definedName name="SD_1x1_6x7_11_B_0" hidden="1">#REF!</definedName>
    <definedName name="SD_1x1_6x7_12_B_0" hidden="1">#REF!</definedName>
    <definedName name="SD_1x1_6x7_13_B_0" hidden="1">#REF!</definedName>
    <definedName name="SD_1x1_6x7_14_B_0" hidden="1">#REF!</definedName>
    <definedName name="SD_1x1_6x7_15_B_0" hidden="1">#REF!</definedName>
    <definedName name="SD_1x1_6x7_16_B_0" hidden="1">#REF!</definedName>
    <definedName name="SD_1x1_6x7_17_B_0" hidden="1">#REF!</definedName>
    <definedName name="SD_1x1_6x7_18_B_0" hidden="1">#REF!</definedName>
    <definedName name="SD_1x1_6x7_19_B_0" hidden="1">#REF!</definedName>
    <definedName name="SD_1x1_6x7_20_B_0" hidden="1">#REF!</definedName>
    <definedName name="SD_1x1_6x7_21_B_0" hidden="1">#REF!</definedName>
    <definedName name="SD_1x1_6x7_22_B_0" hidden="1">#REF!</definedName>
    <definedName name="SD_1x1_6x7_25_B_0" hidden="1">#REF!</definedName>
    <definedName name="SD_1x1_6x7_3_B_0" hidden="1">#REF!</definedName>
    <definedName name="SD_1x1_6x7_4_B_0" hidden="1">#REF!</definedName>
    <definedName name="SD_1x1_6x7_5_B_0" hidden="1">#REF!</definedName>
    <definedName name="SD_1x1_6x7_6_B_0" hidden="1">#REF!</definedName>
    <definedName name="SD_1x1_6x7_7_B_14" hidden="1">#REF!</definedName>
    <definedName name="SD_1x1_6x7_8_B_11" hidden="1">#REF!</definedName>
    <definedName name="SD_1x1_6x7_9_B_0" hidden="1">#REF!</definedName>
    <definedName name="SD_1x1_6x8_1_B_9000" hidden="1">#REF!</definedName>
    <definedName name="SD_1x1_6x8_10_B_20" hidden="1">#REF!</definedName>
    <definedName name="SD_1x1_6x8_11_B_0" hidden="1">#REF!</definedName>
    <definedName name="SD_1x1_6x8_12_B_0" hidden="1">#REF!</definedName>
    <definedName name="SD_1x1_6x8_13_B_0" hidden="1">#REF!</definedName>
    <definedName name="SD_1x1_6x8_14_B_0" hidden="1">#REF!</definedName>
    <definedName name="SD_1x1_6x8_15_B_0" hidden="1">#REF!</definedName>
    <definedName name="SD_1x1_6x8_16_B_0" hidden="1">#REF!</definedName>
    <definedName name="SD_1x1_6x8_17_B_0" hidden="1">#REF!</definedName>
    <definedName name="SD_1x1_6x8_18_B_0" hidden="1">#REF!</definedName>
    <definedName name="SD_1x1_6x8_19_B_0" hidden="1">#REF!</definedName>
    <definedName name="SD_1x1_6x8_20_B_0" hidden="1">#REF!</definedName>
    <definedName name="SD_1x1_6x8_21_B_0" hidden="1">#REF!</definedName>
    <definedName name="SD_1x1_6x8_22_B_0" hidden="1">#REF!</definedName>
    <definedName name="SD_1x1_6x8_25_B_0" hidden="1">#REF!</definedName>
    <definedName name="SD_1x1_6x8_3_B_0" hidden="1">#REF!</definedName>
    <definedName name="SD_1x1_6x8_4_B_0" hidden="1">#REF!</definedName>
    <definedName name="SD_1x1_6x8_5_B_0" hidden="1">#REF!</definedName>
    <definedName name="SD_1x1_6x8_6_B_0" hidden="1">#REF!</definedName>
    <definedName name="SD_1x1_6x8_7_B_14" hidden="1">#REF!</definedName>
    <definedName name="SD_1x1_6x8_8_B_11" hidden="1">#REF!</definedName>
    <definedName name="SD_1x1_6x8_9_B_0" hidden="1">#REF!</definedName>
    <definedName name="SD_1x1_6x9_1_B_9000" hidden="1">#REF!</definedName>
    <definedName name="SD_1x1_6x9_10_B_20" hidden="1">#REF!</definedName>
    <definedName name="SD_1x1_6x9_11_B_0" hidden="1">#REF!</definedName>
    <definedName name="SD_1x1_6x9_12_B_0" hidden="1">#REF!</definedName>
    <definedName name="SD_1x1_6x9_13_B_0" hidden="1">#REF!</definedName>
    <definedName name="SD_1x1_6x9_14_B_0" hidden="1">#REF!</definedName>
    <definedName name="SD_1x1_6x9_15_B_0" hidden="1">#REF!</definedName>
    <definedName name="SD_1x1_6x9_16_B_0" hidden="1">#REF!</definedName>
    <definedName name="SD_1x1_6x9_17_B_0" hidden="1">#REF!</definedName>
    <definedName name="SD_1x1_6x9_18_B_0" hidden="1">#REF!</definedName>
    <definedName name="SD_1x1_6x9_19_B_0" hidden="1">#REF!</definedName>
    <definedName name="SD_1x1_6x9_20_B_0" hidden="1">#REF!</definedName>
    <definedName name="SD_1x1_6x9_21_B_0" hidden="1">#REF!</definedName>
    <definedName name="SD_1x1_6x9_22_B_0" hidden="1">#REF!</definedName>
    <definedName name="SD_1x1_6x9_25_B_0" hidden="1">#REF!</definedName>
    <definedName name="SD_1x1_6x9_3_B_0" hidden="1">#REF!</definedName>
    <definedName name="SD_1x1_6x9_4_B_0" hidden="1">#REF!</definedName>
    <definedName name="SD_1x1_6x9_5_B_0" hidden="1">#REF!</definedName>
    <definedName name="SD_1x1_6x9_6_B_0" hidden="1">#REF!</definedName>
    <definedName name="SD_1x1_6x9_7_B_14" hidden="1">#REF!</definedName>
    <definedName name="SD_1x1_6x9_8_B_11" hidden="1">#REF!</definedName>
    <definedName name="SD_1x1_6x9_9_B_0" hidden="1">#REF!</definedName>
    <definedName name="SD_1x1_8_G_12" hidden="1">#REF!</definedName>
    <definedName name="sdadaa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cds" localSheetId="14" hidden="1">{"'Assump'!$F$6:$J$6"}</definedName>
    <definedName name="sdcds" hidden="1">{"'Assump'!$F$6:$J$6"}</definedName>
    <definedName name="sdf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ass" hidden="1">{"Outflow 1",#N/A,FALSE,"Outflows-Inflows";"Outflow 2",#N/A,FALSE,"Outflows-Inflows";"Inflow 1",#N/A,FALSE,"Outflows-Inflows";"Inflow 2",#N/A,FALSE,"Outflows-Inflows"}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a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fs" hidden="1">{#N/A,#N/A,FALSE,"96 RENT SUM";#N/A,#N/A,FALSE,"LSGACTSCHED";#N/A,#N/A,FALSE,"Conc. Sched"}</definedName>
    <definedName name="sencount" localSheetId="14" hidden="1">1</definedName>
    <definedName name="sencount" hidden="1">1</definedName>
    <definedName name="Senior_Payoff_Month">#REF!</definedName>
    <definedName name="Sensitivity" hidden="1">{"mgmt forecast",#N/A,FALSE,"Mgmt Forecast";"dcf table",#N/A,FALSE,"Mgmt Forecast";"sensitivity",#N/A,FALSE,"Mgmt Forecast";"table inputs",#N/A,FALSE,"Mgmt Forecast";"calculations",#N/A,FALSE,"Mgmt Forecast"}</definedName>
    <definedName name="SEV" localSheetId="14" hidden="1">{#N/A,#N/A,FALSE,"CONTROLE"}</definedName>
    <definedName name="SEV" hidden="1">{#N/A,#N/A,FALSE,"CONTROLE"}</definedName>
    <definedName name="sheet2" hidden="1">{"CF",#N/A,FALSE,"Cash Flow";"RET",#N/A,FALSE,"Returns";"NPV",#N/A,FALSE,"Values";"ASMPT",#N/A,FALSE,"Assumptions"}</definedName>
    <definedName name="shit" hidden="1">{"'Assump'!$F$6:$J$6"}</definedName>
    <definedName name="ShowSP50" hidden="1">#REF!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977151308.25</definedName>
    <definedName name="sourcesd" hidden="1">{"Joint Venture Analysis",#N/A,FALSE,"Rossmore"}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" hidden="1">{"schedule1",#N/A,FALSE,"Sheet1";"schedule2",#N/A,FALSE,"Sheet1";"schedule3",#N/A,FALSE,"Sheet1";"schedule4",#N/A,FALSE,"Sheet1";"schedule5",#N/A,FALSE,"Sheet1";"schedule6",#N/A,FALSE,"Sheet1"}</definedName>
    <definedName name="sssddfgfg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ddfgf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sss" localSheetId="14" hidden="1">{#N/A,#N/A,FALSE,"Adm comp";#N/A,#N/A,FALSE,"Adm ajust";"adm",#N/A,FALSE,"Administration";#N/A,#N/A,FALSE,"Adm Bgt 97 vs Prév. 96";#N/A,#N/A,FALSE,"Adm Bgt 97 vs 96"}</definedName>
    <definedName name="ssssssssss" hidden="1">{#N/A,#N/A,FALSE,"Adm comp";#N/A,#N/A,FALSE,"Adm ajust";"adm",#N/A,FALSE,"Administration";#N/A,#N/A,FALSE,"Adm Bgt 97 vs Prév. 96";#N/A,#N/A,FALSE,"Adm Bgt 97 vs 96"}</definedName>
    <definedName name="st" localSheetId="14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bilization_Date">#REF!</definedName>
    <definedName name="Stabilization_Month">#REF!</definedName>
    <definedName name="Stabilized_First_Full_Year">#REF!</definedName>
    <definedName name="Stadium" localSheetId="14" hidden="1">{#N/A,#N/A,TRUE,"Ericsson Stadium PCD ";#N/A,#N/A,TRUE,"Ericsson Stadium IOR"}</definedName>
    <definedName name="Stadium" hidden="1">{#N/A,#N/A,TRUE,"Ericsson Stadium PCD ";#N/A,#N/A,TRUE,"Ericsson Stadium IOR"}</definedName>
    <definedName name="stadiuma" localSheetId="14" hidden="1">{#N/A,#N/A,TRUE,"Ericsson Stadium PCD ";#N/A,#N/A,TRUE,"Ericsson Stadium IOR"}</definedName>
    <definedName name="stadiuma" hidden="1">{#N/A,#N/A,TRUE,"Ericsson Stadium PCD ";#N/A,#N/A,TRUE,"Ericsson Stadium IOR"}</definedName>
    <definedName name="stupid" localSheetId="14" hidden="1">{"cap_structure",#N/A,FALSE,"Graph-Mkt Cap";"price",#N/A,FALSE,"Graph-Price";"ebit",#N/A,FALSE,"Graph-EBITDA";"ebitda",#N/A,FALSE,"Graph-EBITDA"}</definedName>
    <definedName name="stupid" hidden="1">{"cap_structure",#N/A,FALSE,"Graph-Mkt Cap";"price",#N/A,FALSE,"Graph-Price";"ebit",#N/A,FALSE,"Graph-EBITDA";"ebitda",#N/A,FALSE,"Graph-EBITDA"}</definedName>
    <definedName name="Summary" hidden="1">{#N/A,#N/A,FALSE,"96 RENT SUM";#N/A,#N/A,FALSE,"LSGACTSCHED";#N/A,#N/A,FALSE,"Conc. Sched"}</definedName>
    <definedName name="SUMMARY_BOOK" hidden="1">{"page1",#N/A,FALSE,"GIRLBO";"page2",#N/A,FALSE,"GIRLBO";"page3",#N/A,FALSE,"GIRLBO";"page4",#N/A,FALSE,"GIRLBO";"page5",#N/A,FALSE,"GIRLBO"}</definedName>
    <definedName name="Swvu.activo." hidden="1">#REF!</definedName>
    <definedName name="Swvu.CAM._.RECOVERIES." localSheetId="16" hidden="1">#REF!</definedName>
    <definedName name="Swvu.CAM._.RECOVERIES." hidden="1">#REF!</definedName>
    <definedName name="Swvu.CAM._.TABLE." localSheetId="16" hidden="1">#REF!</definedName>
    <definedName name="Swvu.CAM._.TABLE." hidden="1">#REF!</definedName>
    <definedName name="Swvu.ingresos." hidden="1">#REF!</definedName>
    <definedName name="Swvu.INSURANCE._.RECOVERIES." localSheetId="16" hidden="1">#REF!</definedName>
    <definedName name="Swvu.INSURANCE._.RECOVERIES." hidden="1">#REF!</definedName>
    <definedName name="Swvu.MINIMUM._.RENT." localSheetId="16" hidden="1">#REF!</definedName>
    <definedName name="Swvu.MINIMUM._.RENT." hidden="1">#REF!</definedName>
    <definedName name="Swvu.OCCUPANCY._.ANALYSIS." localSheetId="16" hidden="1">#REF!</definedName>
    <definedName name="Swvu.OCCUPANCY._.ANALYSIS." hidden="1">#REF!</definedName>
    <definedName name="Swvu.PERCENTAGE._.RENT." localSheetId="16" hidden="1">#REF!</definedName>
    <definedName name="Swvu.PERCENTAGE._.RENT." hidden="1">#REF!</definedName>
    <definedName name="Swvu.TAX._.RECOVERIES." localSheetId="16" hidden="1">#REF!</definedName>
    <definedName name="Swvu.TAX._.RECOVERIES." hidden="1">#REF!</definedName>
    <definedName name="Swvu.WAT." localSheetId="16" hidden="1">#REF!</definedName>
    <definedName name="Swvu.WAT." hidden="1">#REF!</definedName>
    <definedName name="t" localSheetId="14" hidden="1">{"Construction Costs",#N/A,FALSE,"Budget";"Income Statement",#N/A,FALSE,"Budget"}</definedName>
    <definedName name="t" hidden="1">{"Construction Costs",#N/A,FALSE,"Budget";"Income Statement",#N/A,FALSE,"Budget"}</definedName>
    <definedName name="t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Target_LTC">#REF!</definedName>
    <definedName name="taxes" hidden="1">{#N/A,#N/A,FALSE,"96 RENT SUM";#N/A,#N/A,FALSE,"LSGACTSCHED";#N/A,#N/A,FALSE,"Conc. Sched"}</definedName>
    <definedName name="temp" hidden="1">{#N/A,#N/A,FALSE,"96 RENT SUM";#N/A,#N/A,FALSE,"LSGACTSCHED";#N/A,#N/A,FALSE,"Conc. Sched"}</definedName>
    <definedName name="tempshee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st" localSheetId="14" hidden="1">{"History+Projection+5Comps",#N/A,FALSE,"HISTORY (2)";"$ Per Occupied History+Projection+5Comps",#N/A,FALSE,"HISTORY (2)";"History+Projection",#N/A,FALSE,"HISTORY (2)"}</definedName>
    <definedName name="test" hidden="1">{"History+Projection+5Comps",#N/A,FALSE,"HISTORY (2)";"$ Per Occupied History+Projection+5Comps",#N/A,FALSE,"HISTORY (2)";"History+Projection",#N/A,FALSE,"HISTORY (2)"}</definedName>
    <definedName name="test1" hidden="1">#REF!</definedName>
    <definedName name="test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e" localSheetId="14" hidden="1">{#N/A,#N/A,FALSE,"CONTROLE"}</definedName>
    <definedName name="Teste" hidden="1">{#N/A,#N/A,FALSE,"CONTROLE"}</definedName>
    <definedName name="testII" localSheetId="14" hidden="1">{"History+Projection+5Comps",#N/A,FALSE,"HISTORY (2)";"$ Per Occupied History+Projection+5Comps",#N/A,FALSE,"HISTORY (2)";"History+Projection",#N/A,FALSE,"HISTORY (2)"}</definedName>
    <definedName name="testII" hidden="1">{"History+Projection+5Comps",#N/A,FALSE,"HISTORY (2)";"$ Per Occupied History+Projection+5Comps",#N/A,FALSE,"HISTORY (2)";"History+Projection",#N/A,FALSE,"HISTORY (2)"}</definedName>
    <definedName name="TextRefCopyRangeCount" hidden="1">69</definedName>
    <definedName name="tfrttf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frtt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otal_Equity">#REF!</definedName>
    <definedName name="Total_Equity_Monthly">#REF!</definedName>
    <definedName name="tp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rial" hidden="1">{"Outflow 1",#N/A,FALSE,"Outflows-Inflows";"Outflow 2",#N/A,FALSE,"Outflows-Inflows";"Inflow 1",#N/A,FALSE,"Outflows-Inflows";"Inflow 2",#N/A,FALSE,"Outflows-Inflows"}</definedName>
    <definedName name="tt" localSheetId="14" hidden="1">{#N/A,#N/A,FALSE,"CPresup";#N/A,#N/A,FALSE,"Ana";#N/A,#N/A,FALSE,"Desv";#N/A,#N/A,FALSE,"Ratios";#N/A,#N/A,FALSE,"Tex-Pub";#N/A,#N/A,FALSE,"Tarifas";#N/A,#N/A,FALSE,"ByN";#N/A,#N/A,FALSE,"Promo";#N/A,#N/A,FALSE,"Deleg"}</definedName>
    <definedName name="tt" hidden="1">{#N/A,#N/A,FALSE,"CPresup";#N/A,#N/A,FALSE,"Ana";#N/A,#N/A,FALSE,"Desv";#N/A,#N/A,FALSE,"Ratios";#N/A,#N/A,FALSE,"Tex-Pub";#N/A,#N/A,FALSE,"Tarifas";#N/A,#N/A,FALSE,"ByN";#N/A,#N/A,FALSE,"Promo";#N/A,#N/A,FALSE,"Deleg"}</definedName>
    <definedName name="ttt" hidden="1">{"Outflow 1",#N/A,FALSE,"Outflows-Inflows";"Outflow 2",#N/A,FALSE,"Outflows-Inflows";"Inflow 1",#N/A,FALSE,"Outflows-Inflows";"Inflow 2",#N/A,FALSE,"Outflows-Inflows"}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" localSheetId="14" hidden="1">{#N/A,#N/A,FALSE,"Centres";#N/A,#N/A,FALSE,"Partenariats";#N/A,#N/A,FALSE,"P.Diverses";#N/A,#N/A,FALSE,"Adm";#N/A,#N/A,FALSE,"Autres R-D";#N/A,#N/A,FALSE,"Intérêts"}</definedName>
    <definedName name="TTTTTT" hidden="1">{#N/A,#N/A,FALSE,"Centres";#N/A,#N/A,FALSE,"Partenariats";#N/A,#N/A,FALSE,"P.Diverses";#N/A,#N/A,FALSE,"Adm";#N/A,#N/A,FALSE,"Autres R-D";#N/A,#N/A,FALSE,"Intérêts"}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" localSheetId="14" hidden="1">{#N/A,#N/A,FALSE,"Adm comp";#N/A,#N/A,FALSE,"Adm ajust";"adm",#N/A,FALSE,"Administration";#N/A,#N/A,FALSE,"Adm Bgt 97 vs Prév. 96";#N/A,#N/A,FALSE,"Adm Bgt 97 vs 96"}</definedName>
    <definedName name="tttttttttt" hidden="1">{#N/A,#N/A,FALSE,"Adm comp";#N/A,#N/A,FALSE,"Adm ajust";"adm",#N/A,FALSE,"Administration";#N/A,#N/A,FALSE,"Adm Bgt 97 vs Prév. 96";#N/A,#N/A,FALSE,"Adm Bgt 97 vs 96"}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tttt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tttttttttttttttt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wins" localSheetId="14" hidden="1">{"Construction Costs",#N/A,FALSE,"Budget";"Income Statement",#N/A,FALSE,"Budget"}</definedName>
    <definedName name="twins" hidden="1">{"Construction Costs",#N/A,FALSE,"Budget";"Income Statement",#N/A,FALSE,"Budget"}</definedName>
    <definedName name="tyj" localSheetId="14" hidden="1">{#N/A,#N/A,FALSE,"EOAF";#N/A,#N/A,FALSE,"Ingresos";#N/A,#N/A,FALSE,"Rat2";#N/A,#N/A,FALSE,"IFP";#N/A,#N/A,FALSE,"Anexo"}</definedName>
    <definedName name="tyj" hidden="1">{#N/A,#N/A,FALSE,"EOAF";#N/A,#N/A,FALSE,"Ingresos";#N/A,#N/A,FALSE,"Rat2";#N/A,#N/A,FALSE,"IFP";#N/A,#N/A,FALSE,"Anexo"}</definedName>
    <definedName name="TYTYT" localSheetId="14" hidden="1">{#N/A,#N/A,FALSE,"Min compa cad";#N/A,#N/A,FALSE,"Min CAN Equité ";#N/A,#N/A,FALSE,"Analyse can"}</definedName>
    <definedName name="TYTYT" hidden="1">{#N/A,#N/A,FALSE,"Min compa cad";#N/A,#N/A,FALSE,"Min CAN Equité ";#N/A,#N/A,FALSE,"Analyse can"}</definedName>
    <definedName name="TYU" localSheetId="14" hidden="1">{#N/A,#N/A,FALSE,"Min compa cad";#N/A,#N/A,FALSE,"Min CAN Equité ";#N/A,#N/A,FALSE,"Analyse can"}</definedName>
    <definedName name="TYU" hidden="1">{#N/A,#N/A,FALSE,"Min compa cad";#N/A,#N/A,FALSE,"Min CAN Equité ";#N/A,#N/A,FALSE,"Analyse can"}</definedName>
    <definedName name="u" localSheetId="14" hidden="1">{#N/A,#N/A,FALSE,"Min compar us";#N/A,#N/A,FALSE,"Min US Equité ";#N/A,#N/A,FALSE,"Analyse U.S."}</definedName>
    <definedName name="u" hidden="1">{#N/A,#N/A,FALSE,"Min compar us";#N/A,#N/A,FALSE,"Min US Equité ";#N/A,#N/A,FALSE,"Analyse U.S."}</definedName>
    <definedName name="UHT" localSheetId="14" hidden="1">{#N/A,#N/A,FALSE,"Adm comp";#N/A,#N/A,FALSE,"Adm ajust";"adm",#N/A,FALSE,"Administration";#N/A,#N/A,FALSE,"Adm Bgt 97 vs Prév. 96";#N/A,#N/A,FALSE,"Adm Bgt 97 vs 96"}</definedName>
    <definedName name="UHT" hidden="1">{#N/A,#N/A,FALSE,"Adm comp";#N/A,#N/A,FALSE,"Adm ajust";"adm",#N/A,FALSE,"Administration";#N/A,#N/A,FALSE,"Adm Bgt 97 vs Prév. 96";#N/A,#N/A,FALSE,"Adm Bgt 97 vs 96"}</definedName>
    <definedName name="UHV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H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IOYYYUU" localSheetId="14" hidden="1">{#N/A,#N/A,FALSE,"Min compar us";#N/A,#N/A,FALSE,"Min US Equité ";#N/A,#N/A,FALSE,"Analyse U.S."}</definedName>
    <definedName name="UIOYYYUU" hidden="1">{#N/A,#N/A,FALSE,"Min compar us";#N/A,#N/A,FALSE,"Min US Equité ";#N/A,#N/A,FALSE,"Analyse U.S."}</definedName>
    <definedName name="UJK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K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nitsPopulated" hidden="1">#REF!</definedName>
    <definedName name="uuiiii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u" localSheetId="14" hidden="1">{#N/A,#N/A,FALSE,"Min compa cad";#N/A,#N/A,FALSE,"Min CAN Equité ";#N/A,#N/A,FALSE,"Analyse can"}</definedName>
    <definedName name="uuu" hidden="1">{#N/A,#N/A,FALSE,"Min compa cad";#N/A,#N/A,FALSE,"Min CAN Equité ";#N/A,#N/A,FALSE,"Analyse can"}</definedName>
    <definedName name="UUUUUU" localSheetId="14" hidden="1">{#N/A,#N/A,FALSE,"Centres";#N/A,#N/A,FALSE,"Partenariats";#N/A,#N/A,FALSE,"P.Diverses";#N/A,#N/A,FALSE,"Adm";#N/A,#N/A,FALSE,"Autres R-D";#N/A,#N/A,FALSE,"Intérêts"}</definedName>
    <definedName name="UUUUUU" hidden="1">{#N/A,#N/A,FALSE,"Centres";#N/A,#N/A,FALSE,"Partenariats";#N/A,#N/A,FALSE,"P.Diverses";#N/A,#N/A,FALSE,"Adm";#N/A,#N/A,FALSE,"Autres R-D";#N/A,#N/A,FALSE,"Intérêts"}</definedName>
    <definedName name="uyfkf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T" localSheetId="14" hidden="1">{#N/A,#N/A,FALSE,"Centres";#N/A,#N/A,FALSE,"Partenariats";#N/A,#N/A,FALSE,"P.Diverses";#N/A,#N/A,FALSE,"Adm";#N/A,#N/A,FALSE,"Autres R-D";#N/A,#N/A,FALSE,"Intérêts"}</definedName>
    <definedName name="UYT" hidden="1">{#N/A,#N/A,FALSE,"Centres";#N/A,#N/A,FALSE,"Partenariats";#N/A,#N/A,FALSE,"P.Diverses";#N/A,#N/A,FALSE,"Adm";#N/A,#N/A,FALSE,"Autres R-D";#N/A,#N/A,FALSE,"Intérêts"}</definedName>
    <definedName name="v_Key1" hidden="1">#REF!</definedName>
    <definedName name="v_Key2" hidden="1">#REF!</definedName>
    <definedName name="Value.2" hidden="1">{#N/A,#N/A,FALSE,"Cashflow Analysis";#N/A,#N/A,FALSE,"Sensitivity Analysis";#N/A,#N/A,FALSE,"PV";#N/A,#N/A,FALSE,"Pro Forma"}</definedName>
    <definedName name="Value_Stabilized">#REF!</definedName>
    <definedName name="value1.2" hidden="1">{#N/A,#N/A,FALSE,"Cashflow Analysis";#N/A,#N/A,FALSE,"Sensitivity Analysis";#N/A,#N/A,FALSE,"PV";#N/A,#N/A,FALSE,"Pro Forma"}</definedName>
    <definedName name="var96_96" localSheetId="14" hidden="1">{#N/A,#N/A,FALSE,"B_Spread"}</definedName>
    <definedName name="var96_96" hidden="1">{#N/A,#N/A,FALSE,"B_Spread"}</definedName>
    <definedName name="vc" localSheetId="14" hidden="1">{#N/A,#N/A,FALSE,"Adm comp";#N/A,#N/A,FALSE,"Adm ajust";"adm",#N/A,FALSE,"Administration";#N/A,#N/A,FALSE,"Adm Bgt 97 vs Prév. 96";#N/A,#N/A,FALSE,"Adm Bgt 97 vs 96"}</definedName>
    <definedName name="vc" hidden="1">{#N/A,#N/A,FALSE,"Adm comp";#N/A,#N/A,FALSE,"Adm ajust";"adm",#N/A,FALSE,"Administration";#N/A,#N/A,FALSE,"Adm Bgt 97 vs Prév. 96";#N/A,#N/A,FALSE,"Adm Bgt 97 vs 96"}</definedName>
    <definedName name="VD" localSheetId="14" hidden="1">{#N/A,#N/A,FALSE,"CONTROLE"}</definedName>
    <definedName name="VD" hidden="1">{#N/A,#N/A,FALSE,"CONTROLE"}</definedName>
    <definedName name="VE" localSheetId="14" hidden="1">{#N/A,#N/A,FALSE,"CONTROLE"}</definedName>
    <definedName name="VE" hidden="1">{#N/A,#N/A,FALSE,"CONTROLE"}</definedName>
    <definedName name="VEEX" localSheetId="14" hidden="1">{#N/A,#N/A,FALSE,"Centres";#N/A,#N/A,FALSE,"Partenariats";#N/A,#N/A,FALSE,"P.Diverses";#N/A,#N/A,FALSE,"Adm";#N/A,#N/A,FALSE,"Autres R-D";#N/A,#N/A,FALSE,"Intérêts"}</definedName>
    <definedName name="VEEX" hidden="1">{#N/A,#N/A,FALSE,"Centres";#N/A,#N/A,FALSE,"Partenariats";#N/A,#N/A,FALSE,"P.Diverses";#N/A,#N/A,FALSE,"Adm";#N/A,#N/A,FALSE,"Autres R-D";#N/A,#N/A,FALSE,"Intérêts"}</definedName>
    <definedName name="Verify">1</definedName>
    <definedName name="vfrfvfr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frfvf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HU" localSheetId="14" hidden="1">{#N/A,#N/A,FALSE,"Min compa cad";#N/A,#N/A,FALSE,"Min CAN Equité ";#N/A,#N/A,FALSE,"Analyse can"}</definedName>
    <definedName name="VHU" hidden="1">{#N/A,#N/A,FALSE,"Min compa cad";#N/A,#N/A,FALSE,"Min CAN Equité ";#N/A,#N/A,FALSE,"Analyse can"}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R" localSheetId="14" hidden="1">{#N/A,#N/A,FALSE,"Centres";#N/A,#N/A,FALSE,"Partenariats";#N/A,#N/A,FALSE,"P.Diverses";#N/A,#N/A,FALSE,"Adm";#N/A,#N/A,FALSE,"Autres R-D";#N/A,#N/A,FALSE,"Intérêts"}</definedName>
    <definedName name="VR" hidden="1">{#N/A,#N/A,FALSE,"Centres";#N/A,#N/A,FALSE,"Partenariats";#N/A,#N/A,FALSE,"P.Diverses";#N/A,#N/A,FALSE,"Adm";#N/A,#N/A,FALSE,"Autres R-D";#N/A,#N/A,FALSE,"Intérêts"}</definedName>
    <definedName name="vv" hidden="1">{"mgmt forecast",#N/A,FALSE,"Mgmt Forecast";"dcf table",#N/A,FALSE,"Mgmt Forecast";"sensitivity",#N/A,FALSE,"Mgmt Forecast";"table inputs",#N/A,FALSE,"Mgmt Forecast";"calculations",#N/A,FALSE,"Mgmt Forecast"}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VVVV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V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" localSheetId="14" hidden="1">#REF!</definedName>
    <definedName name="w" hidden="1">{"Construction Costs",#N/A,FALSE,"Budget";"Income Statement",#N/A,FALSE,"Budget"}</definedName>
    <definedName name="wafe" localSheetId="14" hidden="1">{"summary1",#N/A,TRUE,"Comps";"summary2",#N/A,TRUE,"Comps";"summary3",#N/A,TRUE,"Comps"}</definedName>
    <definedName name="wafe" hidden="1">{"summary1",#N/A,TRUE,"Comps";"summary2",#N/A,TRUE,"Comps";"summary3",#N/A,TRUE,"Comps"}</definedName>
    <definedName name="WEA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ird" localSheetId="14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localSheetId="14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QQE" localSheetId="14" hidden="1">{"summary1",#N/A,TRUE,"Comps";"summary2",#N/A,TRUE,"Comps";"summary3",#N/A,TRUE,"Comps"}</definedName>
    <definedName name="WEQQE" hidden="1">{"summary1",#N/A,TRUE,"Comps";"summary2",#N/A,TRUE,"Comps";"summary3",#N/A,TRUE,"Comps"}</definedName>
    <definedName name="wetadf" hidden="1">{"Assump",#N/A,TRUE,"Proforma";"first",#N/A,TRUE,"Proforma";"second",#N/A,TRUE,"Proforma";"lease1",#N/A,TRUE,"Proforma";"lease2",#N/A,TRUE,"Proforma"}</definedName>
    <definedName name="WEWEW" localSheetId="14" hidden="1">{#N/A,#N/A,FALSE,"Min compa cad";#N/A,#N/A,FALSE,"Min CAN Equité ";#N/A,#N/A,FALSE,"Analyse can"}</definedName>
    <definedName name="WEWEW" hidden="1">{#N/A,#N/A,FALSE,"Min compa cad";#N/A,#N/A,FALSE,"Min CAN Equité ";#N/A,#N/A,FALSE,"Analyse can"}</definedName>
    <definedName name="what" localSheetId="14" hidden="1">{"Summary Including DHC",#N/A,TRUE,"SUMMARY";"Financial Assumptions",#N/A,TRUE,"Financial Assumptions";"Sources &amp; Uses",#N/A,TRUE,"Financial Assumptions";"History &amp; Projection",#N/A,TRUE,"History - Proforma"}</definedName>
    <definedName name="what" hidden="1">{"Summary Including DHC",#N/A,TRUE,"SUMMARY";"Financial Assumptions",#N/A,TRUE,"Financial Assumptions";"Sources &amp; Uses",#N/A,TRUE,"Financial Assumptions";"History &amp; Projection",#N/A,TRUE,"History - Proforma"}</definedName>
    <definedName name="what_asdf2" hidden="1">{#N/A,#N/A,FALSE,"OperatingAssumptions"}</definedName>
    <definedName name="Whatever" localSheetId="16" hidden="1">#REF!</definedName>
    <definedName name="Whatever" hidden="1">#REF!</definedName>
    <definedName name="whatwhat" localSheetId="14" hidden="1">{"Page1",#N/A,FALSE,"7979";"Page2",#N/A,FALSE,"7979";"Page3",#N/A,FALSE,"7979"}</definedName>
    <definedName name="whatwhat" hidden="1">{"Page1",#N/A,FALSE,"7979";"Page2",#N/A,FALSE,"7979";"Page3",#N/A,FALSE,"7979"}</definedName>
    <definedName name="wh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WIEDJSH" localSheetId="14" hidden="1">{#N/A,#N/A,FALSE,"Min compa cad";#N/A,#N/A,FALSE,"Min CAN Equité ";#N/A,#N/A,FALSE,"Analyse can"}</definedName>
    <definedName name="WIEDJSH" hidden="1">{#N/A,#N/A,FALSE,"Min compa cad";#N/A,#N/A,FALSE,"Min CAN Equité ";#N/A,#N/A,FALSE,"Analyse can"}</definedName>
    <definedName name="WIEUR" localSheetId="14" hidden="1">{#N/A,#N/A,FALSE,"Min compar us";#N/A,#N/A,FALSE,"Min US Equité ";#N/A,#N/A,FALSE,"Analyse U.S."}</definedName>
    <definedName name="WIEUR" hidden="1">{#N/A,#N/A,FALSE,"Min compar us";#N/A,#N/A,FALSE,"Min US Equité ";#N/A,#N/A,FALSE,"Analyse U.S."}</definedName>
    <definedName name="WQE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..tt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d.2._.pagers.3" hidden="1">{"Cover",#N/A,FALSE,"Cover";"Summary",#N/A,FALSE,"Summarpage"}</definedName>
    <definedName name="wrn.10._.Year._.Analysis." hidden="1">{"Data Input",#N/A,TRUE,"Data Input";"10-Yr Cash Flow",#N/A,TRUE,"Cash Flow";"10-Yr Value",#N/A,TRUE,"Value 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0W45." hidden="1">{#N/A,#N/A,FALSE,"1";#N/A,#N/A,FALSE,"1x";#N/A,#N/A,FALSE,"2";#N/A,#N/A,FALSE,"2x";#N/A,#N/A,FALSE,"3";#N/A,#N/A,FALSE,"3x"}</definedName>
    <definedName name="wrn.15._.Year._.Analysis." hidden="1">{"Data Input",#N/A,TRUE,"Data Input";"15-Yr Cash Flow",#N/A,TRUE,"Cash Flow";"15-Yr Value",#N/A,TRUE,"Value "}</definedName>
    <definedName name="wrn.1994._.Projected._.Cashflow." localSheetId="14" hidden="1">{"Debt Analysis",#N/A,FALSE,"Debt Analysis";"Calender Year",#N/A,FALSE,"Project Cash Flows";"Fiscal Year",#N/A,FALSE,"Project Cash Flows"}</definedName>
    <definedName name="wrn.1994._.Projected._.Cashflow." hidden="1">{"Debt Analysis",#N/A,FALSE,"Debt Analysis";"Calender Year",#N/A,FALSE,"Project Cash Flows";"Fiscal Year",#N/A,FALSE,"Project Cash Flows"}</definedName>
    <definedName name="wrn.1995._.Analysis." hidden="1">{#N/A,#N/A,FALSE,"1995 Rev &amp; Exp"}</definedName>
    <definedName name="wrn.1996._.analysis." hidden="1">{#N/A,#N/A,FALSE,"1995 Rev &amp; Exp"}</definedName>
    <definedName name="wrn.1998._.Budget.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._.year._.alt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01._.budget.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nd._.Year." hidden="1">{#N/A,#N/A,TRUE,"CF Yr2";#N/A,#N/A,TRUE,"Rent Roll";#N/A,#N/A,TRUE,"Rent Yr2";#N/A,#N/A,TRUE,"Occ Yr2";#N/A,#N/A,TRUE,"TI+Com Yr2";#N/A,#N/A,TRUE,"OER Yr2";#N/A,#N/A,TRUE,"OE Yr2"}</definedName>
    <definedName name="wrn.3._.Year._.Summary." localSheetId="14" hidden="1">{#N/A,#N/A,FALSE,"3-Year Summary"}</definedName>
    <definedName name="wrn.3._.Year._.Summary." hidden="1">{#N/A,#N/A,FALSE,"3-Year Summary"}</definedName>
    <definedName name="wrn.399." localSheetId="14" hidden="1">{#N/A,#N/A,FALSE,"A";#N/A,#N/A,FALSE,"C"}</definedName>
    <definedName name="wrn.399." hidden="1">{#N/A,#N/A,FALSE,"A";#N/A,#N/A,FALSE,"C"}</definedName>
    <definedName name="wrn.3rd._.Year." hidden="1">{#N/A,#N/A,FALSE,"CF Yr3";#N/A,#N/A,FALSE,"Rent Roll";#N/A,#N/A,FALSE,"Rent Yr3";#N/A,#N/A,FALSE,"Occ Yr3";#N/A,#N/A,FALSE,"TI+Com Yr3";#N/A,#N/A,FALSE,"OER Yr3";#N/A,#N/A,FALSE,"OE Yr3"}</definedName>
    <definedName name="wrn.3yr.CF." localSheetId="14" hidden="1">{"assume",#N/A,FALSE,"K&amp;20th Month CF";"MoCF",#N/A,FALSE,"K&amp;20th Month CF";"AnCF",#N/A,FALSE,"K&amp;20th Month CF"}</definedName>
    <definedName name="wrn.3yr.CF." hidden="1">{"assume",#N/A,FALSE,"K&amp;20th Month CF";"MoCF",#N/A,FALSE,"K&amp;20th Month CF";"AnCF",#N/A,FALSE,"K&amp;20th Month CF"}</definedName>
    <definedName name="wrn.98A." localSheetId="14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A.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 localSheetId="14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98BUDGET.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ess." hidden="1">{"Access",#N/A,FALSE,"Access"}</definedName>
    <definedName name="wrn.Accr_Dil." hidden="1">{#N/A,#N/A,FALSE,"Debt Accr";#N/A,#N/A,FALSE,"Stock Accr";#N/A,#N/A,FALSE,"Debt Stock Accr"}</definedName>
    <definedName name="wrn.Accretion." localSheetId="14" hidden="1">{"Accretion",#N/A,FALSE,"Assum"}</definedName>
    <definedName name="wrn.Accretion." hidden="1">{"Accretion",#N/A,FALSE,"Assum"}</definedName>
    <definedName name="wrn.Acquisition." hidden="1">{#N/A,#N/A,TRUE,"Title Page";#N/A,#N/A,TRUE,"Executive Summary";#N/A,#N/A,TRUE,"Vacant Space";#N/A,#N/A,TRUE,"Cash Flow";#N/A,#N/A,TRUE,"Residual (Year 10)";#N/A,#N/A,TRUE,"Pricing Matrix";#N/A,#N/A,TRUE,"Vacancy Detail";#N/A,#N/A,TRUE,"Value Matrix";#N/A,#N/A,TRUE,"GI Detail";#N/A,#N/A,TRUE,"Exp Detail"}</definedName>
    <definedName name="wrn.Acquisition_matrix." localSheetId="14" hidden="1">{"Acq_matrix",#N/A,FALSE,"Acquisition Matrix"}</definedName>
    <definedName name="wrn.Acquisition_matrix." hidden="1">{"Acq_matrix",#N/A,FALSE,"Acquisition Matrix"}</definedName>
    <definedName name="wrn.Acquisitions." localSheetId="14" hidden="1">{"One",#N/A,FALSE,"Acquisitions";"Two",#N/A,FALSE,"Acquisitions"}</definedName>
    <definedName name="wrn.Acquisitions." hidden="1">{"One",#N/A,FALSE,"Acquisitions";"Two",#N/A,FALSE,"Acquisitions"}</definedName>
    <definedName name="wrn.adj95." localSheetId="14" hidden="1">{"adj95mult",#N/A,FALSE,"COMPCO";"adj95est",#N/A,FALSE,"COMPCO"}</definedName>
    <definedName name="wrn.adj95." hidden="1">{"adj95mult",#N/A,FALSE,"COMPCO";"adj95est",#N/A,FALSE,"COMPCO"}</definedName>
    <definedName name="wrn.administration." localSheetId="14" hidden="1">{#N/A,#N/A,FALSE,"Adm comp";#N/A,#N/A,FALSE,"Adm ajust";"adm",#N/A,FALSE,"Administration";#N/A,#N/A,FALSE,"Adm Bgt 97 vs Prév. 96";#N/A,#N/A,FALSE,"Adm Bgt 97 vs 96"}</definedName>
    <definedName name="wrn.administration." hidden="1">{#N/A,#N/A,FALSE,"Adm comp";#N/A,#N/A,FALSE,"Adm ajust";"adm",#N/A,FALSE,"Administration";#N/A,#N/A,FALSE,"Adm Bgt 97 vs Prév. 96";#N/A,#N/A,FALSE,"Adm Bgt 97 vs 96"}</definedName>
    <definedName name="wrn.ADP3." hidden="1">{#VALUE!,#N/A,TRUE,0;#N/A,#N/A,TRUE,0;#N/A,#N/A,TRUE,0;#N/A,#N/A,TRUE,0}</definedName>
    <definedName name="wrn.ALL." localSheetId="14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Budget._.Detail_Forecast." localSheetId="14" hidden="1">{"All Budget Detail-Forecast",#N/A,FALSE,"Forecast"}</definedName>
    <definedName name="wrn.All._.Budget._.Detail_Forecast." hidden="1">{"All Budget Detail-Forecast",#N/A,FALSE,"Forecast"}</definedName>
    <definedName name="wrn.All._.Budget._.Detail_Reit." localSheetId="14" hidden="1">{"All Budget Detail-Reit",#N/A,FALSE,"Forecast"}</definedName>
    <definedName name="wrn.All._.Budget._.Detail_Reit." hidden="1">{"All Budget Detail-Reit",#N/A,FALSE,"Forecast"}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Non._.Recov._.Op._.Exp_Forecast." localSheetId="14" hidden="1">{"All Non-Recov. Op. Exp-Forecast",#N/A,FALSE,"Forecast"}</definedName>
    <definedName name="wrn.All._.Non._.Recov._.Op._.Exp_Forecast." hidden="1">{"All Non-Recov. Op. Exp-Forecast",#N/A,FALSE,"Forecast"}</definedName>
    <definedName name="wrn.All._.Non._.Recov._.Op._.Exp_Reit." localSheetId="14" hidden="1">{"All Non-Recov. Op. Exp-Reit",#N/A,FALSE,"Forecast"}</definedName>
    <definedName name="wrn.All._.Non._.Recov._.Op._.Exp_Reit." hidden="1">{"All Non-Recov. Op. Exp-Reit",#N/A,FALSE,"Forecast"}</definedName>
    <definedName name="wrn.ALL._.PAGES." localSheetId="14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Rental._.Income_Forecast." localSheetId="14" hidden="1">{"All Rental Income-Reforecast",#N/A,FALSE,"Forecast"}</definedName>
    <definedName name="wrn.All._.Rental._.Income_Forecast." hidden="1">{"All Rental Income-Reforecast",#N/A,FALSE,"Forecast"}</definedName>
    <definedName name="wrn.All._.Rental._.Income_Reit." localSheetId="14" hidden="1">{"All Rental Income-Reit",#N/A,FALSE,"Forecast"}</definedName>
    <definedName name="wrn.All._.Rental._.Income_Reit." hidden="1">{"All Rental Income-Reit",#N/A,FALSE,"Forecast"}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ock_10_12_14." localSheetId="14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localSheetId="14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ortization." hidden="1">{"Exist Debt Amort",#N/A,TRUE,"Financials";"Intangible Amort",#N/A,TRUE,"Financials";"Proj Debt Amort",#N/A,TRUE,"Financials";"Proj Pfd Amort",#N/A,TRUE,"Financials"}</definedName>
    <definedName name="wrn.Annual." localSheetId="14" hidden="1">{"ANNUAL",#N/A,FALSE,"Summary";"ANNUAL",#N/A,FALSE,"Pro Forma";"ANNUAL",#N/A,FALSE,"Equity"}</definedName>
    <definedName name="wrn.Annual." hidden="1">{"ANNUAL",#N/A,FALSE,"Summary";"ANNUAL",#N/A,FALSE,"Pro Forma";"ANNUAL",#N/A,FALSE,"Equity"}</definedName>
    <definedName name="wrn.Annual._.Report." localSheetId="14" hidden="1">{"annual",#N/A,FALSE,"Pro Forma";#N/A,#N/A,FALSE,"Golf Operations"}</definedName>
    <definedName name="wrn.Annual._.Report." hidden="1">{"annual",#N/A,FALSE,"Pro Forma";#N/A,#N/A,FALSE,"Golf Operations"}</definedName>
    <definedName name="wrn.AnnualRentRoll" hidden="1">{"AnnualRentRoll",#N/A,FALSE,"RentRoll"}</definedName>
    <definedName name="wrn.AnnualRentRoll." localSheetId="14" hidden="1">{"AnnualRentRoll",#N/A,FALSE,"RentRoll"}</definedName>
    <definedName name="wrn.AnnualRentRoll." hidden="1">{"AnnualRentRoll",#N/A,FALSE,"RentRoll"}</definedName>
    <definedName name="wrn.annualrentroll2" hidden="1">{"AnnualRentRoll",#N/A,FALSE,"RentRoll"}</definedName>
    <definedName name="wrn.appendix._.c." hidden="1">{"interim 20",#N/A,TRUE,"Interim";"landsale 20",#N/A,TRUE,"LandSale";"noi 20",#N/A,TRUE,"NOI";"bldg sale 20",#N/A,TRUE,"BldgSale";"aff hsg",#N/A,TRUE,"AffHsg"}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QUIROR._.DCF." localSheetId="14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rena._.PCD." localSheetId="14" hidden="1">{#N/A,#N/A,TRUE,"Maritime Park Arena PCD";#N/A,#N/A,TRUE,"Maritime Park Arena IOR"}</definedName>
    <definedName name="wrn.Arena._.PCD." hidden="1">{#N/A,#N/A,TRUE,"Maritime Park Arena PCD";#N/A,#N/A,TRUE,"Maritime Park Arena IOR"}</definedName>
    <definedName name="wrn.Asset._.Management." hidden="1">{#N/A,#N/A,FALSE,"ASSET MGMT."}</definedName>
    <definedName name="wrn.Assumptions." localSheetId="14" hidden="1">{"Assumptions",#N/A,FALSE,"Assum"}</definedName>
    <definedName name="wrn.Assumptions." hidden="1">{"Assumptions",#N/A,FALSE,"Assum"}</definedName>
    <definedName name="wrn.Auto._.Comp." hidden="1">{#N/A,#N/A,FALSE,"Sheet1"}</definedName>
    <definedName name="wrn.B._.Spread._.Worksheet._.Summary." localSheetId="14" hidden="1">{#N/A,#N/A,FALSE,"B_Spread"}</definedName>
    <definedName name="wrn.B._.Spread._.Worksheet._.Summary." hidden="1">{#N/A,#N/A,FALSE,"B_Spread"}</definedName>
    <definedName name="wrn.B._.Spread._.Worksheets._.Detail." localSheetId="14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._.sheet." hidden="1">{"bs",#N/A,FALSE,"SCF"}</definedName>
    <definedName name="wrn.Balance_Sheet." localSheetId="14" hidden="1">{"One",#N/A,FALSE,"Balance Sheet"}</definedName>
    <definedName name="wrn.Balance_Sheet." hidden="1">{"One",#N/A,FALSE,"Balance Sheet"}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nk." hidden="1">{#N/A,#N/A,TRUE,"Execsum";#N/A,#N/A,TRUE,"Summary";#N/A,#N/A,TRUE,"Budget";#N/A,#N/A,TRUE,"Cashflow";#N/A,#N/A,TRUE,"Cashflow (level)"}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ic." localSheetId="14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lackWhite." localSheetId="14" hidden="1">{#N/A,#N/A,FALSE,"NNN sum";#N/A,#N/A,FALSE,"10-yr Opt. A Sum";#N/A,#N/A,FALSE,"10-yr Opt A Other Costs";#N/A,#N/A,FALSE,"Purchase Sum";#N/A,#N/A,FALSE,"Purchase Other Costs"}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localSheetId="14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localSheetId="14" hidden="1">{#N/A,#N/A,FALSE}</definedName>
    <definedName name="wrn.bleu4." hidden="1">{#N/A,#N/A,FALSE}</definedName>
    <definedName name="wrn.Blue._.Book._.Sections." localSheetId="14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b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nds." hidden="1">{#N/A,#N/A,FALSE,"Bonds - Consol";#N/A,#N/A,FALSE,"Bonds - Lakes";#N/A,#N/A,FALSE,"Bonds - Chabot";#N/A,#N/A,FALSE,"Bonds - Diablo"}</definedName>
    <definedName name="wrn.BOOK." localSheetId="14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th._.Outputs." localSheetId="14" hidden="1">{"LTV Output",#N/A,FALSE,"Output";"DCR Output",#N/A,FALSE,"Output"}</definedName>
    <definedName name="wrn.Both._.Outputs." hidden="1">{"LTV Output",#N/A,FALSE,"Output";"DCR Output",#N/A,FALSE,"Output"}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T._.Report." hidden="1">{#N/A,#N/A,FALSE,"BTCostSummary";#N/A,#N/A,FALSE,"Finance";#N/A,#N/A,FALSE,"Land";"Construction with Retention",#N/A,FALSE,"Construction";#N/A,#N/A,FALSE,"BTA&amp;E";#N/A,#N/A,FALSE,"Indirect"}</definedName>
    <definedName name="wrn.bud98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." localSheetId="14" hidden="1">{"Budget",#N/A,FALSE,"2033K-R6"}</definedName>
    <definedName name="wrn.Budget." hidden="1">{"Budget",#N/A,FALSE,"2033K-R6"}</definedName>
    <definedName name="wrn.BUDGET._.PACKAGE." localSheetId="14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._.PACKAGE.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llshit1." hidden="1">{#N/A,#N/A,FALSE,"Sheet1";#N/A,#N/A,FALSE,"Summary";#N/A,#N/A,FALSE,"proj1";#N/A,#N/A,FALSE,"proj2"}</definedName>
    <definedName name="wrn.CAM._.Allocation." hidden="1">{"CAM_Summary",#N/A,FALSE,"CAM Allocation";"CAM1",#N/A,FALSE,"CAM Allocation";"CAM2",#N/A,FALSE,"CAM Allocation";"CAM3",#N/A,FALSE,"CAM Allocation"}</definedName>
    <definedName name="wrn.Capital._.Expenditures." localSheetId="14" hidden="1">{"Commission Cost",#N/A,FALSE,"Capital Expenditures";"Tenant Improvements",#N/A,FALSE,"Capital Expenditures"}</definedName>
    <definedName name="wrn.Capital._.Expenditures." hidden="1">{"Commission Cost",#N/A,FALSE,"Capital Expenditures";"Tenant Improvements",#N/A,FALSE,"Capital Expenditures"}</definedName>
    <definedName name="wrn.Capital_Increm.." localSheetId="14" hidden="1">{#N/A,#N/A,FALSE,"Capital-Incremental"}</definedName>
    <definedName name="wrn.Capital_Increm.." hidden="1">{#N/A,#N/A,FALSE,"Capital-Incremental"}</definedName>
    <definedName name="wrn.Capital_Nonincre.." localSheetId="14" hidden="1">{#N/A,#N/A,FALSE,"Capital-Nonincremental"}</definedName>
    <definedName name="wrn.Capital_Nonincre.." hidden="1">{#N/A,#N/A,FALSE,"Capital-Nonincremental"}</definedName>
    <definedName name="wrn.CAPREIT." localSheetId="14" hidden="1">{#N/A,#N/A,FALSE,"CAPREIT"}</definedName>
    <definedName name="wrn.CAPREIT." localSheetId="16" hidden="1">{#N/A,#N/A,FALSE,"CAPREIT"}</definedName>
    <definedName name="wrn.CAPREIT." hidden="1">{#N/A,#N/A,FALSE,"CAPREIT"}</definedName>
    <definedName name="wrn.CAPREIT2" localSheetId="14" hidden="1">{#N/A,#N/A,FALSE,"CAPREIT"}</definedName>
    <definedName name="wrn.CAPREIT2" localSheetId="16" hidden="1">{#N/A,#N/A,FALSE,"CAPREIT"}</definedName>
    <definedName name="wrn.CAPREIT2" hidden="1">{#N/A,#N/A,FALSE,"CAPREIT"}</definedName>
    <definedName name="wrn.Cash." hidden="1">{"Cash_detail",#N/A,FALSE,"Cash";"Cash_summary",#N/A,FALSE,"Cash";"Cash_adjustments",#N/A,FALSE,"Cash";"Cash_reconciliation",#N/A,FALSE,"Cash";"Cash_Variance",#N/A,FALSE,"Cash"}</definedName>
    <definedName name="wrn.Cash._.Flow.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 hidden="1">{"CF",#N/A,FALSE,"Cash Flow";"RET",#N/A,FALSE,"Returns";"NPV",#N/A,FALSE,"Values";"ASMPT",#N/A,FALSE,"Assumptions"}</definedName>
    <definedName name="wrn.Cash._.Flow._.Analysis." localSheetId="14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._.Summary." hidden="1">{"Cash Flow Summary",#N/A,FALSE,"CashFlowSummary";"Finance Cash Flow Summary",#N/A,FALSE,"FinanceCashFlow";"Equity Cash Flow Summary",#N/A,FALSE,"EquityReturns"}</definedName>
    <definedName name="wrn.CASH._.FLOWS._.ONLY." hidden="1">{#N/A,#N/A,FALSE,"Assumptions";#N/A,#N/A,FALSE,"Consol CF";#N/A,#N/A,FALSE,"Hacienda CF";#N/A,#N/A,FALSE,"Chabot CF";#N/A,#N/A,FALSE,"Diablo CF"}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_Flow." localSheetId="14" hidden="1">{"One",#N/A,FALSE,"Cash Flow Statement"}</definedName>
    <definedName name="wrn.Cash_Flow." hidden="1">{"One",#N/A,FALSE,"Cash Flow Statement"}</definedName>
    <definedName name="wrn.CashFlow._.Budget.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CC." localSheetId="14" hidden="1">{#N/A,#N/A,FALSE,"A";#N/A,#N/A,FALSE,"B"}</definedName>
    <definedName name="wrn.CCC." hidden="1">{#N/A,#N/A,FALSE,"A";#N/A,#N/A,FALSE,"B"}</definedName>
    <definedName name="wrn.CCC._.OPEX." localSheetId="14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 hidden="1">{"CD1",#N/A,TRUE,"C-D (R)";"CD2",#N/A,TRUE,"C-D (R)"}</definedName>
    <definedName name="wrn.CF._.Print." localSheetId="14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eck." localSheetId="14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s." hidden="1">{"Checks",#N/A,FALSE,"Checks"}</definedName>
    <definedName name="wrn.Clarie_Bridge." localSheetId="14" hidden="1">{"One",#N/A,FALSE,"Claire Bridge";"Two",#N/A,FALSE,"Claire Bridge";"Three",#N/A,FALSE,"Claire Bridge";"Four",#N/A,FALSE,"Claire Bridge";"Five",#N/A,FALSE,"Claire Bridge"}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mcgest." localSheetId="14" hidden="1">{#N/A,#N/A,FALSE,"CPresup";#N/A,#N/A,FALSE,"Ana";#N/A,#N/A,FALSE,"Desv";#N/A,#N/A,FALSE,"Ratios";#N/A,#N/A,FALSE,"Tex-Pub";#N/A,#N/A,FALSE,"Tarifas";#N/A,#N/A,FALSE,"ByN";#N/A,#N/A,FALSE,"Promo";#N/A,#N/A,FALSE,"Deleg"}</definedName>
    <definedName name="wrn.cmcgest." hidden="1">{#N/A,#N/A,FALSE,"CPresup";#N/A,#N/A,FALSE,"Ana";#N/A,#N/A,FALSE,"Desv";#N/A,#N/A,FALSE,"Ratios";#N/A,#N/A,FALSE,"Tex-Pub";#N/A,#N/A,FALSE,"Tarifas";#N/A,#N/A,FALSE,"ByN";#N/A,#N/A,FALSE,"Promo";#N/A,#N/A,FALSE,"Deleg"}</definedName>
    <definedName name="wrn.cmdirgen." localSheetId="14" hidden="1">{#N/A,#N/A,FALSE,"Res.Eco.";#N/A,#N/A,FALSE,"ReMen";#N/A,#N/A,FALSE,"ABCe"}</definedName>
    <definedName name="wrn.cmdirgen." hidden="1">{#N/A,#N/A,FALSE,"Res.Eco.";#N/A,#N/A,FALSE,"ReMen";#N/A,#N/A,FALSE,"ABCe"}</definedName>
    <definedName name="wrn.cmdisrb." localSheetId="14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disrb.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finan." localSheetId="14" hidden="1">{#N/A,#N/A,FALSE,"EOAF";#N/A,#N/A,FALSE,"Ingresos";#N/A,#N/A,FALSE,"Rat2";#N/A,#N/A,FALSE,"IFP";#N/A,#N/A,FALSE,"Anexo"}</definedName>
    <definedName name="wrn.cmfinan." hidden="1">{#N/A,#N/A,FALSE,"EOAF";#N/A,#N/A,FALSE,"Ingresos";#N/A,#N/A,FALSE,"Rat2";#N/A,#N/A,FALSE,"IFP";#N/A,#N/A,FALSE,"Anexo"}</definedName>
    <definedName name="wrn.CMINFORM." localSheetId="14" hidden="1">{#N/A,#N/A,FALSE,"Ratios";#N/A,#N/A,FALSE,"Proy"}</definedName>
    <definedName name="wrn.CMINFORM." hidden="1">{#N/A,#N/A,FALSE,"Ratios";#N/A,#N/A,FALSE,"Proy"}</definedName>
    <definedName name="wrn.cmprod." localSheetId="14" hidden="1">{#N/A,#N/A,FALSE,"Even";#N/A,#N/A,FALSE,"Hora";#N/A,#N/A,FALSE,"Bobinas";#N/A,#N/A,FALSE,"Paro";#N/A,#N/A,FALSE,"Perd";#N/A,#N/A,FALSE,"Color";#N/A,#N/A,FALSE,"Exter";#N/A,#N/A,FALSE,"ConsMes"}</definedName>
    <definedName name="wrn.cmprod." hidden="1">{#N/A,#N/A,FALSE,"Even";#N/A,#N/A,FALSE,"Hora";#N/A,#N/A,FALSE,"Bobinas";#N/A,#N/A,FALSE,"Paro";#N/A,#N/A,FALSE,"Perd";#N/A,#N/A,FALSE,"Color";#N/A,#N/A,FALSE,"Exter";#N/A,#N/A,FALSE,"ConsMes"}</definedName>
    <definedName name="wrn.cmproduc." localSheetId="14" hidden="1">{#N/A,#N/A,FALSE,"Ratios";#N/A,#N/A,FALSE,"Graf";#N/A,#N/A,FALSE,"Tirada";#N/A,#N/A,FALSE,"Desviaciones";#N/A,#N/A,FALSE,"Perdido"}</definedName>
    <definedName name="wrn.cmproduc." hidden="1">{#N/A,#N/A,FALSE,"Ratios";#N/A,#N/A,FALSE,"Graf";#N/A,#N/A,FALSE,"Tirada";#N/A,#N/A,FALSE,"Desviaciones";#N/A,#N/A,FALSE,"Perdido"}</definedName>
    <definedName name="wrn.CMPUB." localSheetId="14" hidden="1">{#N/A,#N/A,FALSE,"Mes";#N/A,#N/A,FALSE,"desviac";#N/A,#N/A,FALSE,"Pesetas";#N/A,#N/A,FALSE,"Páginas";#N/A,#N/A,FALSE,"Encarte";#N/A,#N/A,FALSE,"Sectores"}</definedName>
    <definedName name="wrn.CMPUB." hidden="1">{#N/A,#N/A,FALSE,"Mes";#N/A,#N/A,FALSE,"desviac";#N/A,#N/A,FALSE,"Pesetas";#N/A,#N/A,FALSE,"Páginas";#N/A,#N/A,FALSE,"Encarte";#N/A,#N/A,FALSE,"Sectores"}</definedName>
    <definedName name="wrn.color." localSheetId="14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lor.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M." hidden="1">{"COM",#N/A,FALSE,"800 10th"}</definedName>
    <definedName name="wrn.COM2" hidden="1">{"COM",#N/A,FALSE,"800 10th"}</definedName>
    <definedName name="wrn.COMBINED." hidden="1">{#N/A,#N/A,FALSE,"Page 2";#N/A,#N/A,FALSE,"Page 1A";#N/A,#N/A,FALSE,"Page 1B";#N/A,#N/A,FALSE,"FCE Returns";#N/A,#N/A,FALSE,"ExecSum";#N/A,#N/A,FALSE,"Budget";#N/A,#N/A,FALSE,"Summary1";#N/A,#N/A,FALSE,"Lease Summary";#N/A,#N/A,FALSE,"CashFlow";#N/A,#N/A,FALSE,"Year1 Cash Flow";#N/A,#N/A,FALSE,"Page 3";#N/A,#N/A,FALSE,"Page 4";#N/A,#N/A,FALSE,"Carry"}</definedName>
    <definedName name="wrn.comco." localSheetId="14" hidden="1">{"all",#N/A,FALSE,"Compco";"summary",#N/A,FALSE,"Compco"}</definedName>
    <definedName name="wrn.comco." hidden="1">{"all",#N/A,FALSE,"Compco";"summary",#N/A,FALSE,"Compco"}</definedName>
    <definedName name="wrn.COMLAWTC." hidden="1">{"Commish",#N/A,FALSE,"LAWTC"}</definedName>
    <definedName name="wrn.COMLAWTC2" hidden="1">{"Commish",#N/A,FALSE,"LAWTC"}</definedName>
    <definedName name="wrn.Commissions." localSheetId="14" hidden="1">{"Commisions",#N/A,FALSE,"2033K-R6"}</definedName>
    <definedName name="wrn.Commissions." hidden="1">{"Commisions",#N/A,FALSE,"2033K-R6"}</definedName>
    <definedName name="wrn.compco." localSheetId="14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etitive._.Set._.Information." hidden="1">{"Competitive Set Info",#N/A,FALSE,"Competitive Set";"YTD Information",#N/A,FALSE,"Competitive Set YTD"}</definedName>
    <definedName name="wrn.Complete." localSheetId="14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Cash._.Flow._.Summary." hidden="1">{"Cash Flow Summary",#N/A,TRUE,"CashFlowSummary";"Finance Cash Flow Summary",#N/A,TRUE,"FinanceCashFlow";"Equity Cash Flow Summary",#N/A,TRUE,"EquityReturns";"LeaseUp Cash Flow Summary",#N/A,TRUE,"LeaseUp";"Land Cash Flow Summary",#N/A,TRUE,"LandCashFlow";"Construction Cash Flow Summary",#N/A,TRUE,"ConstCashFlow";"A&amp;E Cash Flow Summary",#N/A,TRUE,"A&amp;ECashFlow";"Indirect Cash Flow Summary",#N/A,TRUE,"IndirectCashFlow";"G&amp;A Cash Flow Summary",#N/A,TRUE,"G&amp;ACashFlow";"Marketing Cash Flow Summary",#N/A,TRUE,"MarketingCashFlow"}</definedName>
    <definedName name="wrn.Complete._.Package." localSheetId="14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localSheetId="14" hidden="1">{#N/A,#N/A,FALSE,"Occ and Rate";#N/A,#N/A,FALSE,"PF Input";#N/A,#N/A,FALSE,"Capital Input";#N/A,#N/A,FALSE,"Proforma Five Yr";#N/A,#N/A,FALSE,"Calculations";#N/A,#N/A,FALSE,"Transaction Summary-DTW"}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ejo." localSheetId="14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ejo.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o.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so.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tribution." hidden="1">{#N/A,#N/A,FALSE,"Contribution Analysis"}</definedName>
    <definedName name="wrn.contribution.1" hidden="1">{#N/A,#N/A,FALSE,"Contribution Analysis"}</definedName>
    <definedName name="wrn.Control._.Sheet." hidden="1">{#N/A,#N/A,FALSE,"CONTROL"}</definedName>
    <definedName name="wrn.Core." hidden="1">{#N/A,#N/A,FALSE,"Summary";#N/A,#N/A,FALSE,"Summary (2)";#N/A,#N/A,FALSE,"100 Wall (ll)";#N/A,#N/A,FALSE,"100 Wall (pj)";#N/A,#N/A,FALSE,"88 Pine (ll)";#N/A,#N/A,FALSE,"88 Pine (pj)";#N/A,#N/A,FALSE,"1 WTC (ll)";#N/A,#N/A,FALSE,"1 WTC (pj)"}</definedName>
    <definedName name="wrn.Corporate." localSheetId="14" hidden="1">{"One",#N/A,FALSE,"Corporate"}</definedName>
    <definedName name="wrn.Corporate." hidden="1">{"One",#N/A,FALSE,"Corporate"}</definedName>
    <definedName name="wrn.Cost._.Report." hidden="1">{#N/A,#N/A,TRUE,"CostSumm";#N/A,#N/A,TRUE,"Land";#N/A,#N/A,TRUE,"Construction";#N/A,#N/A,TRUE,"A&amp;E";#N/A,#N/A,TRUE,"Indirect";#N/A,#N/A,TRUE,"Marketing";#N/A,#N/A,TRUE,"Finance";#N/A,#N/A,TRUE,"Gen and Admin"}</definedName>
    <definedName name="wrn.Cost._.Schedules." hidden="1">{#N/A,#N/A,TRUE,"CNST SCHD";#N/A,#N/A,TRUE,"TI SCHD";#N/A,#N/A,TRUE,"COM SCHD";#N/A,#N/A,TRUE,"LU INT-FFO SCHD"}</definedName>
    <definedName name="wrn.cotop." localSheetId="14" hidden="1">{"ReportTop",#N/A,FALSE,"report top"}</definedName>
    <definedName name="wrn.cotop." hidden="1">{"ReportTop",#N/A,FALSE,"report top"}</definedName>
    <definedName name="wrn.Credit._.Summary." hidden="1">{#N/A,#N/A,FALSE,"CREDIT"}</definedName>
    <definedName name="wrn.Crossings." localSheetId="14" hidden="1">{"One",#N/A,FALSE,"Crossings";"Two",#N/A,FALSE,"Crossings";"Three",#N/A,FALSE,"Crossings";"Fous",#N/A,FALSE,"Crossings";"Five",#N/A,FALSE,"Crossings"}</definedName>
    <definedName name="wrn.Crossings." hidden="1">{"One",#N/A,FALSE,"Crossings";"Two",#N/A,FALSE,"Crossings";"Three",#N/A,FALSE,"Crossings";"Fous",#N/A,FALSE,"Crossings";"Five",#N/A,FALSE,"Crossings"}</definedName>
    <definedName name="wrn.crossroads." localSheetId="14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data." localSheetId="14" hidden="1">{"data",#N/A,FALSE,"INPUT"}</definedName>
    <definedName name="wrn.data." hidden="1">{"data",#N/A,FALSE,"INPUT"}</definedName>
    <definedName name="wrn.data5" localSheetId="14" hidden="1">{"data",#N/A,FALSE,"INPUT"}</definedName>
    <definedName name="wrn.data5" hidden="1">{"data",#N/A,FALSE,"INPUT"}</definedName>
    <definedName name="wrn.dcf." localSheetId="14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localSheetId="14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localSheetId="14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R._.Output." localSheetId="14" hidden="1">{"DCR Output",#N/A,FALSE,"Output"}</definedName>
    <definedName name="wrn.DCR._.Output." hidden="1">{"DCR Output",#N/A,FALSE,"Output"}</definedName>
    <definedName name="wrn.Depreciation." localSheetId="14" hidden="1">{"One",#N/A,FALSE,"Depreciation"}</definedName>
    <definedName name="wrn.Depreciation." hidden="1">{"One",#N/A,FALSE,"Depreciation"}</definedName>
    <definedName name="wrn.detail." localSheetId="1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localSheetId="14" hidden="1">{"ACCOUNT DETAIL",#N/A,FALSE,"SCHEDULE E";"ACCOUNT DETAIL",#N/A,FALSE,"SCHEDULE G";"ACCOUNT DETAIL",#N/A,FALSE,"SCHEDULE H";"ACCOUNT DETAIL",#N/A,FALSE,"SCHEDULE I"}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_.Partnership._.Returns._.Leveraged." localSheetId="14" hidden="1">{"Return Analysis - Leveraged",#N/A,FALSE,"Return Analysis - Leveraged"}</definedName>
    <definedName name="wrn.Detailed._.Partnership._.Returns._.Leveraged." hidden="1">{"Return Analysis - Leveraged",#N/A,FALSE,"Return Analysis - Leveraged"}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" localSheetId="14" hidden="1">{"Construction Costs",#N/A,FALSE,"Budget";"Income Statement",#N/A,FALSE,"Budget"}</definedName>
    <definedName name="wrn.Development." hidden="1">{"Construction Costs",#N/A,FALSE,"Budget";"Income Statement",#N/A,FALSE,"Budget"}</definedName>
    <definedName name="wrn.Development._.Budget." localSheetId="14" hidden="1">{"Year 1",#N/A,FALSE,"Budget";"Year 2",#N/A,FALSE,"Budget";"Year 3",#N/A,FALSE,"Budget";"Year 4",#N/A,FALSE,"Budget"}</definedName>
    <definedName name="wrn.Development._.Budget." hidden="1">{"Year 1",#N/A,FALSE,"Budget";"Year 2",#N/A,FALSE,"Budget";"Year 3",#N/A,FALSE,"Budget";"Year 4",#N/A,FALSE,"Budget"}</definedName>
    <definedName name="wrn.Development2" localSheetId="14" hidden="1">{"Construction Costs",#N/A,FALSE,"Budget";"Income Statement",#N/A,FALSE,"Budget"}</definedName>
    <definedName name="wrn.Development2" hidden="1">{"Construction Costs",#N/A,FALSE,"Budget";"Income Statement",#N/A,FALSE,"Budget"}</definedName>
    <definedName name="wrn.DRAFT2.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tl.schedules" localSheetId="14" hidden="1">{"ACCOUNT DETAIL",#N/A,FALSE,"SCHEDULE E";"ACCOUNT DETAIL",#N/A,FALSE,"SCHEDULE G";"ACCOUNT DETAIL",#N/A,FALSE,"SCHEDULE H";"ACCOUNT DETAIL",#N/A,FALSE,"SCHEDULE I"}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localSheetId="1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bit." hidden="1">{"Ebit_detail",#N/A,FALSE,"P&amp;L";"Ebit_division_direct",#N/A,FALSE,"P&amp;L";"Ebit_indirect_allocation",#N/A,FALSE,"P&amp;L";"Ebit_division_indirect",#N/A,FALSE,"P&amp;L";"Ebit_Variance",#N/A,FALSE,"P&amp;L"}</definedName>
    <definedName name="wrn.EC1." hidden="1">{"eca",#N/A,TRUE,"E-C1 (R)";"ecb",#N/A,TRUE,"E-C1 (R)"}</definedName>
    <definedName name="wrn.Economic._.Value._.Added._.Analysis." localSheetId="14" hidden="1">{"EVA",#N/A,FALSE,"EVA";"WACC",#N/A,FALSE,"WACC"}</definedName>
    <definedName name="wrn.Economic._.Value._.Added._.Analysis." hidden="1">{"EVA",#N/A,FALSE,"EVA";"WACC",#N/A,FALSE,"WACC"}</definedName>
    <definedName name="wrn.ED." hidden="1">{"ed1",#N/A,TRUE,"E-D";"ed2",#N/A,TRUE,"E-D"}</definedName>
    <definedName name="wrn.Engineering." hidden="1">{#N/A,#N/A,FALSE,"ENGINEERING"}</definedName>
    <definedName name="wrn.ENTIRE.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.Package." localSheetId="14" hidden="1">{"Summary",#N/A,FALSE,"Assumptions";"Development 1 2",#N/A,FALSE,"Budget";"Operating Income",#N/A,FALSE,"Budget"}</definedName>
    <definedName name="wrn.Entire._.Package." hidden="1">{"Summary",#N/A,FALSE,"Assumptions";"Development 1 2",#N/A,FALSE,"Budget";"Operating Income",#N/A,FALSE,"Budget"}</definedName>
    <definedName name="wrn.Environmental." hidden="1">{#N/A,#N/A,FALSE,"ENVIRONMENTAL"}</definedName>
    <definedName name="wrn.equity." hidden="1">{#N/A,#N/A,FALSE,"Cover";#N/A,#N/A,FALSE,"Equity Sum";#N/A,#N/A,FALSE,"Constr Phase";#N/A,#N/A,FALSE,"Graph";#N/A,#N/A,FALSE,"Proforma";#N/A,#N/A,FALSE,"SQFT";#N/A,#N/A,FALSE,"TDC";#N/A,#N/A,FALSE,"Loan";#N/A,#N/A,FALSE,"Start Costs";#N/A,#N/A,FALSE,"Oper Exp";#N/A,#N/A,FALSE,"Grid"}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cavation." localSheetId="14" hidden="1">{"excavation",#N/A,FALSE,"DETAIL.XLS"}</definedName>
    <definedName name="wrn.Excavation." hidden="1">{"excavation",#N/A,FALSE,"DETAIL.XLS"}</definedName>
    <definedName name="wrn.EXCLUHGLT." localSheetId="14" hidden="1">{#N/A,#N/A,FALSE,"Centres";#N/A,#N/A,FALSE,"Partenariats";#N/A,#N/A,FALSE,"P.Diverses";#N/A,#N/A,FALSE,"Adm";#N/A,#N/A,FALSE,"Autres R-D";#N/A,#N/A,FALSE,"Intérêts"}</definedName>
    <definedName name="wrn.EXCLUHGLT." hidden="1">{#N/A,#N/A,FALSE,"Centres";#N/A,#N/A,FALSE,"Partenariats";#N/A,#N/A,FALSE,"P.Diverses";#N/A,#N/A,FALSE,"Adm";#N/A,#N/A,FALSE,"Autres R-D";#N/A,#N/A,FALSE,"Intérêts"}</definedName>
    <definedName name="wrn.Exec._.Summary." hidden="1">{#N/A,#N/A,FALSE,"Index"}</definedName>
    <definedName name="wrn.Exhibits." hidden="1">{#N/A,#N/A,FALSE,"Historical";#N/A,#N/A,FALSE,"Adjusted";#N/A,#N/A,FALSE,"CAM Alloc.";#N/A,#N/A,FALSE,"Projected CAM"}</definedName>
    <definedName name="wrn.ExitAndSalesAssumptions." localSheetId="14" hidden="1">{#N/A,#N/A,FALSE,"ExitStratigy"}</definedName>
    <definedName name="wrn.ExitAndSalesAssumptions." hidden="1">{#N/A,#N/A,FALSE,"ExitStratigy"}</definedName>
    <definedName name="wrn.EXPENSE." localSheetId="14" hidden="1">{#N/A,#N/A,FALSE,"Common Area Accrual";#N/A,#N/A,FALSE,"Unit One LaSalle";#N/A,#N/A,FALSE,"Unit One CW";#N/A,#N/A,FALSE,"Unit One LaSallle + C &amp; W";#N/A,#N/A,FALSE,"Consolidated Accrual"}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localSheetId="14" hidden="1">{#N/A,#N/A,FALSE,"Common Area Accrual";#N/A,#N/A,FALSE,"Unit One LaSalle";#N/A,#N/A,FALSE,"Unit One CW";#N/A,#N/A,FALSE,"Unit One LaSalle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pense._.Schedules." localSheetId="14" hidden="1">{"Expense Schedules",#N/A,FALSE,"Expense Schedules"}</definedName>
    <definedName name="wrn.Expense._.Schedules." hidden="1">{"Expense Schedules",#N/A,FALSE,"Expense Schedules"}</definedName>
    <definedName name="wrn.Exterior._.Wall." localSheetId="14" hidden="1">{#N/A,#N/A,FALSE,"Paramters";"print range",#N/A,FALSE,"GSF.XLS";"exterior wall",#N/A,FALSE,"DETAIL.XLS"}</definedName>
    <definedName name="wrn.Exterior._.Wall." hidden="1">{#N/A,#N/A,FALSE,"Paramters";"print range",#N/A,FALSE,"GSF.XLS";"exterior wall",#N/A,FALSE,"DETAIL.XLS"}</definedName>
    <definedName name="wrn.External.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FCB." localSheetId="14" hidden="1">{"FCB_ALL",#N/A,FALSE,"FCB"}</definedName>
    <definedName name="wrn.FCB." hidden="1">{"FCB_ALL",#N/A,FALSE,"FCB"}</definedName>
    <definedName name="wrn.fcb2" localSheetId="14" hidden="1">{"FCB_ALL",#N/A,FALSE,"FCB"}</definedName>
    <definedName name="wrn.fcb2" hidden="1">{"FCB_ALL",#N/A,FALSE,"FCB"}</definedName>
    <definedName name="wrn.FCG." localSheetId="14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localSheetId="14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localSheetId="14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I1CF." hidden="1">{#N/A,#N/A,FALSE,"NO.1"}</definedName>
    <definedName name="wrn.FCRP." hidden="1">{#N/A,#N/A,FALSE,"FCRP EQUITY BAL BY PROJECT";#N/A,#N/A,FALSE,"TB Variance (2)"}</definedName>
    <definedName name="wrn.FCRP._.STRATEGIC._.PLAN.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Reports." hidden="1">{#N/A,#N/A,FALSE,"Overview";#N/A,#N/A,FALSE,"santafe";#N/A,#N/A,FALSE,"noble";#N/A,#N/A,FALSE,"Combined Results";#N/A,#N/A,FALSE,"Earnings"}</definedName>
    <definedName name="wrn.Financial._.Statements." localSheetId="14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nancing." localSheetId="14" hidden="1">{"One",#N/A,FALSE,"Financing";"Two",#N/A,FALSE,"Financing";"Three",#N/A,FALSE,"Financing";"Four",#N/A,FALSE,"Financing"}</definedName>
    <definedName name="wrn.Financing." hidden="1">{"One",#N/A,FALSE,"Financing";"Two",#N/A,FALSE,"Financing";"Three",#N/A,FALSE,"Financing";"Four",#N/A,FALSE,"Financing"}</definedName>
    <definedName name="wrn.Financing_Assumptions." localSheetId="14" hidden="1">{"One",#N/A,FALSE,"Financing Assumptions";"Two",#N/A,FALSE,"Financing Assumptions";"Three",#N/A,FALSE,"Financing Assumptions";"Four",#N/A,FALSE,"Financing Assumptions"}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et." hidden="1">{"FleetDetailsNE",#N/A,FALSE,"NEForecast"}</definedName>
    <definedName name="wrn.Fmgmtfee." localSheetId="14" hidden="1">{#N/A,#N/A,FALSE,"Fmgmtfee"}</definedName>
    <definedName name="wrn.Fmgmtfee." hidden="1">{#N/A,#N/A,FALSE,"Fmgmtfee"}</definedName>
    <definedName name="wrn.FMJVO._.and._.Summary._.with._.Calculations." localSheetId="14" hidden="1">{#N/A,#N/A,FALSE,"Summary";#N/A,#N/A,FALSE,"General Inputs &amp; Assumptions";"Franchise All",#N/A,FALSE,"Franchise";"Managed All",#N/A,FALSE,"Managed";"JV All",#N/A,FALSE,"JV";"Owned All",#N/A,FALSE,"Owned"}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schedules." localSheetId="14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redrik." hidden="1">{#N/A,#N/A,TRUE,"Title Page";#N/A,#N/A,TRUE,"Executive Summary";#N/A,#N/A,TRUE,"Assumptions";#N/A,#N/A,TRUE,"Narrative Assumptions";#N/A,#N/A,TRUE,"Vacant Space";#N/A,#N/A,TRUE,"2nd Generation";#N/A,#N/A,TRUE,"Cash Flow";#N/A,#N/A,TRUE,"Residual (Year 10)";#N/A,#N/A,TRUE,"Residual (Year 20)";#N/A,#N/A,TRUE,"Pricing Matrix";#N/A,#N/A,TRUE,"Expiration Schedule";#N/A,#N/A,TRUE,"Expiration Graph ";#N/A,#N/A,TRUE,"Vacancy Detail";#N/A,#N/A,TRUE,"Value Matrix";#N/A,#N/A,TRUE,"Value Matrix (2)";#N/A,#N/A,TRUE,"GI Detail";#N/A,#N/A,TRUE,"ALease-up Schedule";#N/A,#N/A,TRUE,"Exp Detail";#N/A,#N/A,TRUE,"Exp Analysis Fixed-Var";#N/A,#N/A,TRUE,"Capital Plan"}</definedName>
    <definedName name="wrn.Full." localSheetId="14" hidden="1">{#N/A,#N/A,FALSE,"ExecutiveSummary";#N/A,#N/A,FALSE,"CostDetail";#N/A,#N/A,FALSE,"IncomeDetail";#N/A,#N/A,FALSE,"InterestCalculation"}</definedName>
    <definedName name="wrn.Full." hidden="1">{#N/A,#N/A,FALSE,"ExecutiveSummary";#N/A,#N/A,FALSE,"CostDetail";#N/A,#N/A,FALSE,"IncomeDetail";#N/A,#N/A,FALSE,"InterestCalculation"}</definedName>
    <definedName name="wrn.Full._.Budget.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COMPARISON." localSheetId="14" hidden="1">{"Full Sheet",#N/A,FALSE,"Expense Comparison"}</definedName>
    <definedName name="wrn.FULL._.COMPARISON." hidden="1">{"Full Sheet",#N/A,FALSE,"Expense Comparison"}</definedName>
    <definedName name="wrn.Full._.Print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un." hidden="1">{#N/A,#N/A,FALSE,"Summary";#N/A,#N/A,FALSE,"Remaining Obligation";#N/A,#N/A,FALSE,"Sublease Income";#N/A,#N/A,FALSE,"New Lease"}</definedName>
    <definedName name="wrn.Full_Template.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Garage." hidden="1">{#N/A,#N/A,FALSE,"Garage Assumpt 1";#N/A,#N/A,FALSE,"Garage Op Proj";#N/A,#N/A,FALSE,"Hist I&amp;E";#N/A,#N/A,FALSE,"Garage Lease"}</definedName>
    <definedName name="wrn.Gen_Misc._.Input." localSheetId="14" hidden="1">{"General Input",#N/A,FALSE,"General Info";"Miscellaneous Input",#N/A,FALSE,"General Info"}</definedName>
    <definedName name="wrn.Gen_Misc._.Input." hidden="1">{"General Input",#N/A,FALSE,"General Info";"Miscellaneous Input",#N/A,FALSE,"General Info"}</definedName>
    <definedName name="wrn.General." localSheetId="14" hidden="1">{"Balance",#N/A,FALSE,"General Assumptions";"Cost",#N/A,FALSE,"General Assumptions";"Working",#N/A,FALSE,"General Assumptions"}</definedName>
    <definedName name="wrn.General." hidden="1">{"Balance",#N/A,FALSE,"General Assumptions";"Cost",#N/A,FALSE,"General Assumptions";"Working",#N/A,FALSE,"General Assumptions"}</definedName>
    <definedName name="wrn.global.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_.CompCo." localSheetId="14" hidden="1">{"Outputs",#N/A,TRUE,"North America";"Outputs",#N/A,TRUE,"Europe";"Outputs",#N/A,TRUE,"Asia Pacific";"Outputs",#N/A,TRUE,"Latin America";"Outputs",#N/A,TRUE,"Wireless"}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o._.Support._.Documents.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ross._.up." localSheetId="14" hidden="1">{#N/A,#N/A,FALSE,"Gross-Up"}</definedName>
    <definedName name="wrn.Gross._.up." hidden="1">{#N/A,#N/A,FALSE,"Gross-Up"}</definedName>
    <definedName name="wrn.Ground._.Lease._.Analysis." hidden="1">{#N/A,#N/A,TRUE,"OVERVIEW";#N/A,#N/A,TRUE,"ABSTRACT";#N/A,#N/A,TRUE,"CASH FLOW";#N/A,#N/A,TRUE,"CASH FLOW SUMMARY";#N/A,#N/A,TRUE,"NPV ANALYSIS"}</definedName>
    <definedName name="wrn.GSA._.PRINT." localSheetId="14" hidden="1">{#N/A,#N/A,FALSE,"DEV COSTS";#N/A,#N/A,FALSE,"10-YR C. F."}</definedName>
    <definedName name="wrn.GSA._.PRINT." hidden="1">{#N/A,#N/A,FALSE,"DEV COSTS";#N/A,#N/A,FALSE,"10-YR C. F."}</definedName>
    <definedName name="wrn.gsa._PRINT5" localSheetId="14" hidden="1">{#N/A,#N/A,FALSE,"DEV COSTS";#N/A,#N/A,FALSE,"10-YR C. F."}</definedName>
    <definedName name="wrn.gsa._PRINT5" hidden="1">{#N/A,#N/A,FALSE,"DEV COSTS";#N/A,#N/A,FALSE,"10-YR C. F."}</definedName>
    <definedName name="wrn.Gund._.Arena._.PCD." localSheetId="14" hidden="1">{#N/A,#N/A,TRUE,"Gund Arena PCD";#N/A,#N/A,TRUE,"Gund Arena IOR"}</definedName>
    <definedName name="wrn.Gund._.Arena._.PCD." hidden="1">{#N/A,#N/A,TRUE,"Gund Arena PCD";#N/A,#N/A,TRUE,"Gund Arena IOR"}</definedName>
    <definedName name="wrn.Hanover._.Portfolio._.Info..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EAT." hidden="1">{#N/A,#N/A,FALSE,"Heat";#N/A,#N/A,FALSE,"DCF";#N/A,#N/A,FALSE,"LBO";#N/A,#N/A,FALSE,"A";#N/A,#N/A,FALSE,"C";#N/A,#N/A,FALSE,"impd";#N/A,#N/A,FALSE,"Accr-Dilu"}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istory._.Proforma." localSheetId="14" hidden="1">{"History &amp; Projection",#N/A,FALSE,"History - Proforma"}</definedName>
    <definedName name="wrn.History._.Proforma." hidden="1">{"History &amp; Projection",#N/A,FALSE,"History - Proforma"}</definedName>
    <definedName name="wrn.History._.Projection._.Comps." localSheetId="14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rizon._.Bay." hidden="1">{"NOI Annual",#N/A,FALSE,"NOI";"NOI 2002",#N/A,FALSE,"NOI";"NOI 2003",#N/A,FALSE,"NOI";"NOI 2004",#N/A,FALSE,"NOI";"NOI 2005",#N/A,FALSE,"NOI";"NOI 2006",#N/A,FALSE,"NOI";"NOI (not annualized)",#N/A,FALSE,"NOI";"Routine CAPEX 2002",#N/A,FALSE,"Routine CAPEX";"Routine CAPEX Inputs",#N/A,FALSE,"Routine CAPEX Inputs";"Routine CAPEX 2003",#N/A,FALSE,"Routine CAPEX";"Routine CAPEX 2004",#N/A,FALSE,"Routine CAPEX";"Routine CAPEX 2005",#N/A,FALSE,"Routine CAPEX";"Routine CAPEX 2006",#N/A,FALSE,"Routine CAPEX";"Routine CAPEX Per Room",#N/A,FALSE,"Routine CAPEX";"Routine CAPEX Annual",#N/A,FALSE,"Routine CAPEX";"Reno Summary",#N/A,FALSE,"Reno CAPEX";"Reno 2002",#N/A,FALSE,"Reno CAPEX";"Reno 2003",#N/A,FALSE,"Reno CAPEX";"Reno 2004",#N/A,FALSE,"Reno CAPEX";"Reno Annual",#N/A,FALSE,"Reno CAPEX";"Unlev CF 2002",#N/A,FALSE,"Unlev CF";"Unlev CF 2003",#N/A,FALSE,"Unlev CF";"UNlev CF 2004",#N/A,FALSE,"Unlev CF";"Unlev CF 2005",#N/A,FALSE,"Unlev CF";"Unlev CF 2006",#N/A,FALSE,"Unlev CF";"Lease 2002",#N/A,FALSE,"Leases";"Leases 2003",#N/A,FALSE,"Leases";"Leases 2004",#N/A,FALSE,"Leases";"Leases 2005",#N/A,FALSE,"Leases";"Leases 2006",#N/A,FALSE,"Leases";"Lease Pay 2002",#N/A,FALSE,"Leases";"Lease Pay 2003",#N/A,FALSE,"Leases";"Lease Pay 2004",#N/A,FALSE,"Leases";"Lease Pay 2005",#N/A,FALSE,"Leases";"Lease Pay 2006",#N/A,FALSE,"Leases";"Lease Annual",#N/A,FALSE,"Leases";"Lease Pay Summary",#N/A,FALSE,"Leases";"Escrows 2002",#N/A,FALSE,"Escrows";"Escrows 2003",#N/A,FALSE,"Escrows";"Escrows 2004",#N/A,FALSE,"Escrows";"Escrows 2005",#N/A,FALSE,"Escrows";"Escrows 2006",#N/A,FALSE,"Escrows";"Escrows Summary",#N/A,FALSE,"Escrows";"Con Paydown 2002",#N/A,FALSE,"Consolidated Debt";"Con Interest 2002",#N/A,FALSE,"Consolidated Debt";"Con Paydown 2003",#N/A,FALSE,"Consolidated Debt";"Con Interest 2003",#N/A,FALSE,"Consolidated Debt";"Con Paydown 2004",#N/A,FALSE,"Consolidated Debt";"Con Interest 2004",#N/A,FALSE,"Consolidated Debt";"GDP Summary",#N/A,FALSE,"GDP";"GDP 2002",#N/A,FALSE,"GDP";"GDP 2003",#N/A,FALSE,"GDP";"GDP 2004",#N/A,FALSE,"GDP";"GDP 2005",#N/A,FALSE,"GDP";"GDP 2006",#N/A,FALSE,"GDP";"WH CF 2002",#N/A,FALSE,"WH Lev CF";"WH CF 2003",#N/A,FALSE,"WH Lev CF";"WH CF 2004",#N/A,FALSE,"WH Lev CF";"WH CF 2005",#N/A,FALSE,"WH Lev CF";"Wh CF 2006",#N/A,FALSE,"WH Lev CF";"levCF2002",#N/A,FALSE,"WH Lev CF";"levCF2003",#N/A,FALSE,"WH Lev CF";"levCF2004",#N/A,FALSE,"WH Lev CF";"levCF2005",#N/A,FALSE,"WH Lev CF";"levCF2006",#N/A,FALSE,"WH Lev CF"}</definedName>
    <definedName name="wrn.Hyatt._.Report." localSheetId="14" hidden="1">{"History+Projection+5Comps",#N/A,FALSE,"HISTORY (2)";"$ Per Occupied History+Projection+5Comps",#N/A,FALSE,"HISTORY (2)";"History+Projection",#N/A,FALSE,"HISTORY (2)"}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Hyatt_.Report" localSheetId="14" hidden="1">{"History+Projection+5Comps",#N/A,FALSE,"HISTORY (2)";"$ Per Occupied History+Projection+5Comps",#N/A,FALSE,"HISTORY (2)";"History+Projection",#N/A,FALSE,"HISTORY (2)"}</definedName>
    <definedName name="wrn.Hyatt_.Report" hidden="1">{"History+Projection+5Comps",#N/A,FALSE,"HISTORY (2)";"$ Per Occupied History+Projection+5Comps",#N/A,FALSE,"HISTORY (2)";"History+Projection",#N/A,FALSE,"HISTORY (2)"}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I." localSheetId="14" hidden="1">{"IBI PRIMERA",#N/A,FALSE,"IBI 2002";"IBI SEGUNDA",#N/A,FALSE,"IBI 2002"}</definedName>
    <definedName name="wrn.IBI." hidden="1">{"IBI PRIMERA",#N/A,FALSE,"IBI 2002";"IBI SEGUNDA",#N/A,FALSE,"IBI 2002"}</definedName>
    <definedName name="wrn.III." localSheetId="14" hidden="1">{"CASHFLOW",#N/A,FALSE,"Northpointe"}</definedName>
    <definedName name="wrn.III." hidden="1">{"CASHFLOW",#N/A,FALSE,"Northpointe"}</definedName>
    <definedName name="wrn.Income._.Statements." localSheetId="14" hidden="1">{"Annual Income",#N/A,FALSE,"Revenues";"Quarter Income",#N/A,FALSE,"Revenues"}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_Statement." localSheetId="14" hidden="1">{"One",#N/A,FALSE,"Income Statement";"Two",#N/A,FALSE,"Income Statement";"Three",#N/A,FALSE,"Income Statement";"Four",#N/A,FALSE,"Income Statement"}</definedName>
    <definedName name="wrn.Income_Statement." hidden="1">{"One",#N/A,FALSE,"Income Statement";"Two",#N/A,FALSE,"Income Statement";"Three",#N/A,FALSE,"Income Statement";"Four",#N/A,FALSE,"Income Statement"}</definedName>
    <definedName name="wrn.Index." hidden="1">{#N/A,#N/A,FALSE,"INDEX"}</definedName>
    <definedName name="wrn.Individual._.Regions." localSheetId="14" hidden="1">{#N/A,#N/A,FALSE,"Summary";#N/A,#N/A,FALSE,"AIME";#N/A,#N/A,FALSE,"Asia (2)";#N/A,#N/A,FALSE,"Europe";#N/A,#N/A,FALSE,"LA"}</definedName>
    <definedName name="wrn.Individual._.Regions." hidden="1">{#N/A,#N/A,FALSE,"Summary";#N/A,#N/A,FALSE,"AIME";#N/A,#N/A,FALSE,"Asia (2)";#N/A,#N/A,FALSE,"Europe";#N/A,#N/A,FALSE,"LA"}</definedName>
    <definedName name="wrn.Input._.Assumption._.Sheets." hidden="1">{#N/A,#N/A,TRUE,"inp. genl.";#N/A,#N/A,TRUE,"inp. cnst. cost";#N/A,#N/A,TRUE,"inp. lease-up";#N/A,#N/A,TRUE,"inp. exp."}</definedName>
    <definedName name="wrn.Inputs." localSheetId="14" hidden="1">{"Inputs",#N/A,TRUE,"North America";"Inputs",#N/A,TRUE,"Europe";"Inputs",#N/A,TRUE,"Asia Pacific";"Inputs",#N/A,TRUE,"Latin America";"Inputs",#N/A,TRUE,"Wireless"}</definedName>
    <definedName name="wrn.Inputs." hidden="1">{#N/A,#N/A,FALSE,"Input"}</definedName>
    <definedName name="wrn.Interior._.finishes." localSheetId="14" hidden="1">{"interior finishes",#N/A,FALSE,"DETAIL.XLS"}</definedName>
    <definedName name="wrn.Interior._.finishes." hidden="1">{"interior finishes",#N/A,FALSE,"DETAIL.XLS"}</definedName>
    <definedName name="wrn.Internal." hidden="1">{#N/A,#N/A,FALSE,"Apt. Exec Sum";#N/A,#N/A,FALSE,"Master Budget";#N/A,#N/A,FALSE,"Assumptions";#N/A,#N/A,FALSE,"Unit Schedule no Condo";#N/A,#N/A,FALSE,"Apt.CashFlow";#N/A,#N/A,FALSE,"Apt. Lease-up"}</definedName>
    <definedName name="wrn.INTERNAL._.COST." hidden="1">{"COST.PROFIT",#N/A,TRUE,"Cost.profit";"DDCOHEAD",#N/A,TRUE,"D,D&amp;C overhead"}</definedName>
    <definedName name="wrn.Investment._.Review." localSheetId="14" hidden="1">{#N/A,#N/A,FALSE,"Proforma Five Yr";#N/A,#N/A,FALSE,"Capital Input";#N/A,#N/A,FALSE,"Calculations";#N/A,#N/A,FALSE,"Transaction Summary-DTW"}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localSheetId="14" hidden="1">{"Preferred Equity IRR",#N/A,FALSE,"PROFORMA";"GP Cash Flow and IRR",#N/A,FALSE,"PROFORMA"}</definedName>
    <definedName name="wrn.Investment._.Summary._.Golf._.Suites." hidden="1">{"Preferred Equity IRR",#N/A,FALSE,"PROFORMA";"GP Cash Flow and IRR",#N/A,FALSE,"PROFORMA"}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Ist._.Year." hidden="1">{#N/A,#N/A,FALSE,"CF Yr1";#N/A,#N/A,FALSE,"Rent Roll";#N/A,#N/A,FALSE,"Rent Yr1";#N/A,#N/A,FALSE,"Occ Yr1";#N/A,#N/A,FALSE,"TI+Com Yr1";#N/A,#N/A,FALSE,"OER Yr1";#N/A,#N/A,FALSE,"OE Yr1"}</definedName>
    <definedName name="wrn.JM." hidden="1">{#N/A,#N/A,FALSE,"ExecSum";#N/A,#N/A,FALSE,"Budget";#N/A,#N/A,FALSE,"Summary1";#N/A,#N/A,FALSE,"CashFlow";#N/A,#N/A,FALSE,"Year1 Cash Flow";#N/A,#N/A,FALSE,"Carry";#N/A,#N/A,FALSE,"Page 3"}</definedName>
    <definedName name="wrn.JODM._.Graphs." localSheetId="1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localSheetId="14" hidden="1">{"One",#N/A,FALSE,"JV"}</definedName>
    <definedName name="wrn.JV." hidden="1">{"One",#N/A,FALSE,"JV"}</definedName>
    <definedName name="wrn.kathys." localSheetId="14" hidden="1">{"page1",#N/A,FALSE,"Cashflow";"page2",#N/A,FALSE,"Cashflow"}</definedName>
    <definedName name="wrn.kathys." hidden="1">{"page1",#N/A,FALSE,"Cashflow";"page2",#N/A,FALSE,"Cashflow"}</definedName>
    <definedName name="wrn.LAKEANNE7." hidden="1">{#N/A,#N/A,FALSE,"DEV SUMMARY";#N/A,#N/A,FALSE,"INV SUMMARY";#N/A,#N/A,FALSE,"REV SUMMARY";#N/A,#N/A,FALSE,"CONST COST"}</definedName>
    <definedName name="wrn.Large._.Cash._.Flow." hidden="1">{"CashFlow_Large",#N/A,FALSE,"CashFlowSummary";"Finance_Large",#N/A,FALSE,"FinanceCashFlow";"Equity_Large",#N/A,FALSE,"EquityCashFlow";"LeaseUp_Large",#N/A,FALSE,"LeaseUp";"Land_Large",#N/A,FALSE,"LandCashFlow";"Construction_Large",#N/A,FALSE,"ConstCashFlow";"A&amp;E_Large",#N/A,FALSE,"A&amp;ECashFlow";"Indirect_Large",#N/A,FALSE,"IndirectCashFlow";"G&amp;A_Large",#N/A,FALSE,"G&amp;ACashFlow";"Marketing_Large",#N/A,FALSE,"MarketingCashFlow";"Returns_Large",#N/A,FALSE,"EquityReturns"}</definedName>
    <definedName name="wrn.Large._.Cash._.Flow._.Summary." hidden="1">{"Cash Flow_Large",#N/A,FALSE,"CashFlowSummary";"Finance_Large",#N/A,FALSE,"FinanceCashFlow";"Equity_Large",#N/A,FALSE,"EquityReturns";"LeaseUp_Large",#N/A,FALSE,"LeaseUp"}</definedName>
    <definedName name="wrn.Lease._.Rollover." hidden="1">{#N/A,#N/A,FALSE,"Lease Rollover"}</definedName>
    <definedName name="wrn.Lease._.Up._.Summary." localSheetId="14" hidden="1">{"Lease Up Summary",#N/A,FALSE,"2033K-R6"}</definedName>
    <definedName name="wrn.Lease._.Up._.Summary." hidden="1">{"Lease Up Summary",#N/A,FALSE,"2033K-R6"}</definedName>
    <definedName name="wrn.Leases." hidden="1">{#N/A,#N/A,FALSE,"Leases"}</definedName>
    <definedName name="wrn.LEASING." hidden="1">{#N/A,#N/A,FALSE,"96 RENT SUM";#N/A,#N/A,FALSE,"LSGACTSCHED";#N/A,#N/A,FALSE,"Conc. Sched"}</definedName>
    <definedName name="wrn.Leasing._.Assumptions." localSheetId="14" hidden="1">{"Assumptions",#N/A,FALSE,"Leasing Assumptions"}</definedName>
    <definedName name="wrn.Leasing._.Assumptions." hidden="1">{"Assumptions",#N/A,FALSE,"Leasing Assumptions"}</definedName>
    <definedName name="wrn.Leasing._.Variance." localSheetId="14" hidden="1">{#N/A,#N/A,FALSE,"Leasing 6A"}</definedName>
    <definedName name="wrn.Leasing._.Variance." hidden="1">{#N/A,#N/A,FALSE,"Leasing 6A"}</definedName>
    <definedName name="wrn.LEASING._1" hidden="1">{#N/A,#N/A,FALSE,"96 RENT SUM";#N/A,#N/A,FALSE,"LSGACTSCHED";#N/A,#N/A,FALSE,"Conc. Sched"}</definedName>
    <definedName name="wrn.LETTERED." localSheetId="14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localSheetId="14" hidden="1">{"Loan Summary",#N/A,FALSE,"Phase 1 loan &amp; data"}</definedName>
    <definedName name="wrn.lnsum" hidden="1">{"Loan Summary",#N/A,FALSE,"Phase 1 loan &amp; data"}</definedName>
    <definedName name="wrn.Loan._.Pricing._.Analysis." hidden="1">{#N/A,#N/A,FALSE,"LOAN ANALYSIS"}</definedName>
    <definedName name="wrn.Loan._.Summary." localSheetId="14" hidden="1">{"Loan Summary",#N/A,FALSE,"Phase 1 loan &amp; data"}</definedName>
    <definedName name="wrn.Loan._.Summary." hidden="1">{"Loan Summary",#N/A,FALSE,"Phase 1 loan &amp; data"}</definedName>
    <definedName name="wrn.LoanInformation." localSheetId="14" hidden="1">{#N/A,#N/A,FALSE,"LoanAssumptions"}</definedName>
    <definedName name="wrn.LoanInformation." hidden="1">{#N/A,#N/A,FALSE,"LoanAssumptions"}</definedName>
    <definedName name="wrn.LOWY._.REPORT." hidden="1">{"TITLE",#N/A,TRUE,"TITLE SHEET";"cover_sheet",#N/A,TRUE,"COVER SHHET";"PROFOMA",#N/A,TRUE,"Feasability";"DRTSMRY",#N/A,TRUE,"DIRECT COST";"NEW_ROLL",#N/A,TRUE,"NEW RENT ROLL";"LOST_RENT",#N/A,TRUE,"Lost rent-buyout"}</definedName>
    <definedName name="wrn.ltrd." localSheetId="14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localSheetId="14" hidden="1">{"LTV Output",#N/A,FALSE,"Output"}</definedName>
    <definedName name="wrn.LTV._.Output." hidden="1">{"LTV Output",#N/A,FALSE,"Output"}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et." hidden="1">{#N/A,#N/A,FALSE,"SUBMKT";#N/A,#N/A,FALSE,"MARKET";#N/A,#N/A,FALSE,"VACANCY";#N/A,#N/A,FALSE,"ABSORB";#N/A,#N/A,FALSE,"SUBLEASE";#N/A,#N/A,FALSE,"CONSTRCT"}</definedName>
    <definedName name="wrn.Market._.Values." localSheetId="14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ING." localSheetId="14" hidden="1">{#N/A,#N/A,FALSE,"MARKETING I";#N/A,#N/A,FALSE,"MARKETING II";#N/A,#N/A,FALSE,"MARKETING III"}</definedName>
    <definedName name="wrn.MARKETING." hidden="1">{#N/A,#N/A,FALSE,"MARKETING I";#N/A,#N/A,FALSE,"MARKETING II";#N/A,#N/A,FALSE,"MARKETING III"}</definedName>
    <definedName name="wrn.Master." hidden="1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emo." hidden="1">{#N/A,#N/A,FALSE,"Internal";#N/A,#N/A,FALSE,"CLOSING-EXT";#N/A,#N/A,FALSE,"GAIN-LOSS"}</definedName>
    <definedName name="wrn.merge.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FJVO._.and._.Summary._.Inputs._.Only." localSheetId="14" hidden="1">{#N/A,#N/A,FALSE,"Summary";#N/A,#N/A,FALSE,"General Inputs &amp; Assumptions";"Franchise Inputs",#N/A,FALSE,"Franchise";"Managed Inputs a",#N/A,FALSE,"Managed";"JV Inputs",#N/A,FALSE,"JV";"Owned Inputs",#N/A,FALSE,"Owned"}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inrenn" localSheetId="14" hidden="1">{"MINRENT2",#N/A,FALSE,"SCHEDULE B"}</definedName>
    <definedName name="wrn.minrenn" hidden="1">{"MINRENT2",#N/A,FALSE,"SCHEDULE B"}</definedName>
    <definedName name="wrn.MINRENT." localSheetId="14" hidden="1">{"MINRENT2",#N/A,FALSE,"SCHEDULE B"}</definedName>
    <definedName name="wrn.MINRENT." hidden="1">{"MINRENT2",#N/A,FALSE,"SCHEDULE B"}</definedName>
    <definedName name="wrn.minrent.2" localSheetId="14" hidden="1">{"MINRENT2",#N/A,FALSE,"SCHEDULE B"}</definedName>
    <definedName name="wrn.minrent.2" hidden="1">{"MINRENT2",#N/A,FALSE,"SCHEDULE B"}</definedName>
    <definedName name="wrn.mkting" localSheetId="14" hidden="1">{#N/A,#N/A,FALSE,"MARKETING I";#N/A,#N/A,FALSE,"MARKETING II";#N/A,#N/A,FALSE,"MARKETING III"}</definedName>
    <definedName name="wrn.mkting" hidden="1">{#N/A,#N/A,FALSE,"MARKETING I";#N/A,#N/A,FALSE,"MARKETING II";#N/A,#N/A,FALSE,"MARKETING III"}</definedName>
    <definedName name="wrn.m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MODEL." localSheetId="1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{"Investor",#N/A,FALSE,"Model";"Property",#N/A,FALSE,"Model";"Incentive Taxes",#N/A,FALSE,"Model"}</definedName>
    <definedName name="wrn.model2." hidden="1">{"Investor",#N/A,FALSE,"Model";"Property",#N/A,FALSE,"Model";"Incentive Taxes",#N/A,FALSE,"Model"}</definedName>
    <definedName name="wrn.MODEL5" localSheetId="1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localSheetId="14" hidden="1">{"MONTHLY",#N/A,FALSE,"Pro Forma";"MONTHLY",#N/A,FALSE,"Equity"}</definedName>
    <definedName name="wrn.Monthly." hidden="1">{"MONTHLY",#N/A,FALSE,"Pro Forma";"MONTHLY",#N/A,FALSE,"Equity"}</definedName>
    <definedName name="wrn.Monthly._.Cash._.Flow._.Report." hidden="1">{"Cash Flow_Small",#N/A,TRUE,"CashFlowSummary";"Finance_Small",#N/A,TRUE,"FinanceCashFlow";"Marketing_Small",#N/A,TRUE,"MarketingCashFlow";"Construction_Small",#N/A,TRUE,"ConstCashFlow";"Land_Small",#N/A,TRUE,"LandCashFlow";"A&amp;E_Small",#N/A,TRUE,"A&amp;ECashFlow";"Indirect_Small",#N/A,TRUE,"IndirectCashFlow";"G&amp;A_Small",#N/A,TRUE,"G&amp;ACashFlow"}</definedName>
    <definedName name="wrn.Monthly._.Cost._.Report." hidden="1">{#N/A,#N/A,TRUE,"Cover";#N/A,#N/A,TRUE,"BTCostSummary";"Construction with Retention",#N/A,TRUE,"Construction";#N/A,#N/A,TRUE,"Finance";#N/A,#N/A,TRUE,"Marketing";#N/A,#N/A,TRUE,"A&amp;E";#N/A,#N/A,TRUE,"Indirect";#N/A,#N/A,TRUE,"Gen and Admin"}</definedName>
    <definedName name="wrn.monthly._.financial." localSheetId="14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Report." localSheetId="14" hidden="1">{"pro forma monthly",#N/A,FALSE,"Pro Forma";"equity monthly",#N/A,FALSE,"Equity";"TCC monthly",#N/A,FALSE,"TCC"}</definedName>
    <definedName name="wrn.Monthly._.Report." hidden="1">{"pro forma monthly",#N/A,FALSE,"Pro Forma";"equity monthly",#N/A,FALSE,"Equity";"TCC monthly",#N/A,FALSE,"TCC"}</definedName>
    <definedName name="wrn.MonthlyRentRoll." localSheetId="14" hidden="1">{"MonthlyRentRoll",#N/A,FALSE,"RentRoll"}</definedName>
    <definedName name="wrn.MonthlyRentRoll." hidden="1">{"MonthlyRentRoll",#N/A,FALSE,"RentRoll"}</definedName>
    <definedName name="wrn.Mortgage._.Loan._.Sch." hidden="1">{#N/A,#N/A,FALSE,"Mortgage Loan Sch"}</definedName>
    <definedName name="wrn.negro." localSheetId="14" hidden="1">{#N/A,#N/A,FALSE,"Real 96";#N/A,#N/A,FALSE,"Pto 96";#N/A,#N/A,FALSE,"Real 95";#N/A,#N/A,FALSE,"Grupo"}</definedName>
    <definedName name="wrn.negro." hidden="1">{#N/A,#N/A,FALSE,"Real 96";#N/A,#N/A,FALSE,"Pto 96";#N/A,#N/A,FALSE,"Real 95";#N/A,#N/A,FALSE,"Grupo"}</definedName>
    <definedName name="wrn.ne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New_Business." localSheetId="14" hidden="1">{"One",#N/A,FALSE,"New Business"}</definedName>
    <definedName name="wrn.New_Business." hidden="1">{"One",#N/A,FALSE,"New Business"}</definedName>
    <definedName name="wrn.newest." hidden="1">{#N/A,#N/A,TRUE,"TS";#N/A,#N/A,TRUE,"Combo";#N/A,#N/A,TRUE,"FAIR";#N/A,#N/A,TRUE,"RBC";#N/A,#N/A,TRUE,"xxxx"}</definedName>
    <definedName name="wrn.NoAptRR.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rth._.America." localSheetId="14" hidden="1">{#N/A,#N/A,FALSE,"NA All";#N/A,#N/A,FALSE,"Joe Champ";#N/A,#N/A,FALSE,"Joe Long"}</definedName>
    <definedName name="wrn.North._.America." hidden="1">{#N/A,#N/A,FALSE,"NA All";#N/A,#N/A,FALSE,"Joe Champ";#N/A,#N/A,FALSE,"Joe Long"}</definedName>
    <definedName name="wrn.NOV96.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OV96.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YT." hidden="1">{#N/A,#N/A,FALSE,"Dev Short RPT 00 01 &amp; 02";#N/A,#N/A,FALSE,"Rollup 00 01 &amp; 02";#N/A,#N/A,FALSE,"NYT Dev Short RPT 01% &amp; 02";#N/A,#N/A,FALSE,"NYT Committment Rollup";#N/A,#N/A,FALSE,"NYT Committment Rollup %";#N/A,#N/A,FALSE,"FCRC Dev Short RPT 00 &amp; 01%";#N/A,#N/A,FALSE,"FCRC Rollup 00 &amp; 01%"}</definedName>
    <definedName name="wrn.nyt._.times._.full." hidden="1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ODB." hidden="1">{"ODB",#N/A,FALSE,"Hold Scenario"}</definedName>
    <definedName name="wrn.office." localSheetId="14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localSheetId="14" hidden="1">{#N/A,#N/A,FALSE,"LP Exp";#N/A,#N/A,FALSE,"Salary";#N/A,#N/A,FALSE,"Admin Exp";#N/A,#N/A,FALSE,"QTS Bud";#N/A,#N/A,FALSE,"Marketing"}</definedName>
    <definedName name="wrn.OFFICE._.BUDGET." hidden="1">{#N/A,#N/A,FALSE,"LP Exp";#N/A,#N/A,FALSE,"Salary";#N/A,#N/A,FALSE,"Admin Exp";#N/A,#N/A,FALSE,"QTS Bud";#N/A,#N/A,FALSE,"Marketing"}</definedName>
    <definedName name="wrn.ontario." localSheetId="14" hidden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perating._.Expenses." localSheetId="14" hidden="1">{"Operating Expenses",#N/A,FALSE,"2033K-R6"}</definedName>
    <definedName name="wrn.Operating._.Expenses." hidden="1">{"Operating Expenses",#N/A,FALSE,"2033K-R6"}</definedName>
    <definedName name="wrn.OperatingAssumtions." localSheetId="14" hidden="1">{#N/A,#N/A,FALSE,"OperatingAssumptions"}</definedName>
    <definedName name="wrn.OperatingAssumtions." hidden="1">{#N/A,#N/A,FALSE,"OperatingAssumptions"}</definedName>
    <definedName name="wrn.Operations._.Review." localSheetId="14" hidden="1">{#N/A,#N/A,FALSE,"Proforma Five Yr";#N/A,#N/A,FALSE,"Occ and Rate";#N/A,#N/A,FALSE,"PF Input";#N/A,#N/A,FALSE,"Hotcomps"}</definedName>
    <definedName name="wrn.Operations._.Review." hidden="1">{#N/A,#N/A,FALSE,"Proforma Five Yr";#N/A,#N/A,FALSE,"Occ and Rate";#N/A,#N/A,FALSE,"PF Input";#N/A,#N/A,FALSE,"Hotcomps"}</definedName>
    <definedName name="wrn.OUTPUT." localSheetId="14" hidden="1">{"DCF","UPSIDE CASE",FALSE,"Sheet1";"DCF","BASE CASE",FALSE,"Sheet1";"DCF","DOWNSIDE CASE",FALSE,"Sheet1"}</definedName>
    <definedName name="wrn.Output." hidden="1">{#N/A,#N/A,TRUE,"Cover";#N/A,#N/A,TRUE,"Summary";#N/A,#N/A,TRUE,"Assumptions";#N/A,#N/A,TRUE,"Stack";#N/A,#N/A,TRUE,"Budget";#N/A,#N/A,TRUE,"Condo Summary";#N/A,#N/A,TRUE,"Sellout Summary"}</definedName>
    <definedName name="wrn.Output3Column." localSheetId="14" hidden="1">{"Output-3Column",#N/A,FALSE,"Output"}</definedName>
    <definedName name="wrn.Output3Column." hidden="1">{"Output-3Column",#N/A,FALSE,"Output"}</definedName>
    <definedName name="wrn.OutputAll." localSheetId="14" hidden="1">{"Output-All",#N/A,FALSE,"Output"}</definedName>
    <definedName name="wrn.OutputAll." hidden="1">{"Output-All",#N/A,FALSE,"Output"}</definedName>
    <definedName name="wrn.OutputBaseYear." localSheetId="14" hidden="1">{"Output-BaseYear",#N/A,FALSE,"Output"}</definedName>
    <definedName name="wrn.OutputBaseYear." hidden="1">{"Output-BaseYear",#N/A,FALSE,"Output"}</definedName>
    <definedName name="wrn.OutputMin." localSheetId="14" hidden="1">{"Output-Min",#N/A,FALSE,"Output"}</definedName>
    <definedName name="wrn.OutputMin." hidden="1">{"Output-Min",#N/A,FALSE,"Output"}</definedName>
    <definedName name="wrn.OutputPercent." localSheetId="14" hidden="1">{"Output%",#N/A,FALSE,"Output"}</definedName>
    <definedName name="wrn.OutputPercent." hidden="1">{"Output%",#N/A,FALSE,"Output"}</definedName>
    <definedName name="wrn.outputr1a" hidden="1">{#N/A,#N/A,TRUE,"Cover";#N/A,#N/A,TRUE,"Summary";#N/A,#N/A,TRUE,"Assumptions";#N/A,#N/A,TRUE,"Stack";#N/A,#N/A,TRUE,"Budget";#N/A,#N/A,TRUE,"Condo Summary";#N/A,#N/A,TRUE,"Sellout Summary"}</definedName>
    <definedName name="wrn.outputr2a." hidden="1">{#N/A,#N/A,TRUE,"Cover";#N/A,#N/A,TRUE,"Summary";#N/A,#N/A,TRUE,"Assumptions";#N/A,#N/A,TRUE,"Stack";#N/A,#N/A,TRUE,"Budget";#N/A,#N/A,TRUE,"Condo Summary";#N/A,#N/A,TRUE,"Sellout Summary"}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ackage." hidden="1">{#N/A,#N/A,FALSE,"Title Page";#N/A,#N/A,FALSE,"Index";#N/A,#N/A,FALSE,"Executive Summary";#N/A,#N/A,FALSE,"Construction Costs";#N/A,#N/A,FALSE,"Professional Fees";#N/A,#N/A,FALSE,"Marketing Fees";#N/A,#N/A,FALSE,"Finance";#N/A,#N/A,FALSE,"Rental Revenue";#N/A,#N/A,FALSE,"Lease Up Schedule";#N/A,#N/A,FALSE,"Cash Flow"}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lms._.at._.South._.Shore." localSheetId="14" hidden="1">{#N/A,#N/A,FALSE,"loananalysis";#N/A,#N/A,FALSE,"proforma";#N/A,#N/A,FALSE,"unitmix"}</definedName>
    <definedName name="wrn.Palms._.at._.South._.Shore." hidden="1">{#N/A,#N/A,FALSE,"loananalysis";#N/A,#N/A,FALSE,"proforma";#N/A,#N/A,FALSE,"unitmix"}</definedName>
    <definedName name="wrn.pa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Parking." localSheetId="14" hidden="1">{"Parking",#N/A,FALSE,"Parking"}</definedName>
    <definedName name="wrn.Parking." hidden="1">{"Parking",#N/A,FALSE,"Parking"}</definedName>
    <definedName name="wrn.partcan." localSheetId="14" hidden="1">{#N/A,#N/A,FALSE,"Min compa cad";#N/A,#N/A,FALSE,"Min CAN Equité ";#N/A,#N/A,FALSE,"Analyse can"}</definedName>
    <definedName name="wrn.partcan." hidden="1">{#N/A,#N/A,FALSE,"Min compa cad";#N/A,#N/A,FALSE,"Min CAN Equité ";#N/A,#N/A,FALSE,"Analyse can"}</definedName>
    <definedName name="wrn.Partial." localSheetId="14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_Template." localSheetId="14" hidden="1">{#N/A,#N/A,FALSE,"1Summary";#N/A,#N/A,FALSE,"2Assumptions";#N/A,#N/A,FALSE,"3Cash Flow";#N/A,#N/A,FALSE,"6Residual";#N/A,#N/A,FALSE,"AExpiration Schedule"}</definedName>
    <definedName name="wrn.Partial_Template." hidden="1">{#N/A,#N/A,FALSE,"1Summary";#N/A,#N/A,FALSE,"2Assumptions";#N/A,#N/A,FALSE,"3Cash Flow";#N/A,#N/A,FALSE,"6Residual";#N/A,#N/A,FALSE,"AExpiration Schedule"}</definedName>
    <definedName name="wrn.partus." localSheetId="14" hidden="1">{#N/A,#N/A,FALSE,"Min compar us";#N/A,#N/A,FALSE,"Min US Equité ";#N/A,#N/A,FALSE,"Analyse U.S."}</definedName>
    <definedName name="wrn.partus." hidden="1">{#N/A,#N/A,FALSE,"Min compar us";#N/A,#N/A,FALSE,"Min US Equité ";#N/A,#N/A,FALSE,"Analyse U.S."}</definedName>
    <definedName name="wrn.PERCENTAGE._.RENT." localSheetId="14" hidden="1">{"PERCENTAGE RENT",#N/A,TRUE,"SCHEDULE B"}</definedName>
    <definedName name="wrn.PERCENTAGE._.RENT." hidden="1">{"PERCENTAGE RENT",#N/A,TRUE,"SCHEDULE B"}</definedName>
    <definedName name="wrn.Phase._.I." localSheetId="14" hidden="1">{#N/A,#N/A,FALSE,"Transaction Summary-DTW";#N/A,#N/A,FALSE,"Proforma Five Yr";#N/A,#N/A,FALSE,"Occ and Rate"}</definedName>
    <definedName name="wrn.Phase._.I." hidden="1">{#N/A,#N/A,FALSE,"Transaction Summary-DTW";#N/A,#N/A,FALSE,"Proforma Five Yr";#N/A,#N/A,FALSE,"Occ and Rate"}</definedName>
    <definedName name="wrn.Phil." hidden="1">{#N/A,#N/A,FALSE,"Summary";#N/A,#N/A,FALSE,"41 Mad (Our)";#N/A,#N/A,FALSE,"41 Mad (Comp)";#N/A,#N/A,FALSE,"41 Mad (Rudin's)";#N/A,#N/A,FALSE,"41 Mad (7,354)"}</definedName>
    <definedName name="wrn.Pineway." localSheetId="14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localSheetId="14" hidden="1">{#N/A,#N/A,FALSE,"399 Park Var";#N/A,#N/A,FALSE,"PK NOTES"}</definedName>
    <definedName name="wrn.PK._.Variance." hidden="1">{#N/A,#N/A,FALSE,"399 Park Var";#N/A,#N/A,FALSE,"PK NOTES"}</definedName>
    <definedName name="wrn.pl." hidden="1">{#N/A,#N/A,FALSE,"Cons PL-Accrual"}</definedName>
    <definedName name="wrn.Plan." hidden="1">{#N/A,#N/A,FALSE,"Highridge Return Analysis";#N/A,#N/A,FALSE,"Sale @ end of year 3 (4yr Plan)";#N/A,#N/A,FALSE,"Highridge Assumption Page"}</definedName>
    <definedName name="wrn.Plan._.Book._.FC._.Presentation." hidden="1">{#N/A,#N/A,FALSE,"RECAP of CASH";#N/A,#N/A,FALSE,"CASH @ FC %";#N/A,#N/A,FALSE,"EBDT Reconciliation";#N/A,#N/A,FALSE,"CASH &amp; EARNINGS @ OWN%";#N/A,#N/A,FALSE,"Total Return Summary @ FC %";#N/A,#N/A,FALSE,"Total Returns @ FC %";#N/A,#N/A,FALSE,"PROFORMA CASH"}</definedName>
    <definedName name="wrn.Plan._.Book._.Supplemental._.Data." hidden="1">{#N/A,#N/A,FALSE,"Major Assumptions";#N/A,#N/A,FALSE,"Issues List";#N/A,#N/A,FALSE,"RECAP of CASH (100%)";#N/A,#N/A,FALSE,"EBDT Reconciliation";#N/A,#N/A,FALSE,"CASH &amp; EARNINGS @ 100%";#N/A,#N/A,FALSE,"Total Return Component Details";#N/A,#N/A,FALSE,"PROFORMA CASH (100%)";#N/A,#N/A,FALSE,"IRR"}</definedName>
    <definedName name="wrn.PLAZA._.AMERICA." hidden="1">{#N/A,#N/A,FALSE,"INV SUMMARY";#N/A,#N/A,FALSE,"REV SUMMARY";#N/A,#N/A,FALSE,"CONST COST"}</definedName>
    <definedName name="wrn.PLX." localSheetId="1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tfolio." localSheetId="14" hidden="1">{#N/A,#N/A,FALSE,"Portfolio Summary";#N/A,#N/A,FALSE,"Portfolio Operating Stmt";#N/A,#N/A,FALSE,"Portfolio Cash Flow"}</definedName>
    <definedName name="wrn.Portfolio." hidden="1">{#N/A,#N/A,FALSE,"Portfolio Summary";#N/A,#N/A,FALSE,"Portfolio Operating Stmt";#N/A,#N/A,FALSE,"Portfolio Cash Flow"}</definedName>
    <definedName name="wrn.ppt" hidden="1">{#N/A,#N/A,FALSE,"96 RENT SUM";#N/A,#N/A,FALSE,"LSGACTSCHED";#N/A,#N/A,FALSE,"Conc. Sched"}</definedName>
    <definedName name="wrn.PR_TRIAL_BALANCE." localSheetId="14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cntrent" localSheetId="14" hidden="1">{"PERCENTAGE RENT",#N/A,TRUE,"SCHEDULE B"}</definedName>
    <definedName name="wrn.prcntrent" hidden="1">{"PERCENTAGE RENT",#N/A,TRUE,"SCHEDULE B"}</definedName>
    <definedName name="wrn.prelist." hidden="1">{#N/A,#N/A,FALSE,"rent roll";#N/A,#N/A,FALSE,"I&amp;E";#N/A,#N/A,FALSE,"96noleaseup";#N/A,#N/A,FALSE,"96noleaseup matrix";#N/A,#N/A,FALSE,"leaseup96";#N/A,#N/A,FALSE,"leaseup96 matrix";#N/A,#N/A,FALSE,"Leaseup and Exp."}</definedName>
    <definedName name="wrn.Prepaid_Recov.." localSheetId="14" hidden="1">{#N/A,#N/A,FALSE,"Prepaid Recoverable"}</definedName>
    <definedName name="wrn.Prepaid_Recov.." hidden="1">{#N/A,#N/A,FALSE,"Prepaid Recoverable"}</definedName>
    <definedName name="wrn.Presentation." localSheetId="14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{"Primarily Competition",#N/A,FALSE,"Comp.&amp; Market Penet."}</definedName>
    <definedName name="wrn.Print" localSheetId="14" hidden="1">{"vi1",#N/A,FALSE,"Financial Statements";"vi2",#N/A,FALSE,"Financial Statements";#N/A,#N/A,FALSE,"DCF"}</definedName>
    <definedName name="wrn.Print" hidden="1">{"vi1",#N/A,FALSE,"Financial Statements";"vi2",#N/A,FALSE,"Financial Statements";#N/A,#N/A,FALSE,"DCF"}</definedName>
    <definedName name="wrn.Print." localSheetId="14" hidden="1">{"vi1",#N/A,FALSE,"Financial Statements";"vi2",#N/A,FALSE,"Financial Statements";#N/A,#N/A,FALSE,"DCF"}</definedName>
    <definedName name="wrn.Print." hidden="1">{"View1",#N/A,FALSE,"Sheet1";"View2",#N/A,FALSE,"Sheet1"}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cq._.and._.Develop._.Assumptions." hidden="1">{"Acquisition and Develop Assumptions",#N/A,FALSE,"Rossmore"}</definedName>
    <definedName name="wrn.PRINT._.ALL." localSheetId="14" hidden="1">{#N/A,#N/A,FALSE,"Expense Detail ";#N/A,#N/A,FALSE,"Worksheet";#N/A,#N/A,FALSE,"Audit";#N/A,#N/A,FALSE,"Exclusions";#N/A,#N/A,FALSE,"Variance";#N/A,#N/A,FALSE,"Reconciliation"}</definedName>
    <definedName name="wrn.PRINT._.ALL." hidden="1">{#N/A,#N/A,FALSE,"Expense Detail ";#N/A,#N/A,FALSE,"Worksheet";#N/A,#N/A,FALSE,"Audit";#N/A,#N/A,FALSE,"Exclusions";#N/A,#N/A,FALSE,"Variance";#N/A,#N/A,FALSE,"Reconciliation"}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s." hidden="1">{"acquisition and development assumptions",#N/A,FALSE,"Rossmore";"Cash Flows",#N/A,FALSE,"Rossmore";"Return Analysis",#N/A,FALSE,"Rossmore";"Joint Venture Analysis",#N/A,FALSE,"Rossmore";#N/A,#N/A,FALSE,"Rossmore"}</definedName>
    <definedName name="wrn.Print._.Cash._.Flows." hidden="1">{"Cash Flows",#N/A,FALSE,"Rossmore"}</definedName>
    <definedName name="wrn.Print._.Cash._.Flows._.and._.Assumptions." hidden="1">{"Cash Flows and Assumptions",#N/A,FALSE,"Rossmore"}</definedName>
    <definedName name="wrn.Print._.DDC.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ebt._.Calculations." hidden="1">{"Debt Calculations",#N/A,FALSE,"Hillside"}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Full." localSheetId="14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localSheetId="14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localSheetId="14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Inv._.Rec." hidden="1">{"Cash Flows",#N/A,FALSE,"Hillside";"Return Analysis",#N/A,FALSE,"Hillside";#N/A,#N/A,FALSE,"Hillside"}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Joint._.Venture._.Analysis." hidden="1">{"Joint Venture Analysis",#N/A,FALSE,"Rossmore"}</definedName>
    <definedName name="wrn.Print._.Lodging._.Only." localSheetId="14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td._.Ptr._.Heller." hidden="1">{#N/A,#N/A,FALSE,"Summary Schedule Heller Ltd";#N/A,#N/A,FALSE,"Qtrly  heller Page 1";#N/A,#N/A,FALSE,"Qtrly heller Page 3"}</definedName>
    <definedName name="wrn.Print._.Package.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aw._.data._.entry." localSheetId="14" hidden="1">{"inputs raw data",#N/A,TRUE,"INPUT"}</definedName>
    <definedName name="wrn.print._.raw._.data._.entry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port._.Package." hidden="1">{"Cash Flows",#N/A,FALSE,"Rossmore";"Return Analysis",#N/A,FALSE,"Rossmore";"Unit Rent Analysis",#N/A,FALSE,"Rossmore"}</definedName>
    <definedName name="wrn.Print._.Return._.Analysis." hidden="1">{"Return Analysis",#N/A,FALSE,"Rossmore"}</definedName>
    <definedName name="wrn.print._.standalone." hidden="1">{"standalone1",#N/A,FALSE,"DCFBase";"standalone2",#N/A,FALSE,"DCFBase"}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mary._.sheets." localSheetId="14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Unit._.Rent._.Analysis." hidden="1">{"Unit Rent Analysis",#N/A,FALSE,"Rossmore"}</definedName>
    <definedName name="wrn.Print._.Workbook." hidden="1">{#N/A,#N/A,FALSE,"Exec. Summ";#N/A,#N/A,FALSE,"Income";#N/A,#N/A,FALSE,"Expenses";#N/A,#N/A,FALSE,"Loan Options";#N/A,#N/A,FALSE,"Sources &amp; Uses";#N/A,#N/A,FALSE,"Spreadsheet"}</definedName>
    <definedName name="wrn.Print_All." localSheetId="14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All.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Buyer." localSheetId="14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LBO." localSheetId="14" hidden="1">{"Cover_PA1",#N/A,TRUE,"Cover";"LBO_Input_PA1",#N/A,TRUE,"LBO Input";"LBO_Output_PA1",#N/A,TRUE,"LBO Output"}</definedName>
    <definedName name="wrn.Print_LBO." hidden="1">{"Cover_PA1",#N/A,TRUE,"Cover";"LBO_Input_PA1",#N/A,TRUE,"LBO Input";"LBO_Output_PA1",#N/A,TRUE,"LBO Output"}</definedName>
    <definedName name="wrn.Print_Subsidiaries." localSheetId="14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Subsidiaries.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Target." localSheetId="1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localSheetId="14" hidden="1">{"Assump",#N/A,TRUE,"Proforma";"first",#N/A,TRUE,"Proforma";"second",#N/A,TRUE,"Proforma";"lease1",#N/A,TRUE,"Proforma";"lease2",#N/A,TRUE,"Proforma"}</definedName>
    <definedName name="wrn.print2." hidden="1">{"Assump",#N/A,TRUE,"Proforma";"first",#N/A,TRUE,"Proforma";"second",#N/A,TRUE,"Proforma";"lease1",#N/A,TRUE,"Proforma";"lease2",#N/A,TRUE,"Proforma"}</definedName>
    <definedName name="wrn.print5" localSheetId="14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All." localSheetId="14" hidden="1">{#N/A,#N/A,FALSE,"Broker Sheet";#N/A,#N/A,FALSE,"Exec.Summary";#N/A,#N/A,FALSE,"Argus Cash Flow";#N/A,#N/A,FALSE,"SPF";#N/A,#N/A,FALSE,"RentRoll"}</definedName>
    <definedName name="wrn.PrintAll.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s._.All." localSheetId="14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or._.Year._.Amounts." localSheetId="14" hidden="1">{"PriorYr1",#N/A,FALSE,"Prior Year Amounts";"PriorYr2",#N/A,FALSE,"Prior Year Amounts"}</definedName>
    <definedName name="wrn.Prior._.Year._.Amounts." hidden="1">{"PriorYr1",#N/A,FALSE,"Prior Year Amounts";"PriorYr2",#N/A,FALSE,"Prior Year Amounts"}</definedName>
    <definedName name="wrn.PRO." hidden="1">{#N/A,#N/A,FALSE,"COVER";#N/A,#N/A,FALSE,"Construction CF";#N/A,#N/A,FALSE,"PROFORMA";#N/A,#N/A,FALSE,"CASHFLOW"}</definedName>
    <definedName name="wrn.Pro._.Forma." localSheetId="14" hidden="1">{#N/A,#N/A,FALSE,"ACQ";#N/A,#N/A,FALSE,"ASSUMP";#N/A,#N/A,FALSE,"CASH FLOW";#N/A,#N/A,FALSE,"SALE";#N/A,#N/A,FALSE,"TIS";#N/A,#N/A,FALSE,"RENT ROLL"}</definedName>
    <definedName name="wrn.Pro._.Forma." hidden="1">{#N/A,#N/A,FALSE,"ACQ";#N/A,#N/A,FALSE,"ASSUMP";#N/A,#N/A,FALSE,"CASH FLOW";#N/A,#N/A,FALSE,"SALE";#N/A,#N/A,FALSE,"TIS";#N/A,#N/A,FALSE,"RENT ROLL"}</definedName>
    <definedName name="wrn.Product_Assumptions." localSheetId="14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localSheetId="14" hidden="1">{"Proforma - Dollars",#N/A,FALSE,"Proforma"}</definedName>
    <definedName name="wrn.Proforma." hidden="1">{"Proforma - Dollars",#N/A,FALSE,"Proforma"}</definedName>
    <definedName name="wrn.Proforma._.Review." localSheetId="14" hidden="1">{#N/A,#N/A,FALSE,"Occ and Rate";#N/A,#N/A,FALSE,"PF Input";#N/A,#N/A,FALSE,"Proforma Five Yr";#N/A,#N/A,FALSE,"Hotcomps"}</definedName>
    <definedName name="wrn.Proforma._.Review." hidden="1">{#N/A,#N/A,FALSE,"Occ and Rate";#N/A,#N/A,FALSE,"PF Input";#N/A,#N/A,FALSE,"Proforma Five Yr";#N/A,#N/A,FALSE,"Hotcomps"}</definedName>
    <definedName name="wrn.Program._.Compliance." hidden="1">{#N/A,#N/A,FALSE,"COMPLIANCE"}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Property._.Description." hidden="1">{#N/A,#N/A,FALSE,"PROP. DESCRIPTION"}</definedName>
    <definedName name="wrn.Property._.Improvements." localSheetId="14" hidden="1">{"Property Improvements",#N/A,FALSE,"Property Improvements"}</definedName>
    <definedName name="wrn.Property._.Improvements." hidden="1">{"Property Improvements",#N/A,FALSE,"Property Improvements"}</definedName>
    <definedName name="wrn.PropertyInformation." localSheetId="14" hidden="1">{#N/A,#N/A,FALSE,"PropertyInfo"}</definedName>
    <definedName name="wrn.PropertyInformation." hidden="1">{#N/A,#N/A,FALSE,"PropertyInfo"}</definedName>
    <definedName name="wrn.Prototypes." localSheetId="14" hidden="1">{"One",#N/A,FALSE,"Prototypes";"Two",#N/A,FALSE,"Prototypes";"Three",#N/A,FALSE,"Prototypes";"Four",#N/A,FALSE,"Prototypes";"Five",#N/A,FALSE,"Prototypes"}</definedName>
    <definedName name="wrn.Prototypes." hidden="1">{"One",#N/A,FALSE,"Prototypes";"Two",#N/A,FALSE,"Prototypes";"Three",#N/A,FALSE,"Prototypes";"Four",#N/A,FALSE,"Prototypes";"Five",#N/A,FALSE,"Prototypes"}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ty._.Monthly._.Cash._.Flow." hidden="1">{"Cash Flow_Small",#N/A,FALSE,"CashFlowSummary";"Finance_Small",#N/A,FALSE,"FinanceCashFlow";"Equity_Small",#N/A,FALSE,"EquityReturns"}</definedName>
    <definedName name="WRN.QW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Rapport." localSheetId="14" hidden="1">{#N/A,#N/A,FALSE,"SHEET1";#N/A,#N/A,FALSE,"SHEET2";#N/A,#N/A,FALSE,"SHEET3";#N/A,#N/A,FALSE,"SHEET4"}</definedName>
    <definedName name="wrn.Rapport." hidden="1">{#N/A,#N/A,FALSE,"SHEET1";#N/A,#N/A,FALSE,"SHEET2";#N/A,#N/A,FALSE,"SHEET3";#N/A,#N/A,FALSE,"SHEET4"}</definedName>
    <definedName name="wrn.rate." localSheetId="14" hidden="1">{"RATES",#N/A,FALSE,"RECOVERY RATES";"CONTRIBUTIONS",#N/A,FALSE,"RECOVERY RATES";"GLA CATEGORY SUMMARY",#N/A,FALSE,"RECOVERY RATES"}</definedName>
    <definedName name="wrn.rate." hidden="1">{"RATES",#N/A,FALSE,"RECOVERY RATES";"CONTRIBUTIONS",#N/A,FALSE,"RECOVERY RATES";"GLA CATEGORY SUMMARY",#N/A,FALSE,"RECOVERY RATES"}</definedName>
    <definedName name="wrn.RATES." localSheetId="14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covery._.Calcs." hidden="1">{#N/A,#N/A,FALSE,"Recovery Calcs"}</definedName>
    <definedName name="wrn.Relevant._.Sections." localSheetId="14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SHEETS." hidden="1">{#N/A,#N/A,FALSE,"AD_Purch";#N/A,#N/A,FALSE,"Projections";#N/A,#N/A,FALSE,"DCF";#N/A,#N/A,FALSE,"Mkt Val"}</definedName>
    <definedName name="wrn.Remaining._.Obligation." hidden="1">{#N/A,#N/A,FALSE,"Summary (Oblg)";#N/A,#N/A,FALSE,"41 Mad (27&amp;28)";#N/A,#N/A,FALSE,"41 Mad (29-1)";#N/A,#N/A,FALSE,"41 Mad (29-2A)";#N/A,#N/A,FALSE,"41 Mad (29-2B)";#N/A,#N/A,FALSE,"41 Mad (30)";#N/A,#N/A,FALSE,"41 Mad (42)"}</definedName>
    <definedName name="wrn.Rent._.Roll." hidden="1">{#N/A,#N/A,FALSE,"Rent Roll"}</definedName>
    <definedName name="wrn.Rental._.Scenario." hidden="1">{#N/A,#N/A,TRUE,"Summary";#N/A,#N/A,TRUE,"Rental Summary";#N/A,#N/A,TRUE,"Budget";#N/A,#N/A,TRUE,"Assumptions";#N/A,#N/A,TRUE,"Financing"}</definedName>
    <definedName name="wrn.RENTROL." hidden="1">{#N/A,#N/A,FALSE,"RENT ROLL"}</definedName>
    <definedName name="wrn.RentRoll." hidden="1">{"CurrentRentRoll",#N/A,FALSE,"Graph &amp; Rent Roll"}</definedName>
    <definedName name="wrn.Repayments." localSheetId="14" hidden="1">{"One",#N/A,FALSE,"Repayments";"Two",#N/A,FALSE,"Repayments"}</definedName>
    <definedName name="wrn.Repayments." hidden="1">{"One",#N/A,FALSE,"Repayments";"Two",#N/A,FALSE,"Repayments"}</definedName>
    <definedName name="wrn.report" localSheetId="14" hidden="1">{#N/A,#N/A,FALSE,"Project Summary";#N/A,#N/A,FALSE,"Parameter Summary";#N/A,#N/A,FALSE,"Budget Control Report";#N/A,#N/A,FALSE,"DETAIL.XLS"}</definedName>
    <definedName name="wrn.report" hidden="1">{#N/A,#N/A,FALSE,"Project Summary";#N/A,#N/A,FALSE,"Parameter Summary";#N/A,#N/A,FALSE,"Budget Control Report";#N/A,#N/A,FALSE,"DETAIL.XLS"}</definedName>
    <definedName name="wrn.REPORT." localSheetId="14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wrn.Report." hidden="1">{#N/A,#N/A,FALSE,"Loan Summary";#N/A,#N/A,FALSE,"NOI";"RR and Expir",#N/A,FALSE,"Rental";"Sales History",#N/A,FALSE,"Rental";#N/A,#N/A,FALSE,"Reserves"}</definedName>
    <definedName name="wrn.Report._.Tables." hidden="1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1.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localSheetId="14" hidden="1">{#N/A,#N/A,FALSE,"Project Summary";#N/A,#N/A,FALSE,"Parameter Summary";#N/A,#N/A,FALSE,"Budget Control Report";#N/A,#N/A,FALSE,"DETAIL.XLS"}</definedName>
    <definedName name="wrn.reports." hidden="1">{#N/A,#N/A,FALSE,"Project Summary";#N/A,#N/A,FALSE,"Parameter Summary";#N/A,#N/A,FALSE,"Budget Control Report";#N/A,#N/A,FALSE,"DETAIL.XLS"}</definedName>
    <definedName name="wrn.Reserves." hidden="1">{"Reserves",#N/A,FALSE,"Reserves";"Reserves_Variance",#N/A,FALSE,"Reserves"}</definedName>
    <definedName name="wrn.Revenue." localSheetId="14" hidden="1">{"Revenue",#N/A,FALSE,"2033K-R6"}</definedName>
    <definedName name="wrn.Revenue." hidden="1">{"Revenue",#N/A,FALSE,"2033K-R6"}</definedName>
    <definedName name="wrn.Revenue._.Reports." localSheetId="14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Reports.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chedules." hidden="1">{#N/A,#N/A,TRUE,"RENT SCHD";#N/A,#N/A,TRUE,"OER SCHD"}</definedName>
    <definedName name="wrn.Revenue._.Summary." localSheetId="14" hidden="1">{"Revenue Summary",#N/A,FALSE,"Revenue Schedules"}</definedName>
    <definedName name="wrn.Revenue._.Summary." hidden="1">{"Revenue Summary",#N/A,FALSE,"Revenue Schedules"}</definedName>
    <definedName name="wrn.Revised._.project._.estimate.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mgmtfee." localSheetId="14" hidden="1">{#N/A,#N/A,FALSE,"Rmgmtfee"}</definedName>
    <definedName name="wrn.Rmgmtfee." hidden="1">{#N/A,#N/A,FALSE,"Rmgmtfee"}</definedName>
    <definedName name="wrn.Roll_Out." localSheetId="14" hidden="1">{"One",#N/A,FALSE,"Roll-out";"Two",#N/A,FALSE,"Roll-out";"Three",#N/A,FALSE,"Roll-out";"Four",#N/A,FALSE,"Roll-out";"Five",#N/A,FALSE,"Roll-out"}</definedName>
    <definedName name="wrn.Roll_Out." hidden="1">{"One",#N/A,FALSE,"Roll-out";"Two",#N/A,FALSE,"Roll-out";"Three",#N/A,FALSE,"Roll-out";"Four",#N/A,FALSE,"Roll-out";"Five",#N/A,FALSE,"Roll-out"}</definedName>
    <definedName name="wrn.Roof._.Report." hidden="1">{"Roofs Page 1",#N/A,FALSE,"Roof Outline";"Roofs Page 2",#N/A,FALSE,"Roof Outline"}</definedName>
    <definedName name="wrn.RRDOMINION._.TOWER." localSheetId="14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SAC._.ANALYSIS." hidden="1">{#N/A,#N/A,TRUE,"OVERVIEW OF METROTECH GROUND LS";#N/A,#N/A,TRUE,"SUMMARY OF TOTAL PAYMENTS";#N/A,#N/A,TRUE,"SITE ACQUISITION DIFFERENTIAL";#N/A,#N/A,TRUE,"BASE GROUND RENT";#N/A,#N/A,TRUE,"MINIMUM PAYMENT";#N/A,#N/A,TRUE,"EXCESS PAYMENT";#N/A,#N/A,TRUE,"SURPLUS PAYMENT";#N/A,#N/A,TRUE,"BUG Excess &amp; Surplus Analysis";#N/A,#N/A,TRUE,"SIAC Excess &amp; Surplus Analysis";#N/A,#N/A,TRUE,"9 MT Excess &amp; Surplus Analysis";#N/A,#N/A,TRUE,"9 South Excess-Surplus Analysis";#N/A,#N/A,TRUE,"Tech Excess &amp; Surplus Analysis";#N/A,#N/A,TRUE,"NPV ANALYSIS";#N/A,#N/A,TRUE,"Summary of PV";#N/A,#N/A,TRUE,"EXISTING CF SUMMARY"}</definedName>
    <definedName name="wrn.sale." hidden="1">{#N/A,#N/A,FALSE,"Execsum (sale)";#N/A,#N/A,FALSE,"Summary (sale)";#N/A,#N/A,FALSE,"Budget";#N/A,#N/A,FALSE,"office cashflow (sale)"}</definedName>
    <definedName name="wrn.sales." localSheetId="14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pere." localSheetId="14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CHAs." localSheetId="14" hidden="1">{"ACCOUNTING COPY",#N/A,FALSE,"SCHEDULE A";"FINANCE COPY",#N/A,FALSE,"SCHEDULE A";"P.L. COPY",#N/A,FALSE,"SCHEDULE A"}</definedName>
    <definedName name="wrn.SCHAs." hidden="1">{"ACCOUNTING COPY",#N/A,FALSE,"SCHEDULE A";"FINANCE COPY",#N/A,FALSE,"SCHEDULE A";"P.L. COPY",#N/A,FALSE,"SCHEDULE A"}</definedName>
    <definedName name="wrn.schas2" localSheetId="14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" localSheetId="14" hidden="1">{"SCHEDULE",#N/A,FALSE,"Fin_sched"}</definedName>
    <definedName name="wrn.SCHEDULE" hidden="1">{"SCHEDULE",#N/A,FALSE,"Fin_sched"}</definedName>
    <definedName name="wrn.SCHEDULE." localSheetId="14" hidden="1">{"SCHEDULE",#N/A,FALSE,"Fin_sched"}</definedName>
    <definedName name="wrn.SCHEDULE." hidden="1">{"SCHEDULE",#N/A,FALSE,"Fin_sched"}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s." localSheetId="14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localSheetId="14" hidden="1">{#N/A,#N/A,FALSE,"SCHEDULE A";"MINIMUM RENT",#N/A,FALSE,"SCHEDULES B &amp; C";"PERCENTAGE RENT",#N/A,FALSE,"SCHEDULES B &amp; C"}</definedName>
    <definedName name="wrn.SCHEDULES._.ABC." hidden="1">{#N/A,#N/A,FALSE,"SCHEDULE A";"MINIMUM RENT",#N/A,FALSE,"SCHEDULES B &amp; C";"PERCENTAGE RENT",#N/A,FALSE,"SCHEDULES B &amp; C"}</definedName>
    <definedName name="wrn.Scm." hidden="1">{"Scm",#N/A,FALSE,"SCM";"Scm_Variance",#N/A,FALSE,"SCM"}</definedName>
    <definedName name="wrn.seafirst." localSheetId="14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tion._.1." hidden="1">{"KL_View",#N/A,FALSE,"Sum_Forecast";"KL_View",#N/A,FALSE,"New Sum_Forecast"}</definedName>
    <definedName name="wrn.Short." localSheetId="14" hidden="1">{#N/A,#N/A,FALSE,"ExecutiveSummary";#N/A,#N/A,FALSE,"CostDetail";#N/A,#N/A,FALSE,"IncomeDetail"}</definedName>
    <definedName name="wrn.Short." hidden="1">{#N/A,#N/A,FALSE,"ExecutiveSummary";#N/A,#N/A,FALSE,"CostDetail";#N/A,#N/A,FALSE,"IncomeDetail"}</definedName>
    <definedName name="wrn.Short._.Print." hidden="1">{#N/A,#N/A,FALSE,"Cover";#N/A,#N/A,FALSE,"Stack";#N/A,#N/A,FALSE,"Cost S";#N/A,#N/A,FALSE," CF";#N/A,#N/A,FALSE,"Investor"}</definedName>
    <definedName name="wrn.Side._.by._.Side." localSheetId="14" hidden="1">{"Side 99",#N/A,FALSE,"S&amp;U Side by Side"}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PG._.Estimate." localSheetId="14" hidden="1">{#N/A,#N/A,FALSE,"Detail";#N/A,#N/A,FALSE,"Totals"}</definedName>
    <definedName name="wrn.SPG._.Estimate." hidden="1">{#N/A,#N/A,FALSE,"Detail";#N/A,#N/A,FALSE,"Totals"}</definedName>
    <definedName name="wrn.Stadium._.PCD." localSheetId="14" hidden="1">{#N/A,#N/A,TRUE,"Ericsson Stadium PCD ";#N/A,#N/A,TRUE,"Ericsson Stadium IOR"}</definedName>
    <definedName name="wrn.Stadium._.PCD." hidden="1">{#N/A,#N/A,TRUE,"Ericsson Stadium PCD ";#N/A,#N/A,TRUE,"Ericsson Stadium IOR"}</definedName>
    <definedName name="wrn.STAND_ALONE_BOTH." localSheetId="14" hidden="1">{"FCB_ALL",#N/A,FALSE,"FCB";"GREY_ALL",#N/A,FALSE,"GREY"}</definedName>
    <definedName name="wrn.STAND_ALONE_BOTH." hidden="1">{"FCB_ALL",#N/A,FALSE,"FCB";"GREY_ALL",#N/A,FALSE,"GREY"}</definedName>
    <definedName name="wrn.Sterling._.House." localSheetId="14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rling_House." localSheetId="14" hidden="1">{"One",#N/A,FALSE,"SterlingHouse";"Two",#N/A,FALSE,"SterlingHouse";"Three",#N/A,FALSE,"SterlingHouse";"Four",#N/A,FALSE,"SterlingHouse";"Five",#N/A,FALSE,"SterlingHouse"}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rengths._.Weaknesses." hidden="1">{#N/A,#N/A,FALSE,"Strengths &amp; Weaknesses"}</definedName>
    <definedName name="wrn.Structural._.Frame." localSheetId="14" hidden="1">{"structural",#N/A,FALSE,"DETAIL.XLS"}</definedName>
    <definedName name="wrn.Structural._.Frame." hidden="1">{"structural",#N/A,FALSE,"DETAIL.XLS"}</definedName>
    <definedName name="wrn.Submittal._.Reconciliation._.Schedule." localSheetId="14" hidden="1">{"Submittable Reconciliation Schedule",#N/A,FALSE,"Reconciliation";"GSCP2 PCS 30 Day",#N/A,FALSE,"GSCP2 PCS 30 Day Activity List"}</definedName>
    <definedName name="wrn.Submittal._.Reconciliation._.Schedule." hidden="1">{"Submittable Reconciliation Schedule",#N/A,FALSE,"Reconciliation";"GSCP2 PCS 30 Day",#N/A,FALSE,"GSCP2 PCS 30 Day Activity List"}</definedName>
    <definedName name="wrn.SUM._.ONLY." localSheetId="14" hidden="1">{"SUMMARY",#N/A,FALSE,"BIDSUM"}</definedName>
    <definedName name="wrn.SUM._.ONLY." hidden="1">{"SUMMARY",#N/A,FALSE,"BIDSUM"}</definedName>
    <definedName name="wrn.SUM._.WITH._.GC." localSheetId="14" hidden="1">{"SUMMARY",#N/A,FALSE,"BIDSUM";"SUMALTS",#N/A,FALSE,"BIDSUM";#N/A,#N/A,FALSE,"GCOND"}</definedName>
    <definedName name="wrn.SUM._.WITH._.GC." hidden="1">{"SUMMARY",#N/A,FALSE,"BIDSUM";"SUMALTS",#N/A,FALSE,"BIDSUM";#N/A,#N/A,FALSE,"GCOND"}</definedName>
    <definedName name="wrn.SUMMARY." localSheetId="14" hidden="1">{"SUMMARY",#N/A,FALSE,"Fin_sched"}</definedName>
    <definedName name="wrn.Summary." hidden="1">{#N/A,#N/A,FALSE,"Summary"}</definedName>
    <definedName name="wrn.Summary._.and._.Budget." hidden="1">{#N/A,#N/A,TRUE,"Summary";#N/A,#N/A,TRUE,"Budget"}</definedName>
    <definedName name="wrn.Summary._.Budget._.Assumptions." hidden="1">{#N/A,#N/A,TRUE,"Summary";#N/A,#N/A,TRUE,"Budget";#N/A,#N/A,TRUE,"Assumptions"}</definedName>
    <definedName name="wrn.Summary._.Budget._.Stack._.Assumptions." hidden="1">{#N/A,#N/A,TRUE,"Summary";#N/A,#N/A,TRUE,"Budget";#N/A,#N/A,TRUE,"Stack";#N/A,#N/A,TRUE,"Assumptions"}</definedName>
    <definedName name="wrn.Summary._.Excluding._.DHC." localSheetId="14" hidden="1">{"Summary Excluding DHC",#N/A,FALSE,"SUMMARY"}</definedName>
    <definedName name="wrn.Summary._.Excluding._.DHC." hidden="1">{"Summary Excluding DHC",#N/A,FALSE,"SUMMARY"}</definedName>
    <definedName name="wrn.Summary._.Including._.DHC." localSheetId="14" hidden="1">{"Summary Including DHC",#N/A,FALSE,"SUMMARY"}</definedName>
    <definedName name="wrn.Summary._.Including._.DHC." hidden="1">{"Summary Including DHC",#N/A,FALSE,"SUMMARY"}</definedName>
    <definedName name="wrn.Summary._.Overview." hidden="1">{#N/A,#N/A,FALSE,"OVERVIEW"}</definedName>
    <definedName name="wrn.Summary._.Sheet._.Only." hidden="1">{#N/A,#N/A,FALSE,"SUMMARY"}</definedName>
    <definedName name="wrn.Summary._.w._.All._.Back._.Up." hidden="1">{#N/A,#N/A,TRUE,"SUMMARY";#N/A,#N/A,TRUE,"CNST SCHD";#N/A,#N/A,TRUE,"TI SCHD";#N/A,#N/A,TRUE,"COM SCHD";#N/A,#N/A,TRUE,"LU INT-FFO SCHD";#N/A,#N/A,TRUE,"OCCUP";#N/A,#N/A,TRUE,"RENT SCHD";#N/A,#N/A,TRUE,"OER SCHD"}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Schedules." localSheetId="14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mSchedules.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N1." hidden="1">{#N/A,#N/A,FALSE,"Assumptions";#N/A,#N/A,FALSE,"office";#N/A,#N/A,FALSE,"monthly"}</definedName>
    <definedName name="wrn.sun2" hidden="1">{#N/A,#N/A,FALSE,"Assumptions";#N/A,#N/A,FALSE,"office";#N/A,#N/A,FALSE,"monthly"}</definedName>
    <definedName name="wrn.surveilance2." localSheetId="14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ance2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localSheetId="14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NASBOURNE._.ONLY." localSheetId="14" hidden="1">{#N/A,#N/A,FALSE,"Expense Comparison"}</definedName>
    <definedName name="wrn.TANASBOURNE._.ONLY." hidden="1">{#N/A,#N/A,FALSE,"Expense Comparison"}</definedName>
    <definedName name="wrn.TARGET._.DCF." localSheetId="14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x." hidden="1">{"tax",#N/A,FALSE,"Tax";"tax_variance",#N/A,FALSE,"Tax"}</definedName>
    <definedName name="wrn.Taxes." hidden="1">{"Def Tax Long",#N/A,TRUE,"Financials";"Def Tax Short",#N/A,TRUE,"Financials";"Cons Tax Sched",#N/A,TRUE,"Financials"}</definedName>
    <definedName name="wrn.Taxes._.Title._.Insurance." hidden="1">{#N/A,#N/A,FALSE,"Taxes, Insurance, Title"}</definedName>
    <definedName name="wrn.Telstra._.Inputs." localSheetId="14" hidden="1">{"Inputs",#N/A,FALSE,"US_FL";"Inputs",#N/A,FALSE,"EUROPE_FL";"Inputs",#N/A,FALSE,"ASIA_FL"}</definedName>
    <definedName name="wrn.Telstra._.Inputs." hidden="1">{"Inputs",#N/A,FALSE,"US_FL";"Inputs",#N/A,FALSE,"EUROPE_FL";"Inputs",#N/A,FALSE,"ASIA_FL"}</definedName>
    <definedName name="wrn.Telstra._.Output." localSheetId="14" hidden="1">{"Output",#N/A,FALSE,"US_FL";"Output",#N/A,FALSE,"EUROPE_FL";"Output",#N/A,FALSE,"ASIA_FL"}</definedName>
    <definedName name="wrn.Telstra._.Output." hidden="1">{"Output",#N/A,FALSE,"US_FL";"Output",#N/A,FALSE,"EUROPE_FL";"Output",#N/A,FALSE,"ASIA_FL"}</definedName>
    <definedName name="wrn.temp." localSheetId="14" hidden="1">{"a 1",#N/A,FALSE,"Project Cash Flows"}</definedName>
    <definedName name="wrn.temp." hidden="1">{"a 1",#N/A,FALSE,"Project Cash Flows"}</definedName>
    <definedName name="wrn.Template." localSheetId="14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localSheetId="14" hidden="1">{#N/A,#N/A,FALSE,"SCHEDULE G"}</definedName>
    <definedName name="wrn.test." hidden="1">{"ADR Analysis",#N/A,FALSE,"Comp.&amp; Market Penet.";"Penetration Analysis",#N/A,FALSE,"Comp.&amp; Market Penet."}</definedName>
    <definedName name="wrn.TI._.Fit._.Up." localSheetId="14" hidden="1">{"TI Fit Up",#N/A,FALSE,"2033K-R6"}</definedName>
    <definedName name="wrn.TI._.Fit._.Up." hidden="1">{"TI Fit Up",#N/A,FALSE,"2033K-R6"}</definedName>
    <definedName name="wrn.TOCHTERMAN." localSheetId="1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14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omco." localSheetId="14" hidden="1">{"Page1",#N/A,FALSE,"Summary";"Page2",#N/A,FALSE,"Summary";"Page3",#N/A,FALSE,"Summary";"Page4",#N/A,FALSE,"Summary"}</definedName>
    <definedName name="wrn.Total._.Comco." hidden="1">{"Page1",#N/A,FALSE,"Summary";"Page2",#N/A,FALSE,"Summary";"Page3",#N/A,FALSE,"Summary";"Page4",#N/A,FALSE,"Summary"}</definedName>
    <definedName name="wrn.TOTAL._.SHEETS." localSheetId="14" hidden="1">{#N/A,#N/A,FALSE,"DEV COSTS";#N/A,#N/A,FALSE,"10-YR C. F."}</definedName>
    <definedName name="wrn.TOTAL._.SHEETS." hidden="1">{#N/A,#N/A,FALSE,"DEV COSTS";#N/A,#N/A,FALSE,"10-YR C. F."}</definedName>
    <definedName name="wrn.TOTAL._.SHEETS5" localSheetId="14" hidden="1">{#N/A,#N/A,FALSE,"DEV COSTS";#N/A,#N/A,FALSE,"10-YR C. F."}</definedName>
    <definedName name="wrn.TOTAL._.SHEETS5" hidden="1">{#N/A,#N/A,FALSE,"DEV COSTS";#N/A,#N/A,FALSE,"10-YR C. F."}</definedName>
    <definedName name="wrn.Total5" localSheetId="14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ransPrcd_123." hidden="1">{#N/A,#N/A,TRUE,"TransPrcd 1";#N/A,#N/A,TRUE,"TransPrcd 2";#N/A,#N/A,TRUE,"TransPrcd 3"}</definedName>
    <definedName name="wrn.t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TLPACK.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weety." hidden="1">{#N/A,#N/A,FALSE,"A&amp;E";#N/A,#N/A,FALSE,"HighTop";#N/A,#N/A,FALSE,"JG";#N/A,#N/A,FALSE,"RI";#N/A,#N/A,FALSE,"woHT";#N/A,#N/A,FALSE,"woHT&amp;JG"}</definedName>
    <definedName name="wrn.ty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ycon._.Model." hidden="1">{"rtn",#N/A,FALSE,"RTN";"tables",#N/A,FALSE,"RTN";"cf",#N/A,FALSE,"CF";"stats",#N/A,FALSE,"Stats";"prop",#N/A,FALSE,"Prop"}</definedName>
    <definedName name="wrn.Underwriting._.Analysis." hidden="1">{#N/A,#N/A,FALSE,"Underwriting Analysis"}</definedName>
    <definedName name="wrn.upstairs." hidden="1">{"histincome",#N/A,FALSE,"hyfins";"closing balance",#N/A,FALSE,"hyfins"}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localSheetId="14" hidden="1">{"Page1",#N/A,FALSE,"7979";"Page2",#N/A,FALSE,"7979";"Page3",#N/A,FALSE,"7979"}</definedName>
    <definedName name="wrn.valuation." hidden="1">{"Page1",#N/A,FALSE,"7979";"Page2",#N/A,FALSE,"7979";"Page3",#N/A,FALSE,"7979"}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Variance." localSheetId="14" hidden="1">{#N/A,#N/A,FALSE,"CCC Variance";#N/A,#N/A,FALSE,"CCC Notes"}</definedName>
    <definedName name="wrn.Variance." hidden="1">{#N/A,#N/A,FALSE,"CCC Variance";#N/A,#N/A,FALSE,"CCC Notes"}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Variance._.Worksheet." localSheetId="14" hidden="1">{#N/A,#N/A,FALSE,"VARSTRIP"}</definedName>
    <definedName name="wrn.Variance._.Worksheet." hidden="1">{#N/A,#N/A,FALSE,"VARSTRIP"}</definedName>
    <definedName name="wrn.ventana." hidden="1">{#N/A,#N/A,FALSE,"Cash Flow";#N/A,#N/A,FALSE,"scenario 1"}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acc." localSheetId="14" hidden="1">{"Area1",#N/A,FALSE,"OREWACC";"Area2",#N/A,FALSE,"OREWACC"}</definedName>
    <definedName name="wrn.Wacc." hidden="1">{"Area1",#N/A,FALSE,"OREWACC";"Area2",#N/A,FALSE,"OREWACC"}</definedName>
    <definedName name="wrn.wicor." hidden="1">{#N/A,#N/A,FALSE,"FACTSHEETS";#N/A,#N/A,FALSE,"pump";#N/A,#N/A,FALSE,"filter"}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.Working._.Party._.List." hidden="1">{#N/A,#N/A,FALSE,"Working List"}</definedName>
    <definedName name="wrn.Wovenhearts." localSheetId="14" hidden="1">{"One",#N/A,FALSE,"Wovenhearts";"Two",#N/A,FALSE,"Wovenhearts";"Three",#N/A,FALSE,"Wovenhearts";"Four",#N/A,FALSE,"Wovenhearts";"Five",#N/A,FALSE,"Wovenhearts"}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localSheetId="14" hidden="1">{"One",#N/A,FALSE,"Wynwood";"Two",#N/A,FALSE,"Wynwood";"Three",#N/A,FALSE,"Wynwood";"Four",#N/A,FALSE,"Wynwood";"Five",#N/A,FALSE,"Wynwood"}</definedName>
    <definedName name="wrn.Wynwood." hidden="1">{"One",#N/A,FALSE,"Wynwood";"Two",#N/A,FALSE,"Wynwood";"Three",#N/A,FALSE,"Wynwood";"Four",#N/A,FALSE,"Wynwood";"Five",#N/A,FALSE,"Wynwood"}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ly." localSheetId="14" hidden="1">{"One",#N/A,FALSE,"Yearly"}</definedName>
    <definedName name="wrn.Yearly." hidden="1">{"One",#N/A,FALSE,"Yearly"}</definedName>
    <definedName name="wrn.Yield._.Graph." localSheetId="14" hidden="1">{#N/A,#N/A,FALSE,"Yield Graph"}</definedName>
    <definedName name="wrn.Yield._.Graph." hidden="1">{#N/A,#N/A,FALSE,"Yield Graph"}</definedName>
    <definedName name="wrn.Yield._.Graph._.plus._.Input." localSheetId="14" hidden="1">{#N/A,#N/A,FALSE,"Yield Graph";#N/A,#N/A,FALSE,"Rent Roll";#N/A,#N/A,FALSE,"OE Yr1";#N/A,#N/A,FALSE,"Repl.Cst.+Ins."}</definedName>
    <definedName name="wrn.Yield._.Graph._.plus._.Input." hidden="1">{#N/A,#N/A,FALSE,"Yield Graph";#N/A,#N/A,FALSE,"Rent Roll";#N/A,#N/A,FALSE,"OE Yr1";#N/A,#N/A,FALSE,"Repl.Cst.+Ins."}</definedName>
    <definedName name="WRNBV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BV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SDE" localSheetId="14" hidden="1">{#N/A,#N/A,FALSE,"Min compa cad";#N/A,#N/A,FALSE,"Min CAN Equité ";#N/A,#N/A,FALSE,"Analyse can"}</definedName>
    <definedName name="WSDE" hidden="1">{#N/A,#N/A,FALSE,"Min compa cad";#N/A,#N/A,FALSE,"Min CAN Equité ";#N/A,#N/A,FALSE,"Analyse can"}</definedName>
    <definedName name="wsxsww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sxs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t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ctivo." localSheetId="14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activo.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ingresos." localSheetId="14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gresos.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puts._.raw._.data.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14" hidden="1">{#N/A,#N/A,FALSE,"ExecutiveSummary";#N/A,#N/A,FALSE,"CostDetail";#N/A,#N/A,FALSE,"IncomeDetail";#N/A,#N/A,FALSE,"InterestCalculation"}</definedName>
    <definedName name="www" hidden="1">{#N/A,#N/A,FALSE,"ExecutiveSummary";#N/A,#N/A,FALSE,"CostDetail";#N/A,#N/A,FALSE,"IncomeDetail";#N/A,#N/A,FALSE,"InterestCalculation"}</definedName>
    <definedName name="WWWWW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W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WWW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" hidden="1">{#N/A,#N/A,FALSE,"Cashflow Analysis";#N/A,#N/A,FALSE,"Sensitivity Analysis";#N/A,#N/A,FALSE,"PV";#N/A,#N/A,FALSE,"Pro Forma"}</definedName>
    <definedName name="XCFDSA" localSheetId="14" hidden="1">{#N/A,#N/A,FALSE,"Centres";#N/A,#N/A,FALSE,"Partenariats";#N/A,#N/A,FALSE,"P.Diverses";#N/A,#N/A,FALSE,"Adm";#N/A,#N/A,FALSE,"Autres R-D";#N/A,#N/A,FALSE,"Intérêts"}</definedName>
    <definedName name="XCFDSA" hidden="1">{#N/A,#N/A,FALSE,"Centres";#N/A,#N/A,FALSE,"Partenariats";#N/A,#N/A,FALSE,"P.Diverses";#N/A,#N/A,FALSE,"Adm";#N/A,#N/A,FALSE,"Autres R-D";#N/A,#N/A,FALSE,"Intérêts"}</definedName>
    <definedName name="XE" localSheetId="14" hidden="1">{#N/A,#N/A,FALSE,"Centres";#N/A,#N/A,FALSE,"Partenariats";#N/A,#N/A,FALSE,"P.Diverses";#N/A,#N/A,FALSE,"Adm";#N/A,#N/A,FALSE,"Autres R-D";#N/A,#N/A,FALSE,"Intérêts"}</definedName>
    <definedName name="XE" hidden="1">{#N/A,#N/A,FALSE,"Centres";#N/A,#N/A,FALSE,"Partenariats";#N/A,#N/A,FALSE,"P.Diverses";#N/A,#N/A,FALSE,"Adm";#N/A,#N/A,FALSE,"Autres R-D";#N/A,#N/A,FALSE,"Intérêts"}</definedName>
    <definedName name="xlg" localSheetId="14" hidden="1">{"schedule1",#N/A,FALSE,"Sheet1";"schedule2",#N/A,FALSE,"Sheet1";"schedule3",#N/A,FALSE,"Sheet1";"schedule4",#N/A,FALSE,"Sheet1";"schedule5",#N/A,FALSE,"Sheet1";"schedule6",#N/A,FALSE,"Sheet1"}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localSheetId="14" hidden="1">{"Year 1",#N/A,FALSE,"Budget";"Year 2",#N/A,FALSE,"Budget";"Year 3",#N/A,FALSE,"Budget";"Year 4",#N/A,FALSE,"Budget"}</definedName>
    <definedName name="xlg1" hidden="1">{"Year 1",#N/A,FALSE,"Budget";"Year 2",#N/A,FALSE,"Budget";"Year 3",#N/A,FALSE,"Budget";"Year 4",#N/A,FALSE,"Budget"}</definedName>
    <definedName name="Xuxu" localSheetId="14" hidden="1">{#N/A,#N/A,FALSE,"CONTROLE"}</definedName>
    <definedName name="Xuxu" hidden="1">{#N/A,#N/A,FALSE,"CONTROLE"}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{"COM",#N/A,FALSE,"800 10th"}</definedName>
    <definedName name="xxx3" hidden="1">{"AnnualRentRoll",#N/A,FALSE,"RentRoll"}</definedName>
    <definedName name="xxx4" hidden="1">{#N/A,#N/A,FALSE,"ExitStratigy"}</definedName>
    <definedName name="XXXX" hidden="1">{#N/A,#N/A,FALSE,"ExecSum";#N/A,#N/A,FALSE,"Budget";#N/A,#N/A,FALSE,"Summary1";#N/A,#N/A,FALSE,"CashFlow";#N/A,#N/A,FALSE,"Year1 Cash Flow";#N/A,#N/A,FALSE,"Carry";#N/A,#N/A,FALSE,"Page 3"}</definedName>
    <definedName name="XXXXX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XXXX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yz" hidden="1">{"Construction_Short",#N/A,FALSE,"Construction"}</definedName>
    <definedName name="xz" localSheetId="14" hidden="1">{#N/A,#N/A,FALSE,"Adm comp";#N/A,#N/A,FALSE,"Adm ajust";"adm",#N/A,FALSE,"Administration";#N/A,#N/A,FALSE,"Adm Bgt 97 vs Prév. 96";#N/A,#N/A,FALSE,"Adm Bgt 97 vs 96"}</definedName>
    <definedName name="xz" hidden="1">{#N/A,#N/A,FALSE,"Adm comp";#N/A,#N/A,FALSE,"Adm ajust";"adm",#N/A,FALSE,"Administration";#N/A,#N/A,FALSE,"Adm Bgt 97 vs Prév. 96";#N/A,#N/A,FALSE,"Adm Bgt 97 vs 96"}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localSheetId="14" hidden="1">{"Construction Costs",#N/A,FALSE,"Budget";"Income Statement",#N/A,FALSE,"Budget"}</definedName>
    <definedName name="y" hidden="1">{"Construction Costs",#N/A,FALSE,"Budget";"Income Statement",#N/A,FALSE,"Budget"}</definedName>
    <definedName name="yes" localSheetId="14" hidden="1">{"Construction Costs",#N/A,FALSE,"Budget";"Income Statement",#N/A,FALSE,"Budget"}</definedName>
    <definedName name="yes" hidden="1">{"Construction Costs",#N/A,FALSE,"Budget";"Income Statement",#N/A,FALSE,"Budget"}</definedName>
    <definedName name="yeyee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G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byb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byb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J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JU" localSheetId="14" hidden="1">{#N/A,#N/A,FALSE,"Centres";#N/A,#N/A,FALSE,"Partenariats";#N/A,#N/A,FALSE,"P.Diverses";#N/A,#N/A,FALSE,"Adm";#N/A,#N/A,FALSE,"Autres R-D";#N/A,#N/A,FALSE,"Intérêts"}</definedName>
    <definedName name="YHJU" hidden="1">{#N/A,#N/A,FALSE,"Centres";#N/A,#N/A,FALSE,"Partenariats";#N/A,#N/A,FALSE,"P.Diverses";#N/A,#N/A,FALSE,"Adm";#N/A,#N/A,FALSE,"Autres R-D";#N/A,#N/A,FALSE,"Intérêts"}</definedName>
    <definedName name="yhnhyhn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hyh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juhnj" localSheetId="14" hidden="1">{#N/A,#N/A,FALSE,"Adm comp";#N/A,#N/A,FALSE,"Adm ajust";"adm",#N/A,FALSE,"Administration";#N/A,#N/A,FALSE,"Adm Bgt 97 vs Prév. 96";#N/A,#N/A,FALSE,"Adm Bgt 97 vs 96"}</definedName>
    <definedName name="yhnjuhnj" hidden="1">{#N/A,#N/A,FALSE,"Adm comp";#N/A,#N/A,FALSE,"Adm ajust";"adm",#N/A,FALSE,"Administration";#N/A,#N/A,FALSE,"Adm Bgt 97 vs Prév. 96";#N/A,#N/A,FALSE,"Adm Bgt 97 vs 96"}</definedName>
    <definedName name="you" hidden="1">{"'Assump'!$F$6:$J$6"}</definedName>
    <definedName name="YTRE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RE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tty" localSheetId="14" hidden="1">{#N/A,#N/A,FALSE,"Adm comp";#N/A,#N/A,FALSE,"Adm ajust";"adm",#N/A,FALSE,"Administration";#N/A,#N/A,FALSE,"Adm Bgt 97 vs Prév. 96";#N/A,#N/A,FALSE,"Adm Bgt 97 vs 96"}</definedName>
    <definedName name="yttty" hidden="1">{#N/A,#N/A,FALSE,"Adm comp";#N/A,#N/A,FALSE,"Adm ajust";"adm",#N/A,FALSE,"Administration";#N/A,#N/A,FALSE,"Adm Bgt 97 vs Prév. 96";#N/A,#N/A,FALSE,"Adm Bgt 97 vs 96"}</definedName>
    <definedName name="YUI" localSheetId="14" hidden="1">{#N/A,#N/A,FALSE,"Min compa cad";#N/A,#N/A,FALSE,"Min CAN Equité ";#N/A,#N/A,FALSE,"Analyse can"}</definedName>
    <definedName name="YUI" hidden="1">{#N/A,#N/A,FALSE,"Min compa cad";#N/A,#N/A,FALSE,"Min CAN Equité ";#N/A,#N/A,FALSE,"Analyse can"}</definedName>
    <definedName name="YUYUY" localSheetId="14" hidden="1">{#N/A,#N/A,FALSE,"Min compar us";#N/A,#N/A,FALSE,"Min US Equité ";#N/A,#N/A,FALSE,"Analyse U.S."}</definedName>
    <definedName name="YUYUY" hidden="1">{#N/A,#N/A,FALSE,"Min compar us";#N/A,#N/A,FALSE,"Min US Equité ";#N/A,#N/A,FALSE,"Analyse U.S."}</definedName>
    <definedName name="yyy" localSheetId="14" hidden="1">{#N/A,#N/A,FALSE,"Min compar us";#N/A,#N/A,FALSE,"Min US Equité ";#N/A,#N/A,FALSE,"Analyse U.S."}</definedName>
    <definedName name="yyy" hidden="1">{#N/A,#N/A,FALSE,"Min compar us";#N/A,#N/A,FALSE,"Min US Equité ";#N/A,#N/A,FALSE,"Analyse U.S."}</definedName>
    <definedName name="YYYYYY" localSheetId="14" hidden="1">{#N/A,#N/A,FALSE,"Centres";#N/A,#N/A,FALSE,"Partenariats";#N/A,#N/A,FALSE,"P.Diverses";#N/A,#N/A,FALSE,"Adm";#N/A,#N/A,FALSE,"Autres R-D";#N/A,#N/A,FALSE,"Intérêts"}</definedName>
    <definedName name="YYYYYY" hidden="1">{#N/A,#N/A,FALSE,"Centres";#N/A,#N/A,FALSE,"Partenariats";#N/A,#N/A,FALSE,"P.Diverses";#N/A,#N/A,FALSE,"Adm";#N/A,#N/A,FALSE,"Autres R-D";#N/A,#N/A,FALSE,"Intérêts"}</definedName>
    <definedName name="Z_0E5612F1_1C5C_4147_BE42_908BDE0B1405_.wvu.FilterData" hidden="1">#REF!</definedName>
    <definedName name="Z_0E5612F1_1C5C_4147_BE42_908BDE0B1405_.wvu.PrintTitles" localSheetId="16" hidden="1">#REF!</definedName>
    <definedName name="Z_0E5612F1_1C5C_4147_BE42_908BDE0B1405_.wvu.PrintTitles" hidden="1">#REF!</definedName>
    <definedName name="Z_45B15D42_AD22_11D1_BBC3_444553540000_.wvu.Rows" hidden="1">#REF!</definedName>
    <definedName name="Z_45B15D43_AD22_11D1_BBC3_444553540000_.wvu.Rows" hidden="1">#REF!</definedName>
    <definedName name="Z_88C269E0_AAB5_11D1_BBC3_444553540000_.wvu.PrintTitles" hidden="1">#REF!</definedName>
    <definedName name="Z_893D3CDD_E6EC_4FBE_9F4B_7C063AADDAA3_.wvu.FilterData" localSheetId="14" hidden="1">#REF!</definedName>
    <definedName name="Z_893D3CDD_E6EC_4FBE_9F4B_7C063AADDAA3_.wvu.FilterData" localSheetId="16" hidden="1">#REF!</definedName>
    <definedName name="Z_893D3CDD_E6EC_4FBE_9F4B_7C063AADDAA3_.wvu.FilterData" hidden="1">#REF!</definedName>
    <definedName name="Z_893D3CDD_E6EC_4FBE_9F4B_7C063AADDAA3_.wvu.PrintTitles" localSheetId="14" hidden="1">#REF!</definedName>
    <definedName name="Z_893D3CDD_E6EC_4FBE_9F4B_7C063AADDAA3_.wvu.PrintTitles" localSheetId="16" hidden="1">#REF!</definedName>
    <definedName name="Z_893D3CDD_E6EC_4FBE_9F4B_7C063AADDAA3_.wvu.PrintTitles" hidden="1">#REF!</definedName>
    <definedName name="Z_893D3CDD_E6EC_4FBE_9F4B_7C063AADDAA3_.wvu.Rows" localSheetId="14" hidden="1">#REF!</definedName>
    <definedName name="Z_893D3CDD_E6EC_4FBE_9F4B_7C063AADDAA3_.wvu.Rows" localSheetId="16" hidden="1">#REF!</definedName>
    <definedName name="Z_893D3CDD_E6EC_4FBE_9F4B_7C063AADDAA3_.wvu.Rows" hidden="1">#REF!</definedName>
    <definedName name="Z_911FCEE4_2CBF_4A90_9E55_ED72CBEECF9A_.wvu.FilterData" localSheetId="16" hidden="1">#REF!</definedName>
    <definedName name="Z_911FCEE4_2CBF_4A90_9E55_ED72CBEECF9A_.wvu.FilterData" hidden="1">#REF!</definedName>
    <definedName name="Z_C4987C22_A4BC_4088_8093_02A2E532FBED_.wvu.FilterData" localSheetId="16" hidden="1">#REF!</definedName>
    <definedName name="Z_C4987C22_A4BC_4088_8093_02A2E532FBED_.wvu.FilterData" hidden="1">#REF!</definedName>
    <definedName name="Z_C4987C22_A4BC_4088_8093_02A2E532FBED_.wvu.PrintTitles" localSheetId="16" hidden="1">#REF!</definedName>
    <definedName name="Z_C4987C22_A4BC_4088_8093_02A2E532FBED_.wvu.PrintTitles" hidden="1">#REF!</definedName>
    <definedName name="Z_F8A287BF_980C_4986_B08C_54EAB9AA17CB_.wvu.FilterData" localSheetId="16" hidden="1">#REF!</definedName>
    <definedName name="Z_F8A287BF_980C_4986_B08C_54EAB9AA17CB_.wvu.FilterData" hidden="1">#REF!</definedName>
    <definedName name="Z_F8A287BF_980C_4986_B08C_54EAB9AA17CB_.wvu.PrintTitles" localSheetId="16" hidden="1">#REF!</definedName>
    <definedName name="Z_F8A287BF_980C_4986_B08C_54EAB9AA17CB_.wvu.PrintTitles" hidden="1">#REF!</definedName>
    <definedName name="Zaventhem2" localSheetId="1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venthem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XSCDVFBG" localSheetId="14" hidden="1">{#N/A,#N/A,FALSE,"Centres";#N/A,#N/A,FALSE,"Partenariats";#N/A,#N/A,FALSE,"P.Diverses";#N/A,#N/A,FALSE,"Adm";#N/A,#N/A,FALSE,"Autres R-D";#N/A,#N/A,FALSE,"Intérêts"}</definedName>
    <definedName name="ZAXSCDVFBG" hidden="1">{#N/A,#N/A,FALSE,"Centres";#N/A,#N/A,FALSE,"Partenariats";#N/A,#N/A,FALSE,"P.Diverses";#N/A,#N/A,FALSE,"Adm";#N/A,#N/A,FALSE,"Autres R-D";#N/A,#N/A,FALSE,"Intérêts"}</definedName>
    <definedName name="ZE" localSheetId="14" hidden="1">{#N/A,#N/A,FALSE,"CONTROLE"}</definedName>
    <definedName name="ZE" hidden="1">{#N/A,#N/A,FALSE,"CONTROLE"}</definedName>
    <definedName name="ZPQLA" localSheetId="14" hidden="1">{#N/A,#N/A,FALSE,"Min compar us";#N/A,#N/A,FALSE,"Min US Equité ";#N/A,#N/A,FALSE,"Analyse U.S."}</definedName>
    <definedName name="ZPQLA" hidden="1">{#N/A,#N/A,FALSE,"Min compar us";#N/A,#N/A,FALSE,"Min US Equité ";#N/A,#N/A,FALSE,"Analyse U.S."}</definedName>
    <definedName name="zsdf" localSheetId="14" hidden="1">{"AnnualRentRoll",#N/A,FALSE,"RentRoll"}</definedName>
    <definedName name="zsdf" hidden="1">{"AnnualRentRoll",#N/A,FALSE,"RentRoll"}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XCNFJ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XCNFJ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zzz" hidden="1">{"Commish",#N/A,FALSE,"LAWTC"}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7" i="18"/>
  <c r="G8" i="18"/>
  <c r="G9" i="18"/>
  <c r="G4" i="18"/>
  <c r="K5" i="18"/>
  <c r="K6" i="18"/>
  <c r="K7" i="18"/>
  <c r="K8" i="18"/>
  <c r="K4" i="18"/>
  <c r="G33" i="1"/>
  <c r="G25" i="1"/>
  <c r="P14" i="23"/>
  <c r="C4" i="32"/>
  <c r="C4" i="30"/>
  <c r="K7" i="19"/>
  <c r="K8" i="19"/>
  <c r="K9" i="19"/>
  <c r="K10" i="19"/>
  <c r="K11" i="19"/>
  <c r="K12" i="19"/>
  <c r="K13" i="19"/>
  <c r="K14" i="19"/>
  <c r="K15" i="19"/>
  <c r="K16" i="19"/>
  <c r="K17" i="19"/>
  <c r="K18" i="19"/>
  <c r="K41" i="19" s="1"/>
  <c r="K19" i="19"/>
  <c r="K42" i="19" s="1"/>
  <c r="K20" i="19"/>
  <c r="K43" i="19" s="1"/>
  <c r="K21" i="19"/>
  <c r="K44" i="19" s="1"/>
  <c r="K22" i="19"/>
  <c r="K45" i="19" s="1"/>
  <c r="K23" i="19"/>
  <c r="K46" i="19" s="1"/>
  <c r="K24" i="19"/>
  <c r="K25" i="19"/>
  <c r="C14" i="23"/>
  <c r="K47" i="19"/>
  <c r="K48" i="19"/>
  <c r="D25" i="28"/>
  <c r="P36" i="1"/>
  <c r="O36" i="1" s="1"/>
  <c r="P31" i="1"/>
  <c r="N31" i="1" s="1"/>
  <c r="F24" i="28" l="1"/>
  <c r="P30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1" i="18"/>
  <c r="C4" i="46"/>
  <c r="O162" i="46" l="1"/>
  <c r="N162" i="46"/>
  <c r="M162" i="46"/>
  <c r="L162" i="46"/>
  <c r="K162" i="46"/>
  <c r="J162" i="46"/>
  <c r="I162" i="46"/>
  <c r="H162" i="46"/>
  <c r="G162" i="46"/>
  <c r="F162" i="46"/>
  <c r="E162" i="46"/>
  <c r="L137" i="46"/>
  <c r="K137" i="46"/>
  <c r="J137" i="46"/>
  <c r="I137" i="46"/>
  <c r="H137" i="46"/>
  <c r="G137" i="46"/>
  <c r="F137" i="46"/>
  <c r="E137" i="46"/>
  <c r="D116" i="46"/>
  <c r="D166" i="46" s="1"/>
  <c r="D112" i="46"/>
  <c r="J110" i="46"/>
  <c r="I110" i="46"/>
  <c r="H110" i="46"/>
  <c r="G110" i="46"/>
  <c r="F110" i="46"/>
  <c r="E110" i="46"/>
  <c r="D104" i="46"/>
  <c r="O86" i="46"/>
  <c r="N86" i="46"/>
  <c r="M86" i="46"/>
  <c r="L86" i="46"/>
  <c r="K86" i="46"/>
  <c r="J86" i="46"/>
  <c r="I86" i="46"/>
  <c r="H86" i="46"/>
  <c r="G86" i="46"/>
  <c r="F86" i="46"/>
  <c r="E86" i="46"/>
  <c r="F11" i="46"/>
  <c r="E11" i="46"/>
  <c r="D11" i="46"/>
  <c r="E8" i="46"/>
  <c r="D8" i="46"/>
  <c r="F6" i="46"/>
  <c r="F91" i="46" s="1"/>
  <c r="E6" i="46"/>
  <c r="E3" i="46"/>
  <c r="N4" i="18"/>
  <c r="AD212" i="19"/>
  <c r="AD189" i="19"/>
  <c r="AD166" i="19"/>
  <c r="AD143" i="19"/>
  <c r="AD120" i="19"/>
  <c r="AD97" i="19"/>
  <c r="AD74" i="19"/>
  <c r="AD51" i="19"/>
  <c r="AD28" i="19"/>
  <c r="AD5" i="19"/>
  <c r="K31" i="19"/>
  <c r="K54" i="19" s="1"/>
  <c r="K77" i="19" s="1"/>
  <c r="K100" i="19" s="1"/>
  <c r="K123" i="19" s="1"/>
  <c r="K146" i="19" s="1"/>
  <c r="K169" i="19" s="1"/>
  <c r="K192" i="19" s="1"/>
  <c r="K215" i="19" s="1"/>
  <c r="K33" i="19"/>
  <c r="K56" i="19" s="1"/>
  <c r="K79" i="19" s="1"/>
  <c r="K102" i="19" s="1"/>
  <c r="K125" i="19" s="1"/>
  <c r="K148" i="19" s="1"/>
  <c r="K171" i="19" s="1"/>
  <c r="K194" i="19" s="1"/>
  <c r="K217" i="19" s="1"/>
  <c r="K71" i="19"/>
  <c r="K94" i="19" s="1"/>
  <c r="K117" i="19" s="1"/>
  <c r="K140" i="19" s="1"/>
  <c r="K163" i="19" s="1"/>
  <c r="K186" i="19" s="1"/>
  <c r="K209" i="19" s="1"/>
  <c r="K232" i="19" s="1"/>
  <c r="K70" i="19"/>
  <c r="K93" i="19" s="1"/>
  <c r="K116" i="19" s="1"/>
  <c r="K139" i="19" s="1"/>
  <c r="K162" i="19" s="1"/>
  <c r="K185" i="19" s="1"/>
  <c r="K208" i="19" s="1"/>
  <c r="K231" i="19" s="1"/>
  <c r="K69" i="19"/>
  <c r="K92" i="19" s="1"/>
  <c r="K115" i="19" s="1"/>
  <c r="K138" i="19" s="1"/>
  <c r="K161" i="19" s="1"/>
  <c r="K184" i="19" s="1"/>
  <c r="K207" i="19" s="1"/>
  <c r="K230" i="19" s="1"/>
  <c r="K68" i="19"/>
  <c r="K91" i="19" s="1"/>
  <c r="K114" i="19" s="1"/>
  <c r="K137" i="19" s="1"/>
  <c r="K160" i="19" s="1"/>
  <c r="K183" i="19" s="1"/>
  <c r="K206" i="19" s="1"/>
  <c r="K229" i="19" s="1"/>
  <c r="K67" i="19"/>
  <c r="K90" i="19" s="1"/>
  <c r="K113" i="19" s="1"/>
  <c r="K136" i="19" s="1"/>
  <c r="K159" i="19" s="1"/>
  <c r="K182" i="19" s="1"/>
  <c r="K205" i="19" s="1"/>
  <c r="K228" i="19" s="1"/>
  <c r="K66" i="19"/>
  <c r="K89" i="19" s="1"/>
  <c r="K112" i="19" s="1"/>
  <c r="K135" i="19" s="1"/>
  <c r="K158" i="19" s="1"/>
  <c r="K181" i="19" s="1"/>
  <c r="K204" i="19" s="1"/>
  <c r="K227" i="19" s="1"/>
  <c r="K65" i="19"/>
  <c r="K88" i="19" s="1"/>
  <c r="K111" i="19" s="1"/>
  <c r="K134" i="19" s="1"/>
  <c r="K157" i="19" s="1"/>
  <c r="K180" i="19" s="1"/>
  <c r="K203" i="19" s="1"/>
  <c r="K226" i="19" s="1"/>
  <c r="K64" i="19"/>
  <c r="K87" i="19" s="1"/>
  <c r="K110" i="19" s="1"/>
  <c r="K133" i="19" s="1"/>
  <c r="K156" i="19" s="1"/>
  <c r="K179" i="19" s="1"/>
  <c r="K202" i="19" s="1"/>
  <c r="K225" i="19" s="1"/>
  <c r="K40" i="19"/>
  <c r="K63" i="19" s="1"/>
  <c r="K86" i="19" s="1"/>
  <c r="K109" i="19" s="1"/>
  <c r="K132" i="19" s="1"/>
  <c r="K155" i="19" s="1"/>
  <c r="K178" i="19" s="1"/>
  <c r="K201" i="19" s="1"/>
  <c r="K224" i="19" s="1"/>
  <c r="K39" i="19"/>
  <c r="K62" i="19" s="1"/>
  <c r="K85" i="19" s="1"/>
  <c r="K108" i="19" s="1"/>
  <c r="K131" i="19" s="1"/>
  <c r="K154" i="19" s="1"/>
  <c r="K177" i="19" s="1"/>
  <c r="K200" i="19" s="1"/>
  <c r="K223" i="19" s="1"/>
  <c r="K38" i="19"/>
  <c r="K61" i="19" s="1"/>
  <c r="K84" i="19" s="1"/>
  <c r="K107" i="19" s="1"/>
  <c r="K130" i="19" s="1"/>
  <c r="K153" i="19" s="1"/>
  <c r="K176" i="19" s="1"/>
  <c r="K199" i="19" s="1"/>
  <c r="K222" i="19" s="1"/>
  <c r="K37" i="19"/>
  <c r="K60" i="19" s="1"/>
  <c r="K83" i="19" s="1"/>
  <c r="K106" i="19" s="1"/>
  <c r="K129" i="19" s="1"/>
  <c r="K152" i="19" s="1"/>
  <c r="K175" i="19" s="1"/>
  <c r="K198" i="19" s="1"/>
  <c r="K221" i="19" s="1"/>
  <c r="K36" i="19"/>
  <c r="K59" i="19" s="1"/>
  <c r="K82" i="19" s="1"/>
  <c r="K105" i="19" s="1"/>
  <c r="K128" i="19" s="1"/>
  <c r="K151" i="19" s="1"/>
  <c r="K174" i="19" s="1"/>
  <c r="K197" i="19" s="1"/>
  <c r="K220" i="19" s="1"/>
  <c r="K35" i="19"/>
  <c r="K58" i="19" s="1"/>
  <c r="K81" i="19" s="1"/>
  <c r="K104" i="19" s="1"/>
  <c r="K127" i="19" s="1"/>
  <c r="K150" i="19" s="1"/>
  <c r="K173" i="19" s="1"/>
  <c r="K196" i="19" s="1"/>
  <c r="K219" i="19" s="1"/>
  <c r="K34" i="19"/>
  <c r="K57" i="19" s="1"/>
  <c r="K80" i="19" s="1"/>
  <c r="K103" i="19" s="1"/>
  <c r="K126" i="19" s="1"/>
  <c r="K149" i="19" s="1"/>
  <c r="K172" i="19" s="1"/>
  <c r="K195" i="19" s="1"/>
  <c r="K218" i="19" s="1"/>
  <c r="K32" i="19"/>
  <c r="K55" i="19" s="1"/>
  <c r="K78" i="19" s="1"/>
  <c r="K101" i="19" s="1"/>
  <c r="K124" i="19" s="1"/>
  <c r="K147" i="19" s="1"/>
  <c r="K170" i="19" s="1"/>
  <c r="K193" i="19" s="1"/>
  <c r="K216" i="19" s="1"/>
  <c r="K30" i="19"/>
  <c r="K29" i="19"/>
  <c r="K52" i="19" s="1"/>
  <c r="K75" i="19" s="1"/>
  <c r="K98" i="19" s="1"/>
  <c r="K121" i="19" s="1"/>
  <c r="K144" i="19" s="1"/>
  <c r="K167" i="19" s="1"/>
  <c r="K190" i="19" s="1"/>
  <c r="K213" i="19" s="1"/>
  <c r="D127" i="46" l="1"/>
  <c r="D177" i="46" s="1"/>
  <c r="G11" i="46"/>
  <c r="H11" i="46" s="1"/>
  <c r="I11" i="46" s="1"/>
  <c r="J11" i="46" s="1"/>
  <c r="K11" i="46" s="1"/>
  <c r="L11" i="46" s="1"/>
  <c r="M11" i="46" s="1"/>
  <c r="N11" i="46" s="1"/>
  <c r="O11" i="46" s="1"/>
  <c r="K53" i="19"/>
  <c r="K76" i="19" s="1"/>
  <c r="K99" i="19" s="1"/>
  <c r="K122" i="19" s="1"/>
  <c r="K145" i="19" s="1"/>
  <c r="K168" i="19" s="1"/>
  <c r="D141" i="46"/>
  <c r="D152" i="46"/>
  <c r="B13" i="19"/>
  <c r="AD13" i="19" s="1"/>
  <c r="D13" i="19"/>
  <c r="AF13" i="19" s="1"/>
  <c r="E13" i="19"/>
  <c r="AG13" i="19" s="1"/>
  <c r="F13" i="19"/>
  <c r="AH13" i="19" s="1"/>
  <c r="G13" i="19"/>
  <c r="G36" i="19" s="1"/>
  <c r="G59" i="19" s="1"/>
  <c r="I13" i="19"/>
  <c r="I36" i="19" s="1"/>
  <c r="I59" i="19" s="1"/>
  <c r="B14" i="19"/>
  <c r="AD14" i="19" s="1"/>
  <c r="D14" i="19"/>
  <c r="E14" i="19"/>
  <c r="AG14" i="19" s="1"/>
  <c r="F14" i="19"/>
  <c r="AH14" i="19" s="1"/>
  <c r="G14" i="19"/>
  <c r="G37" i="19" s="1"/>
  <c r="G60" i="19" s="1"/>
  <c r="I14" i="19"/>
  <c r="I37" i="19" s="1"/>
  <c r="I60" i="19" s="1"/>
  <c r="B15" i="19"/>
  <c r="AD15" i="19" s="1"/>
  <c r="D15" i="19"/>
  <c r="AF15" i="19" s="1"/>
  <c r="E15" i="19"/>
  <c r="AG15" i="19" s="1"/>
  <c r="F15" i="19"/>
  <c r="AH15" i="19" s="1"/>
  <c r="G15" i="19"/>
  <c r="G38" i="19" s="1"/>
  <c r="G61" i="19" s="1"/>
  <c r="I15" i="19"/>
  <c r="I38" i="19" s="1"/>
  <c r="I61" i="19" s="1"/>
  <c r="M15" i="19"/>
  <c r="B16" i="19"/>
  <c r="AD16" i="19" s="1"/>
  <c r="D16" i="19"/>
  <c r="AF16" i="19" s="1"/>
  <c r="E16" i="19"/>
  <c r="AG16" i="19" s="1"/>
  <c r="F16" i="19"/>
  <c r="AH16" i="19" s="1"/>
  <c r="G16" i="19"/>
  <c r="G39" i="19" s="1"/>
  <c r="G62" i="19" s="1"/>
  <c r="I16" i="19"/>
  <c r="I39" i="19" s="1"/>
  <c r="I62" i="19" s="1"/>
  <c r="I85" i="19" s="1"/>
  <c r="M16" i="19"/>
  <c r="B17" i="19"/>
  <c r="AD17" i="19" s="1"/>
  <c r="D17" i="19"/>
  <c r="AF17" i="19" s="1"/>
  <c r="E17" i="19"/>
  <c r="AG17" i="19" s="1"/>
  <c r="F17" i="19"/>
  <c r="AH17" i="19" s="1"/>
  <c r="G17" i="19"/>
  <c r="G40" i="19" s="1"/>
  <c r="G63" i="19" s="1"/>
  <c r="I17" i="19"/>
  <c r="I40" i="19" s="1"/>
  <c r="I63" i="19" s="1"/>
  <c r="B18" i="19"/>
  <c r="D18" i="19"/>
  <c r="E18" i="19"/>
  <c r="F18" i="19"/>
  <c r="G18" i="19"/>
  <c r="I18" i="19"/>
  <c r="B19" i="19"/>
  <c r="D19" i="19"/>
  <c r="E19" i="19"/>
  <c r="F19" i="19"/>
  <c r="G19" i="19"/>
  <c r="I19" i="19"/>
  <c r="B20" i="19"/>
  <c r="D20" i="19"/>
  <c r="E20" i="19"/>
  <c r="F20" i="19"/>
  <c r="G20" i="19"/>
  <c r="I20" i="19"/>
  <c r="B21" i="19"/>
  <c r="D21" i="19"/>
  <c r="E21" i="19"/>
  <c r="F21" i="19"/>
  <c r="G21" i="19"/>
  <c r="I21" i="19"/>
  <c r="B22" i="19"/>
  <c r="D22" i="19"/>
  <c r="E22" i="19"/>
  <c r="F22" i="19"/>
  <c r="G22" i="19"/>
  <c r="I22" i="19"/>
  <c r="B23" i="19"/>
  <c r="D23" i="19"/>
  <c r="E23" i="19"/>
  <c r="F23" i="19"/>
  <c r="G23" i="19"/>
  <c r="I23" i="19"/>
  <c r="B24" i="19"/>
  <c r="D24" i="19"/>
  <c r="E24" i="19"/>
  <c r="F24" i="19"/>
  <c r="G24" i="19"/>
  <c r="I24" i="19"/>
  <c r="L24" i="19"/>
  <c r="B25" i="19"/>
  <c r="D25" i="19"/>
  <c r="D48" i="19" s="1"/>
  <c r="E25" i="19"/>
  <c r="F25" i="19"/>
  <c r="G25" i="19"/>
  <c r="I25" i="19"/>
  <c r="C6" i="18"/>
  <c r="H33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J6" i="18"/>
  <c r="G28" i="1" s="1"/>
  <c r="J5" i="18"/>
  <c r="J4" i="18"/>
  <c r="F9" i="18"/>
  <c r="G39" i="1" s="1"/>
  <c r="F8" i="18"/>
  <c r="G38" i="1" s="1"/>
  <c r="F7" i="18"/>
  <c r="G37" i="1" s="1"/>
  <c r="F6" i="18"/>
  <c r="G36" i="1" s="1"/>
  <c r="F5" i="18"/>
  <c r="G35" i="1" s="1"/>
  <c r="F4" i="18"/>
  <c r="G34" i="1" s="1"/>
  <c r="J19" i="18"/>
  <c r="L19" i="18" s="1"/>
  <c r="L13" i="19" s="1"/>
  <c r="J20" i="18"/>
  <c r="L20" i="18" s="1"/>
  <c r="L14" i="19" s="1"/>
  <c r="J21" i="18"/>
  <c r="L21" i="18" s="1"/>
  <c r="L15" i="19" s="1"/>
  <c r="J22" i="18"/>
  <c r="L22" i="18" s="1"/>
  <c r="L16" i="19" s="1"/>
  <c r="J23" i="18"/>
  <c r="L23" i="18" s="1"/>
  <c r="L17" i="19" s="1"/>
  <c r="J24" i="18"/>
  <c r="L24" i="18" s="1"/>
  <c r="L18" i="19" s="1"/>
  <c r="J25" i="18"/>
  <c r="L25" i="18" s="1"/>
  <c r="L19" i="19" s="1"/>
  <c r="J26" i="18"/>
  <c r="L26" i="18" s="1"/>
  <c r="L20" i="19" s="1"/>
  <c r="J27" i="18"/>
  <c r="L27" i="18" s="1"/>
  <c r="L21" i="19" s="1"/>
  <c r="J28" i="18"/>
  <c r="L28" i="18" s="1"/>
  <c r="L22" i="19" s="1"/>
  <c r="J29" i="18"/>
  <c r="L29" i="18" s="1"/>
  <c r="L23" i="19" s="1"/>
  <c r="J30" i="18"/>
  <c r="L30" i="18" s="1"/>
  <c r="J31" i="18"/>
  <c r="L31" i="18" s="1"/>
  <c r="L25" i="19" s="1"/>
  <c r="D27" i="18"/>
  <c r="D31" i="18" s="1"/>
  <c r="C25" i="19" s="1"/>
  <c r="D26" i="18"/>
  <c r="D30" i="18" s="1"/>
  <c r="C24" i="19" s="1"/>
  <c r="D23" i="18"/>
  <c r="C17" i="19" s="1"/>
  <c r="AE17" i="19" s="1"/>
  <c r="D22" i="18"/>
  <c r="J7" i="18" s="1"/>
  <c r="G29" i="1" s="1"/>
  <c r="D19" i="18"/>
  <c r="D21" i="18" s="1"/>
  <c r="C15" i="19" s="1"/>
  <c r="AE15" i="19" s="1"/>
  <c r="D18" i="18"/>
  <c r="D24" i="18" s="1"/>
  <c r="D28" i="18" s="1"/>
  <c r="C22" i="19" s="1"/>
  <c r="M25" i="19" l="1"/>
  <c r="M48" i="19" s="1"/>
  <c r="M23" i="19"/>
  <c r="M46" i="19" s="1"/>
  <c r="M24" i="19"/>
  <c r="M47" i="19" s="1"/>
  <c r="AG25" i="19"/>
  <c r="E48" i="19"/>
  <c r="AG23" i="19"/>
  <c r="E46" i="19"/>
  <c r="G45" i="19"/>
  <c r="G68" i="19" s="1"/>
  <c r="G91" i="19" s="1"/>
  <c r="AH21" i="19"/>
  <c r="F44" i="19"/>
  <c r="AF20" i="19"/>
  <c r="D43" i="19"/>
  <c r="AH19" i="19"/>
  <c r="F42" i="19"/>
  <c r="AF18" i="19"/>
  <c r="D41" i="19"/>
  <c r="I48" i="19"/>
  <c r="I71" i="19" s="1"/>
  <c r="I94" i="19" s="1"/>
  <c r="R48" i="19"/>
  <c r="AF48" i="19"/>
  <c r="Y48" i="19"/>
  <c r="AG24" i="19"/>
  <c r="E47" i="19"/>
  <c r="I46" i="19"/>
  <c r="AF23" i="19"/>
  <c r="D46" i="19"/>
  <c r="AH22" i="19"/>
  <c r="F45" i="19"/>
  <c r="AD22" i="19"/>
  <c r="B45" i="19"/>
  <c r="AG21" i="19"/>
  <c r="E44" i="19"/>
  <c r="G43" i="19"/>
  <c r="AD20" i="19"/>
  <c r="B43" i="19"/>
  <c r="AG19" i="19"/>
  <c r="E42" i="19"/>
  <c r="G41" i="19"/>
  <c r="AD18" i="19"/>
  <c r="B41" i="19"/>
  <c r="AE24" i="19"/>
  <c r="C47" i="19"/>
  <c r="AH24" i="19"/>
  <c r="F47" i="19"/>
  <c r="AE22" i="19"/>
  <c r="C45" i="19"/>
  <c r="I43" i="19"/>
  <c r="I66" i="19" s="1"/>
  <c r="I89" i="19" s="1"/>
  <c r="I112" i="19" s="1"/>
  <c r="I41" i="19"/>
  <c r="I64" i="19" s="1"/>
  <c r="I87" i="19" s="1"/>
  <c r="G48" i="19"/>
  <c r="G71" i="19" s="1"/>
  <c r="G94" i="19" s="1"/>
  <c r="AE25" i="19"/>
  <c r="C48" i="19"/>
  <c r="I47" i="19"/>
  <c r="AF24" i="19"/>
  <c r="D47" i="19"/>
  <c r="G46" i="19"/>
  <c r="G69" i="19" s="1"/>
  <c r="G92" i="19" s="1"/>
  <c r="AD23" i="19"/>
  <c r="B46" i="19"/>
  <c r="AG22" i="19"/>
  <c r="E45" i="19"/>
  <c r="I44" i="19"/>
  <c r="AF21" i="19"/>
  <c r="D44" i="19"/>
  <c r="AH20" i="19"/>
  <c r="F43" i="19"/>
  <c r="I42" i="19"/>
  <c r="I65" i="19" s="1"/>
  <c r="I88" i="19" s="1"/>
  <c r="AF19" i="19"/>
  <c r="D42" i="19"/>
  <c r="AH18" i="19"/>
  <c r="F41" i="19"/>
  <c r="U48" i="19"/>
  <c r="N48" i="19"/>
  <c r="AH25" i="19"/>
  <c r="F48" i="19"/>
  <c r="AD25" i="19"/>
  <c r="B48" i="19"/>
  <c r="G47" i="19"/>
  <c r="AD24" i="19"/>
  <c r="B47" i="19"/>
  <c r="AH23" i="19"/>
  <c r="F46" i="19"/>
  <c r="I45" i="19"/>
  <c r="AF22" i="19"/>
  <c r="D45" i="19"/>
  <c r="G44" i="19"/>
  <c r="AD21" i="19"/>
  <c r="B44" i="19"/>
  <c r="AG20" i="19"/>
  <c r="E43" i="19"/>
  <c r="G42" i="19"/>
  <c r="AD19" i="19"/>
  <c r="B42" i="19"/>
  <c r="AG18" i="19"/>
  <c r="E41" i="19"/>
  <c r="M22" i="19"/>
  <c r="M45" i="19" s="1"/>
  <c r="C21" i="19"/>
  <c r="G86" i="19"/>
  <c r="I108" i="19"/>
  <c r="M14" i="19"/>
  <c r="C13" i="19"/>
  <c r="AE13" i="19" s="1"/>
  <c r="M21" i="19"/>
  <c r="C20" i="19"/>
  <c r="G85" i="19"/>
  <c r="I84" i="19"/>
  <c r="M13" i="19"/>
  <c r="N13" i="19" s="1"/>
  <c r="M39" i="19"/>
  <c r="Y14" i="19"/>
  <c r="AF14" i="19"/>
  <c r="M20" i="19"/>
  <c r="M43" i="19" s="1"/>
  <c r="G84" i="19"/>
  <c r="I83" i="19"/>
  <c r="I86" i="19"/>
  <c r="AF25" i="19"/>
  <c r="M19" i="19"/>
  <c r="M42" i="19" s="1"/>
  <c r="C18" i="19"/>
  <c r="G83" i="19"/>
  <c r="I82" i="19"/>
  <c r="M38" i="19"/>
  <c r="M18" i="19"/>
  <c r="G82" i="19"/>
  <c r="M17" i="19"/>
  <c r="N17" i="19" s="1"/>
  <c r="C16" i="19"/>
  <c r="AE16" i="19" s="1"/>
  <c r="K191" i="19"/>
  <c r="K214" i="19" s="1"/>
  <c r="Y25" i="19"/>
  <c r="R25" i="19"/>
  <c r="Z25" i="19"/>
  <c r="AA24" i="19"/>
  <c r="W24" i="19"/>
  <c r="R22" i="19"/>
  <c r="S21" i="19"/>
  <c r="AA20" i="19"/>
  <c r="W20" i="19"/>
  <c r="R18" i="19"/>
  <c r="Z17" i="19"/>
  <c r="E40" i="19"/>
  <c r="AA16" i="19"/>
  <c r="F39" i="19"/>
  <c r="W16" i="19"/>
  <c r="B39" i="19"/>
  <c r="Q15" i="19"/>
  <c r="C38" i="19"/>
  <c r="Z14" i="19"/>
  <c r="E37" i="19"/>
  <c r="T13" i="19"/>
  <c r="F36" i="19"/>
  <c r="P13" i="19"/>
  <c r="B36" i="19"/>
  <c r="Z24" i="19"/>
  <c r="AA23" i="19"/>
  <c r="W23" i="19"/>
  <c r="Q22" i="19"/>
  <c r="R21" i="19"/>
  <c r="Z20" i="19"/>
  <c r="AA19" i="19"/>
  <c r="W19" i="19"/>
  <c r="R17" i="19"/>
  <c r="D40" i="19"/>
  <c r="Z16" i="19"/>
  <c r="E39" i="19"/>
  <c r="AA15" i="19"/>
  <c r="F38" i="19"/>
  <c r="W15" i="19"/>
  <c r="B38" i="19"/>
  <c r="R14" i="19"/>
  <c r="D37" i="19"/>
  <c r="Z13" i="19"/>
  <c r="E36" i="19"/>
  <c r="X25" i="19"/>
  <c r="R24" i="19"/>
  <c r="Z23" i="19"/>
  <c r="AA22" i="19"/>
  <c r="W22" i="19"/>
  <c r="Y20" i="19"/>
  <c r="Z19" i="19"/>
  <c r="AA18" i="19"/>
  <c r="W18" i="19"/>
  <c r="Q17" i="19"/>
  <c r="C40" i="19"/>
  <c r="R16" i="19"/>
  <c r="U16" i="19" s="1"/>
  <c r="D39" i="19"/>
  <c r="Z15" i="19"/>
  <c r="E38" i="19"/>
  <c r="Y13" i="19"/>
  <c r="D36" i="19"/>
  <c r="N25" i="19"/>
  <c r="AA25" i="19"/>
  <c r="W25" i="19"/>
  <c r="Q24" i="19"/>
  <c r="R23" i="19"/>
  <c r="Z22" i="19"/>
  <c r="AA21" i="19"/>
  <c r="W21" i="19"/>
  <c r="R19" i="19"/>
  <c r="Z18" i="19"/>
  <c r="AA17" i="19"/>
  <c r="F40" i="19"/>
  <c r="W17" i="19"/>
  <c r="B40" i="19"/>
  <c r="R15" i="19"/>
  <c r="U15" i="19" s="1"/>
  <c r="D38" i="19"/>
  <c r="AA14" i="19"/>
  <c r="F37" i="19"/>
  <c r="W14" i="19"/>
  <c r="B37" i="19"/>
  <c r="R13" i="19"/>
  <c r="N19" i="19"/>
  <c r="R20" i="19"/>
  <c r="N23" i="19"/>
  <c r="W13" i="19"/>
  <c r="H13" i="19"/>
  <c r="Y18" i="19"/>
  <c r="N16" i="19"/>
  <c r="S23" i="19"/>
  <c r="Y19" i="19"/>
  <c r="S17" i="19"/>
  <c r="Y15" i="19"/>
  <c r="Y24" i="19"/>
  <c r="S14" i="19"/>
  <c r="S18" i="19"/>
  <c r="H25" i="19"/>
  <c r="T23" i="19"/>
  <c r="P21" i="19"/>
  <c r="N15" i="19"/>
  <c r="N14" i="19"/>
  <c r="T22" i="19"/>
  <c r="J17" i="19"/>
  <c r="T16" i="19"/>
  <c r="J16" i="19"/>
  <c r="P22" i="19"/>
  <c r="H19" i="19"/>
  <c r="P17" i="19"/>
  <c r="H17" i="19"/>
  <c r="H15" i="19"/>
  <c r="T19" i="19"/>
  <c r="T17" i="19"/>
  <c r="Q25" i="19"/>
  <c r="S24" i="19"/>
  <c r="X22" i="19"/>
  <c r="X15" i="19"/>
  <c r="H20" i="19"/>
  <c r="P16" i="19"/>
  <c r="P23" i="19"/>
  <c r="J23" i="19"/>
  <c r="N24" i="19"/>
  <c r="H23" i="19"/>
  <c r="J22" i="19"/>
  <c r="J21" i="19"/>
  <c r="H24" i="19"/>
  <c r="Y21" i="19"/>
  <c r="H18" i="19"/>
  <c r="H14" i="19"/>
  <c r="T25" i="19"/>
  <c r="P25" i="19"/>
  <c r="J25" i="19"/>
  <c r="X24" i="19"/>
  <c r="Y23" i="19"/>
  <c r="S22" i="19"/>
  <c r="H22" i="19"/>
  <c r="T21" i="19"/>
  <c r="H21" i="19"/>
  <c r="T20" i="19"/>
  <c r="P20" i="19"/>
  <c r="J20" i="19"/>
  <c r="P19" i="19"/>
  <c r="J19" i="19"/>
  <c r="Y17" i="19"/>
  <c r="S16" i="19"/>
  <c r="H16" i="19"/>
  <c r="T15" i="19"/>
  <c r="P15" i="19"/>
  <c r="J15" i="19"/>
  <c r="AA13" i="19"/>
  <c r="J13" i="19"/>
  <c r="S25" i="19"/>
  <c r="T24" i="19"/>
  <c r="P24" i="19"/>
  <c r="J24" i="19"/>
  <c r="Y22" i="19"/>
  <c r="S20" i="19"/>
  <c r="T18" i="19"/>
  <c r="P18" i="19"/>
  <c r="J18" i="19"/>
  <c r="X17" i="19"/>
  <c r="Y16" i="19"/>
  <c r="S15" i="19"/>
  <c r="T14" i="19"/>
  <c r="P14" i="19"/>
  <c r="J14" i="19"/>
  <c r="S13" i="19"/>
  <c r="S19" i="19"/>
  <c r="Z21" i="19"/>
  <c r="J8" i="18"/>
  <c r="G30" i="1" s="1"/>
  <c r="D20" i="18"/>
  <c r="D25" i="18"/>
  <c r="B51" i="45"/>
  <c r="B50" i="45"/>
  <c r="B44" i="45"/>
  <c r="F35" i="45"/>
  <c r="G35" i="45" s="1"/>
  <c r="H35" i="45" s="1"/>
  <c r="I35" i="45" s="1"/>
  <c r="J35" i="45" s="1"/>
  <c r="K35" i="45" s="1"/>
  <c r="B32" i="45"/>
  <c r="B31" i="45"/>
  <c r="F20" i="45"/>
  <c r="D18" i="45"/>
  <c r="E14" i="45"/>
  <c r="B14" i="45"/>
  <c r="G13" i="45"/>
  <c r="F13" i="45"/>
  <c r="T3" i="45"/>
  <c r="F211" i="44"/>
  <c r="F172" i="44"/>
  <c r="DW170" i="44"/>
  <c r="F170" i="44"/>
  <c r="F147" i="44"/>
  <c r="F117" i="44"/>
  <c r="F97" i="44"/>
  <c r="G86" i="44"/>
  <c r="H86" i="44" s="1"/>
  <c r="I86" i="44" s="1"/>
  <c r="J86" i="44" s="1"/>
  <c r="K86" i="44" s="1"/>
  <c r="L86" i="44" s="1"/>
  <c r="M86" i="44" s="1"/>
  <c r="N86" i="44" s="1"/>
  <c r="O86" i="44" s="1"/>
  <c r="P86" i="44" s="1"/>
  <c r="Q86" i="44" s="1"/>
  <c r="R86" i="44" s="1"/>
  <c r="S86" i="44" s="1"/>
  <c r="T86" i="44" s="1"/>
  <c r="U86" i="44" s="1"/>
  <c r="V86" i="44" s="1"/>
  <c r="W86" i="44" s="1"/>
  <c r="X86" i="44" s="1"/>
  <c r="Y86" i="44" s="1"/>
  <c r="Z86" i="44" s="1"/>
  <c r="AA86" i="44" s="1"/>
  <c r="AB86" i="44" s="1"/>
  <c r="AC86" i="44" s="1"/>
  <c r="AD86" i="44" s="1"/>
  <c r="AE86" i="44" s="1"/>
  <c r="AF86" i="44" s="1"/>
  <c r="AG86" i="44" s="1"/>
  <c r="AH86" i="44" s="1"/>
  <c r="AI86" i="44" s="1"/>
  <c r="F66" i="44"/>
  <c r="D42" i="45" s="1"/>
  <c r="F65" i="44"/>
  <c r="D41" i="45" s="1"/>
  <c r="F64" i="44"/>
  <c r="D40" i="45" s="1"/>
  <c r="F63" i="44"/>
  <c r="D39" i="45" s="1"/>
  <c r="F48" i="44"/>
  <c r="D24" i="45" s="1"/>
  <c r="I42" i="44"/>
  <c r="G18" i="45" s="1"/>
  <c r="H42" i="44"/>
  <c r="G42" i="44"/>
  <c r="D219" i="44" s="1"/>
  <c r="F219" i="44" s="1"/>
  <c r="I41" i="44"/>
  <c r="G17" i="45" s="1"/>
  <c r="H41" i="44"/>
  <c r="G41" i="44"/>
  <c r="F41" i="44"/>
  <c r="D17" i="45" s="1"/>
  <c r="D41" i="44"/>
  <c r="I40" i="44"/>
  <c r="G16" i="45" s="1"/>
  <c r="H40" i="44"/>
  <c r="G40" i="44"/>
  <c r="F40" i="44"/>
  <c r="D40" i="44"/>
  <c r="I39" i="44"/>
  <c r="G15" i="45" s="1"/>
  <c r="H39" i="44"/>
  <c r="G39" i="44"/>
  <c r="F39" i="44"/>
  <c r="D39" i="44"/>
  <c r="I38" i="44"/>
  <c r="G14" i="45" s="1"/>
  <c r="H38" i="44"/>
  <c r="F38" i="44"/>
  <c r="D38" i="44"/>
  <c r="K37" i="44"/>
  <c r="K38" i="44" s="1"/>
  <c r="I37" i="44"/>
  <c r="C106" i="44" s="1"/>
  <c r="H37" i="44"/>
  <c r="C52" i="44" s="1"/>
  <c r="D32" i="44"/>
  <c r="C8" i="45" s="1"/>
  <c r="C32" i="44"/>
  <c r="B8" i="45" s="1"/>
  <c r="B47" i="45" s="1"/>
  <c r="D31" i="44"/>
  <c r="C7" i="45" s="1"/>
  <c r="C31" i="44"/>
  <c r="B7" i="45" s="1"/>
  <c r="B28" i="45" s="1"/>
  <c r="F9" i="44"/>
  <c r="G8" i="44"/>
  <c r="G7" i="44" s="1"/>
  <c r="C2" i="44"/>
  <c r="B2" i="45" s="1"/>
  <c r="E15" i="43"/>
  <c r="D15" i="43"/>
  <c r="G2" i="43"/>
  <c r="N22" i="19" l="1"/>
  <c r="J45" i="19"/>
  <c r="H47" i="19"/>
  <c r="J47" i="19"/>
  <c r="I70" i="19"/>
  <c r="I93" i="19" s="1"/>
  <c r="I116" i="19" s="1"/>
  <c r="I139" i="19" s="1"/>
  <c r="H41" i="19"/>
  <c r="J44" i="19"/>
  <c r="I67" i="19"/>
  <c r="I90" i="19" s="1"/>
  <c r="I113" i="19" s="1"/>
  <c r="H43" i="19"/>
  <c r="H42" i="19"/>
  <c r="J42" i="19"/>
  <c r="H44" i="19"/>
  <c r="AE18" i="19"/>
  <c r="C41" i="19"/>
  <c r="L43" i="19"/>
  <c r="N43" i="19"/>
  <c r="S41" i="19"/>
  <c r="AG41" i="19"/>
  <c r="Z41" i="19"/>
  <c r="W44" i="19"/>
  <c r="P44" i="19"/>
  <c r="AD44" i="19"/>
  <c r="R45" i="19"/>
  <c r="U45" i="19" s="1"/>
  <c r="Y45" i="19"/>
  <c r="AF45" i="19"/>
  <c r="T46" i="19"/>
  <c r="AH46" i="19"/>
  <c r="AA46" i="19"/>
  <c r="AA48" i="19"/>
  <c r="T48" i="19"/>
  <c r="AH48" i="19"/>
  <c r="P41" i="19"/>
  <c r="AD41" i="19"/>
  <c r="W41" i="19"/>
  <c r="Z42" i="19"/>
  <c r="S42" i="19"/>
  <c r="AG42" i="19"/>
  <c r="P45" i="19"/>
  <c r="AD45" i="19"/>
  <c r="W45" i="19"/>
  <c r="Y46" i="19"/>
  <c r="R46" i="19"/>
  <c r="U46" i="19" s="1"/>
  <c r="AF46" i="19"/>
  <c r="Z47" i="19"/>
  <c r="S47" i="19"/>
  <c r="AG47" i="19"/>
  <c r="L46" i="19"/>
  <c r="X13" i="19"/>
  <c r="N18" i="19"/>
  <c r="M41" i="19"/>
  <c r="N42" i="19"/>
  <c r="L42" i="19"/>
  <c r="AE20" i="19"/>
  <c r="C43" i="19"/>
  <c r="C66" i="19" s="1"/>
  <c r="G65" i="19"/>
  <c r="G88" i="19" s="1"/>
  <c r="G111" i="19" s="1"/>
  <c r="G70" i="19"/>
  <c r="G93" i="19" s="1"/>
  <c r="G116" i="19" s="1"/>
  <c r="AA41" i="19"/>
  <c r="T41" i="19"/>
  <c r="AH41" i="19"/>
  <c r="R44" i="19"/>
  <c r="AF44" i="19"/>
  <c r="Y44" i="19"/>
  <c r="S45" i="19"/>
  <c r="AG45" i="19"/>
  <c r="Z45" i="19"/>
  <c r="H46" i="19"/>
  <c r="AB46" i="19" s="1"/>
  <c r="H48" i="19"/>
  <c r="AB48" i="19" s="1"/>
  <c r="AI48" i="19" s="1"/>
  <c r="J43" i="19"/>
  <c r="T47" i="19"/>
  <c r="AA47" i="19"/>
  <c r="AH47" i="19"/>
  <c r="L47" i="19"/>
  <c r="G66" i="19"/>
  <c r="G89" i="19" s="1"/>
  <c r="G112" i="19" s="1"/>
  <c r="J48" i="19"/>
  <c r="T42" i="19"/>
  <c r="AH42" i="19"/>
  <c r="AA42" i="19"/>
  <c r="AA44" i="19"/>
  <c r="T44" i="19"/>
  <c r="AH44" i="19"/>
  <c r="Z46" i="19"/>
  <c r="S46" i="19"/>
  <c r="AG46" i="19"/>
  <c r="N46" i="19"/>
  <c r="Q16" i="19"/>
  <c r="N21" i="19"/>
  <c r="M44" i="19"/>
  <c r="AE21" i="19"/>
  <c r="C44" i="19"/>
  <c r="P42" i="19"/>
  <c r="AD42" i="19"/>
  <c r="W42" i="19"/>
  <c r="Z43" i="19"/>
  <c r="S43" i="19"/>
  <c r="AG43" i="19"/>
  <c r="AD47" i="19"/>
  <c r="W47" i="19"/>
  <c r="P47" i="19"/>
  <c r="W48" i="19"/>
  <c r="P48" i="19"/>
  <c r="AD48" i="19"/>
  <c r="L48" i="19"/>
  <c r="Q47" i="19"/>
  <c r="AE47" i="19"/>
  <c r="X47" i="19"/>
  <c r="AD43" i="19"/>
  <c r="W43" i="19"/>
  <c r="P43" i="19"/>
  <c r="Z44" i="19"/>
  <c r="S44" i="19"/>
  <c r="AG44" i="19"/>
  <c r="T45" i="19"/>
  <c r="AH45" i="19"/>
  <c r="AA45" i="19"/>
  <c r="J46" i="19"/>
  <c r="S48" i="19"/>
  <c r="AG48" i="19"/>
  <c r="Z48" i="19"/>
  <c r="N45" i="19"/>
  <c r="L45" i="19"/>
  <c r="G67" i="19"/>
  <c r="G90" i="19" s="1"/>
  <c r="G113" i="19" s="1"/>
  <c r="I68" i="19"/>
  <c r="I91" i="19" s="1"/>
  <c r="I114" i="19" s="1"/>
  <c r="Y42" i="19"/>
  <c r="AB42" i="19" s="1"/>
  <c r="R42" i="19"/>
  <c r="U42" i="19" s="1"/>
  <c r="AF42" i="19"/>
  <c r="T43" i="19"/>
  <c r="AA43" i="19"/>
  <c r="AH43" i="19"/>
  <c r="P46" i="19"/>
  <c r="AD46" i="19"/>
  <c r="W46" i="19"/>
  <c r="R47" i="19"/>
  <c r="U47" i="19" s="1"/>
  <c r="AF47" i="19"/>
  <c r="Y47" i="19"/>
  <c r="X48" i="19"/>
  <c r="Q48" i="19"/>
  <c r="AE48" i="19"/>
  <c r="J41" i="19"/>
  <c r="X45" i="19"/>
  <c r="Q45" i="19"/>
  <c r="AE45" i="19"/>
  <c r="N47" i="19"/>
  <c r="G64" i="19"/>
  <c r="G87" i="19" s="1"/>
  <c r="G110" i="19" s="1"/>
  <c r="I69" i="19"/>
  <c r="I92" i="19" s="1"/>
  <c r="Y41" i="19"/>
  <c r="R41" i="19"/>
  <c r="AF41" i="19"/>
  <c r="R43" i="19"/>
  <c r="U43" i="19" s="1"/>
  <c r="AF43" i="19"/>
  <c r="Y43" i="19"/>
  <c r="AB43" i="19" s="1"/>
  <c r="H45" i="19"/>
  <c r="AB45" i="19" s="1"/>
  <c r="AB14" i="19"/>
  <c r="X18" i="19"/>
  <c r="C39" i="19"/>
  <c r="X39" i="19" s="1"/>
  <c r="X16" i="19"/>
  <c r="Q13" i="19"/>
  <c r="C36" i="19"/>
  <c r="Q36" i="19" s="1"/>
  <c r="Q18" i="19"/>
  <c r="H36" i="19"/>
  <c r="AA36" i="19"/>
  <c r="F59" i="19"/>
  <c r="AH36" i="19"/>
  <c r="T36" i="19"/>
  <c r="D29" i="18"/>
  <c r="C23" i="19" s="1"/>
  <c r="C46" i="19" s="1"/>
  <c r="C19" i="19"/>
  <c r="C42" i="19" s="1"/>
  <c r="I37" i="1"/>
  <c r="C14" i="19"/>
  <c r="AE36" i="19"/>
  <c r="AE39" i="19"/>
  <c r="D65" i="19"/>
  <c r="E68" i="19"/>
  <c r="F71" i="19"/>
  <c r="E61" i="19"/>
  <c r="S38" i="19"/>
  <c r="Z38" i="19"/>
  <c r="AG38" i="19"/>
  <c r="F64" i="19"/>
  <c r="B68" i="19"/>
  <c r="C71" i="19"/>
  <c r="H38" i="19"/>
  <c r="T38" i="19"/>
  <c r="AA38" i="19"/>
  <c r="AH38" i="19"/>
  <c r="F61" i="19"/>
  <c r="B65" i="19"/>
  <c r="C68" i="19"/>
  <c r="P36" i="19"/>
  <c r="W36" i="19"/>
  <c r="AD36" i="19"/>
  <c r="B59" i="19"/>
  <c r="B62" i="19"/>
  <c r="P39" i="19"/>
  <c r="W39" i="19"/>
  <c r="AD39" i="19"/>
  <c r="D68" i="19"/>
  <c r="E71" i="19"/>
  <c r="U25" i="19"/>
  <c r="I105" i="19"/>
  <c r="G114" i="19"/>
  <c r="G107" i="19"/>
  <c r="G108" i="19"/>
  <c r="I110" i="19"/>
  <c r="G109" i="19"/>
  <c r="M71" i="19"/>
  <c r="B69" i="19"/>
  <c r="G105" i="19"/>
  <c r="I34" i="1"/>
  <c r="Q20" i="19"/>
  <c r="M40" i="19"/>
  <c r="N40" i="19" s="1"/>
  <c r="U17" i="19"/>
  <c r="M70" i="19"/>
  <c r="B63" i="19"/>
  <c r="W40" i="19"/>
  <c r="AD40" i="19"/>
  <c r="P40" i="19"/>
  <c r="Z36" i="19"/>
  <c r="E59" i="19"/>
  <c r="AG36" i="19"/>
  <c r="S36" i="19"/>
  <c r="I111" i="19"/>
  <c r="U20" i="19"/>
  <c r="X20" i="19"/>
  <c r="G106" i="19"/>
  <c r="D71" i="19"/>
  <c r="U21" i="19"/>
  <c r="U22" i="19"/>
  <c r="U23" i="19"/>
  <c r="D62" i="19"/>
  <c r="Y39" i="19"/>
  <c r="AF39" i="19"/>
  <c r="R39" i="19"/>
  <c r="F65" i="19"/>
  <c r="AH37" i="19"/>
  <c r="F60" i="19"/>
  <c r="T37" i="19"/>
  <c r="AA37" i="19"/>
  <c r="J40" i="19"/>
  <c r="F63" i="19"/>
  <c r="T40" i="19"/>
  <c r="AA40" i="19"/>
  <c r="AH40" i="19"/>
  <c r="B67" i="19"/>
  <c r="C70" i="19"/>
  <c r="R36" i="19"/>
  <c r="Y36" i="19"/>
  <c r="D59" i="19"/>
  <c r="AF36" i="19"/>
  <c r="C63" i="19"/>
  <c r="AE40" i="19"/>
  <c r="Q40" i="19"/>
  <c r="X40" i="19"/>
  <c r="D66" i="19"/>
  <c r="E69" i="19"/>
  <c r="AF37" i="19"/>
  <c r="D60" i="19"/>
  <c r="R37" i="19"/>
  <c r="Y37" i="19"/>
  <c r="D63" i="19"/>
  <c r="AF40" i="19"/>
  <c r="R40" i="19"/>
  <c r="Y40" i="19"/>
  <c r="E66" i="19"/>
  <c r="F69" i="19"/>
  <c r="AG37" i="19"/>
  <c r="E60" i="19"/>
  <c r="S37" i="19"/>
  <c r="Z37" i="19"/>
  <c r="E63" i="19"/>
  <c r="AG40" i="19"/>
  <c r="S40" i="19"/>
  <c r="Z40" i="19"/>
  <c r="F66" i="19"/>
  <c r="B70" i="19"/>
  <c r="G135" i="19"/>
  <c r="U18" i="19"/>
  <c r="M61" i="19"/>
  <c r="M62" i="19"/>
  <c r="I115" i="19"/>
  <c r="F68" i="19"/>
  <c r="B66" i="19"/>
  <c r="N20" i="19"/>
  <c r="I135" i="19"/>
  <c r="I117" i="19"/>
  <c r="U19" i="19"/>
  <c r="I109" i="19"/>
  <c r="G115" i="19"/>
  <c r="M36" i="19"/>
  <c r="L36" i="19" s="1"/>
  <c r="U13" i="19"/>
  <c r="M37" i="19"/>
  <c r="N37" i="19" s="1"/>
  <c r="U14" i="19"/>
  <c r="AI14" i="19" s="1"/>
  <c r="M69" i="19"/>
  <c r="I28" i="1"/>
  <c r="W37" i="19"/>
  <c r="AD37" i="19"/>
  <c r="B60" i="19"/>
  <c r="P37" i="19"/>
  <c r="E65" i="19"/>
  <c r="E62" i="19"/>
  <c r="Z39" i="19"/>
  <c r="AG39" i="19"/>
  <c r="S39" i="19"/>
  <c r="L39" i="19"/>
  <c r="F62" i="19"/>
  <c r="AH39" i="19"/>
  <c r="T39" i="19"/>
  <c r="AA39" i="19"/>
  <c r="D61" i="19"/>
  <c r="R38" i="19"/>
  <c r="Y38" i="19"/>
  <c r="AF38" i="19"/>
  <c r="E64" i="19"/>
  <c r="F67" i="19"/>
  <c r="B71" i="19"/>
  <c r="B64" i="19"/>
  <c r="D70" i="19"/>
  <c r="AD38" i="19"/>
  <c r="B61" i="19"/>
  <c r="P38" i="19"/>
  <c r="W38" i="19"/>
  <c r="C64" i="19"/>
  <c r="D67" i="19"/>
  <c r="E70" i="19"/>
  <c r="AE38" i="19"/>
  <c r="C61" i="19"/>
  <c r="Q38" i="19"/>
  <c r="X38" i="19"/>
  <c r="D64" i="19"/>
  <c r="E67" i="19"/>
  <c r="F70" i="19"/>
  <c r="I106" i="19"/>
  <c r="I107" i="19"/>
  <c r="G139" i="19"/>
  <c r="I131" i="19"/>
  <c r="G117" i="19"/>
  <c r="U24" i="19"/>
  <c r="I29" i="1"/>
  <c r="I30" i="1"/>
  <c r="D69" i="19"/>
  <c r="X21" i="19"/>
  <c r="Q21" i="19"/>
  <c r="AB25" i="19"/>
  <c r="H39" i="19"/>
  <c r="AB17" i="19"/>
  <c r="AB13" i="19"/>
  <c r="AB20" i="19"/>
  <c r="J38" i="19"/>
  <c r="J39" i="19"/>
  <c r="L38" i="19"/>
  <c r="J36" i="19"/>
  <c r="N38" i="19"/>
  <c r="N39" i="19"/>
  <c r="H37" i="19"/>
  <c r="H40" i="19"/>
  <c r="J37" i="19"/>
  <c r="AB19" i="19"/>
  <c r="AB24" i="19"/>
  <c r="AB18" i="19"/>
  <c r="AB15" i="19"/>
  <c r="AI15" i="19" s="1"/>
  <c r="AB21" i="19"/>
  <c r="AB23" i="19"/>
  <c r="AB22" i="19"/>
  <c r="AB16" i="19"/>
  <c r="AI16" i="19" s="1"/>
  <c r="I35" i="1"/>
  <c r="I39" i="1"/>
  <c r="I36" i="1"/>
  <c r="I38" i="1"/>
  <c r="H8" i="44"/>
  <c r="G9" i="44"/>
  <c r="L35" i="45"/>
  <c r="M35" i="45" s="1"/>
  <c r="N35" i="45" s="1"/>
  <c r="O35" i="45" s="1"/>
  <c r="P35" i="45" s="1"/>
  <c r="Q35" i="45" s="1"/>
  <c r="R35" i="45" s="1"/>
  <c r="S35" i="45" s="1"/>
  <c r="C9" i="45"/>
  <c r="C59" i="44"/>
  <c r="B35" i="45" s="1"/>
  <c r="D33" i="44"/>
  <c r="AJ86" i="44"/>
  <c r="AK86" i="44" s="1"/>
  <c r="AL86" i="44" s="1"/>
  <c r="AM86" i="44" s="1"/>
  <c r="AN86" i="44" s="1"/>
  <c r="AO86" i="44" s="1"/>
  <c r="AP86" i="44" s="1"/>
  <c r="AQ86" i="44" s="1"/>
  <c r="AR86" i="44" s="1"/>
  <c r="AS86" i="44" s="1"/>
  <c r="AT86" i="44" s="1"/>
  <c r="AU86" i="44" s="1"/>
  <c r="AV86" i="44" s="1"/>
  <c r="AW86" i="44" s="1"/>
  <c r="AX86" i="44" s="1"/>
  <c r="AY86" i="44" s="1"/>
  <c r="AZ86" i="44" s="1"/>
  <c r="BA86" i="44" s="1"/>
  <c r="BB86" i="44" s="1"/>
  <c r="BC86" i="44" s="1"/>
  <c r="BD86" i="44" s="1"/>
  <c r="BE86" i="44" s="1"/>
  <c r="BF86" i="44" s="1"/>
  <c r="BG86" i="44" s="1"/>
  <c r="BH86" i="44" s="1"/>
  <c r="BI86" i="44" s="1"/>
  <c r="BJ86" i="44" s="1"/>
  <c r="BK86" i="44" s="1"/>
  <c r="BL86" i="44" s="1"/>
  <c r="BM86" i="44" s="1"/>
  <c r="BN86" i="44" s="1"/>
  <c r="BO86" i="44" s="1"/>
  <c r="BP86" i="44" s="1"/>
  <c r="BQ86" i="44" s="1"/>
  <c r="BR86" i="44" s="1"/>
  <c r="BS86" i="44" s="1"/>
  <c r="BT86" i="44" s="1"/>
  <c r="BU86" i="44" s="1"/>
  <c r="BV86" i="44" s="1"/>
  <c r="BW86" i="44" s="1"/>
  <c r="BX86" i="44" s="1"/>
  <c r="BY86" i="44" s="1"/>
  <c r="BZ86" i="44" s="1"/>
  <c r="CA86" i="44" s="1"/>
  <c r="CB86" i="44" s="1"/>
  <c r="CC86" i="44" s="1"/>
  <c r="CD86" i="44" s="1"/>
  <c r="CE86" i="44" s="1"/>
  <c r="CF86" i="44" s="1"/>
  <c r="CG86" i="44" s="1"/>
  <c r="AI85" i="44"/>
  <c r="I8" i="44"/>
  <c r="F17" i="45"/>
  <c r="D208" i="44"/>
  <c r="F14" i="45"/>
  <c r="D126" i="44"/>
  <c r="D127" i="44" s="1"/>
  <c r="AH85" i="44"/>
  <c r="Z85" i="44"/>
  <c r="R85" i="44"/>
  <c r="J85" i="44"/>
  <c r="AG85" i="44"/>
  <c r="Y85" i="44"/>
  <c r="Q85" i="44"/>
  <c r="I85" i="44"/>
  <c r="AF85" i="44"/>
  <c r="X85" i="44"/>
  <c r="P85" i="44"/>
  <c r="H85" i="44"/>
  <c r="AE85" i="44"/>
  <c r="W85" i="44"/>
  <c r="O85" i="44"/>
  <c r="G85" i="44"/>
  <c r="AB85" i="44"/>
  <c r="T85" i="44"/>
  <c r="L85" i="44"/>
  <c r="AD85" i="44"/>
  <c r="K85" i="44"/>
  <c r="AC85" i="44"/>
  <c r="AA85" i="44"/>
  <c r="V85" i="44"/>
  <c r="N85" i="44"/>
  <c r="U85" i="44"/>
  <c r="S85" i="44"/>
  <c r="M85" i="44"/>
  <c r="E16" i="45"/>
  <c r="D192" i="44"/>
  <c r="F68" i="44"/>
  <c r="C16" i="45"/>
  <c r="C172" i="44"/>
  <c r="C86" i="44"/>
  <c r="C78" i="44"/>
  <c r="C44" i="44"/>
  <c r="B20" i="45" s="1"/>
  <c r="C15" i="45"/>
  <c r="C139" i="44"/>
  <c r="F16" i="45"/>
  <c r="D190" i="44"/>
  <c r="F18" i="45"/>
  <c r="D217" i="44"/>
  <c r="C159" i="44"/>
  <c r="C123" i="44"/>
  <c r="C121" i="44"/>
  <c r="C127" i="44"/>
  <c r="C158" i="44" s="1"/>
  <c r="C191" i="44" s="1"/>
  <c r="C209" i="44" s="1"/>
  <c r="C218" i="44" s="1"/>
  <c r="D16" i="45"/>
  <c r="D178" i="44"/>
  <c r="C181" i="44" s="1"/>
  <c r="C79" i="44"/>
  <c r="C71" i="44"/>
  <c r="D15" i="45"/>
  <c r="D146" i="44"/>
  <c r="C148" i="44" s="1"/>
  <c r="E15" i="45"/>
  <c r="D159" i="44"/>
  <c r="C17" i="45"/>
  <c r="C204" i="44"/>
  <c r="C14" i="45"/>
  <c r="C90" i="44"/>
  <c r="F15" i="45"/>
  <c r="D157" i="44"/>
  <c r="D14" i="45"/>
  <c r="D116" i="44"/>
  <c r="D96" i="44"/>
  <c r="C138" i="44" s="1"/>
  <c r="E18" i="45"/>
  <c r="E17" i="45"/>
  <c r="D210" i="44"/>
  <c r="F179" i="44"/>
  <c r="G20" i="45"/>
  <c r="E18" i="28"/>
  <c r="C65" i="23"/>
  <c r="C64" i="23"/>
  <c r="C63" i="23"/>
  <c r="C62" i="23"/>
  <c r="C61" i="23"/>
  <c r="C60" i="23"/>
  <c r="C57" i="23"/>
  <c r="C56" i="23"/>
  <c r="C55" i="23"/>
  <c r="C54" i="23"/>
  <c r="C53" i="23"/>
  <c r="C52" i="23"/>
  <c r="C51" i="23"/>
  <c r="C50" i="23"/>
  <c r="C47" i="23"/>
  <c r="C46" i="23"/>
  <c r="C45" i="23"/>
  <c r="C44" i="23"/>
  <c r="C43" i="23"/>
  <c r="C42" i="23"/>
  <c r="C39" i="23"/>
  <c r="C38" i="23"/>
  <c r="C37" i="23"/>
  <c r="C36" i="23"/>
  <c r="C35" i="23"/>
  <c r="C34" i="23"/>
  <c r="C31" i="23"/>
  <c r="C30" i="23"/>
  <c r="C29" i="23"/>
  <c r="C28" i="23"/>
  <c r="C27" i="23"/>
  <c r="C26" i="23"/>
  <c r="C25" i="23"/>
  <c r="C24" i="23"/>
  <c r="C23" i="23"/>
  <c r="C20" i="23"/>
  <c r="C17" i="23"/>
  <c r="C15" i="23"/>
  <c r="C11" i="23"/>
  <c r="M49" i="23"/>
  <c r="L49" i="23"/>
  <c r="K49" i="23"/>
  <c r="J49" i="23"/>
  <c r="I49" i="23"/>
  <c r="H49" i="23"/>
  <c r="G49" i="23"/>
  <c r="F49" i="23"/>
  <c r="E49" i="23"/>
  <c r="D49" i="23"/>
  <c r="C49" i="23"/>
  <c r="E5" i="23"/>
  <c r="F5" i="23" s="1"/>
  <c r="G5" i="23" s="1"/>
  <c r="H5" i="23" s="1"/>
  <c r="I5" i="23" s="1"/>
  <c r="J5" i="23" s="1"/>
  <c r="K5" i="23" s="1"/>
  <c r="L5" i="23" s="1"/>
  <c r="M5" i="23" s="1"/>
  <c r="O162" i="32"/>
  <c r="N162" i="32"/>
  <c r="M162" i="32"/>
  <c r="L162" i="32"/>
  <c r="K162" i="32"/>
  <c r="J162" i="32"/>
  <c r="I162" i="32"/>
  <c r="H162" i="32"/>
  <c r="G162" i="32"/>
  <c r="F162" i="32"/>
  <c r="E162" i="32"/>
  <c r="L137" i="32"/>
  <c r="K137" i="32"/>
  <c r="J137" i="32"/>
  <c r="I137" i="32"/>
  <c r="H137" i="32"/>
  <c r="G137" i="32"/>
  <c r="F137" i="32"/>
  <c r="E137" i="32"/>
  <c r="D116" i="32"/>
  <c r="D141" i="32" s="1"/>
  <c r="D112" i="32"/>
  <c r="J110" i="32"/>
  <c r="I110" i="32"/>
  <c r="H110" i="32"/>
  <c r="G110" i="32"/>
  <c r="F110" i="32"/>
  <c r="E110" i="32"/>
  <c r="D104" i="32"/>
  <c r="O86" i="32"/>
  <c r="N86" i="32"/>
  <c r="M86" i="32"/>
  <c r="L86" i="32"/>
  <c r="K86" i="32"/>
  <c r="J86" i="32"/>
  <c r="I86" i="32"/>
  <c r="H86" i="32"/>
  <c r="G86" i="32"/>
  <c r="F86" i="32"/>
  <c r="E86" i="32"/>
  <c r="F11" i="32"/>
  <c r="E11" i="32"/>
  <c r="D11" i="32"/>
  <c r="E8" i="32"/>
  <c r="D8" i="32"/>
  <c r="F6" i="32"/>
  <c r="F91" i="32" s="1"/>
  <c r="E6" i="32"/>
  <c r="E3" i="32"/>
  <c r="D104" i="30"/>
  <c r="F137" i="30"/>
  <c r="G137" i="30"/>
  <c r="H137" i="30"/>
  <c r="I137" i="30"/>
  <c r="J137" i="30"/>
  <c r="K137" i="30"/>
  <c r="L137" i="30"/>
  <c r="F162" i="30"/>
  <c r="G162" i="30"/>
  <c r="H162" i="30"/>
  <c r="I162" i="30"/>
  <c r="J162" i="30"/>
  <c r="K162" i="30"/>
  <c r="L162" i="30"/>
  <c r="M162" i="30"/>
  <c r="N162" i="30"/>
  <c r="O162" i="30"/>
  <c r="E162" i="30"/>
  <c r="E137" i="30"/>
  <c r="F110" i="30"/>
  <c r="G110" i="30"/>
  <c r="H110" i="30"/>
  <c r="I110" i="30"/>
  <c r="J110" i="30"/>
  <c r="E110" i="30"/>
  <c r="E3" i="30"/>
  <c r="F6" i="30"/>
  <c r="F91" i="30" s="1"/>
  <c r="E6" i="30"/>
  <c r="E8" i="30"/>
  <c r="E11" i="30"/>
  <c r="D116" i="30"/>
  <c r="D152" i="30" s="1"/>
  <c r="D112" i="30"/>
  <c r="O86" i="30"/>
  <c r="N86" i="30"/>
  <c r="M86" i="30"/>
  <c r="L86" i="30"/>
  <c r="K86" i="30"/>
  <c r="J86" i="30"/>
  <c r="I86" i="30"/>
  <c r="H86" i="30"/>
  <c r="G86" i="30"/>
  <c r="F86" i="30"/>
  <c r="E86" i="30"/>
  <c r="F11" i="30"/>
  <c r="D11" i="30"/>
  <c r="D8" i="30"/>
  <c r="R5" i="23"/>
  <c r="S5" i="23" s="1"/>
  <c r="T5" i="23" s="1"/>
  <c r="U5" i="23" s="1"/>
  <c r="V5" i="23" s="1"/>
  <c r="W5" i="23" s="1"/>
  <c r="X5" i="23" s="1"/>
  <c r="Y5" i="23" s="1"/>
  <c r="Z5" i="23" s="1"/>
  <c r="P65" i="23"/>
  <c r="P64" i="23"/>
  <c r="P63" i="23"/>
  <c r="P62" i="23"/>
  <c r="P61" i="23"/>
  <c r="P60" i="23"/>
  <c r="P57" i="23"/>
  <c r="P56" i="23"/>
  <c r="P55" i="23"/>
  <c r="P54" i="23"/>
  <c r="P53" i="23"/>
  <c r="P52" i="23"/>
  <c r="P51" i="23"/>
  <c r="P50" i="23"/>
  <c r="Z49" i="23"/>
  <c r="Y49" i="23"/>
  <c r="X49" i="23"/>
  <c r="W49" i="23"/>
  <c r="V49" i="23"/>
  <c r="U49" i="23"/>
  <c r="T49" i="23"/>
  <c r="S49" i="23"/>
  <c r="R49" i="23"/>
  <c r="Q49" i="23"/>
  <c r="P49" i="23"/>
  <c r="P47" i="23"/>
  <c r="P46" i="23"/>
  <c r="P45" i="23"/>
  <c r="P44" i="23"/>
  <c r="P43" i="23"/>
  <c r="P42" i="23"/>
  <c r="P39" i="23"/>
  <c r="P38" i="23"/>
  <c r="P37" i="23"/>
  <c r="P36" i="23"/>
  <c r="P35" i="23"/>
  <c r="P34" i="23"/>
  <c r="P31" i="23"/>
  <c r="P30" i="23"/>
  <c r="P29" i="23"/>
  <c r="P28" i="23"/>
  <c r="P27" i="23"/>
  <c r="P26" i="23"/>
  <c r="P25" i="23"/>
  <c r="P24" i="23"/>
  <c r="P23" i="23"/>
  <c r="P20" i="23"/>
  <c r="P17" i="23"/>
  <c r="P15" i="23"/>
  <c r="P11" i="23"/>
  <c r="F92" i="28"/>
  <c r="F3" i="28"/>
  <c r="E7" i="28"/>
  <c r="C171" i="44" l="1"/>
  <c r="Q39" i="19"/>
  <c r="C62" i="19"/>
  <c r="AB44" i="19"/>
  <c r="AL85" i="44"/>
  <c r="I40" i="1"/>
  <c r="AB41" i="19"/>
  <c r="AB47" i="19"/>
  <c r="AI47" i="19" s="1"/>
  <c r="AI43" i="19"/>
  <c r="Q42" i="19"/>
  <c r="AE42" i="19"/>
  <c r="X42" i="19"/>
  <c r="X44" i="19"/>
  <c r="Q44" i="19"/>
  <c r="AE44" i="19"/>
  <c r="N41" i="19"/>
  <c r="L41" i="19"/>
  <c r="U41" i="19"/>
  <c r="AI46" i="19"/>
  <c r="Q43" i="19"/>
  <c r="AE43" i="19"/>
  <c r="X43" i="19"/>
  <c r="Q46" i="19"/>
  <c r="AE46" i="19"/>
  <c r="X46" i="19"/>
  <c r="AI42" i="19"/>
  <c r="X41" i="19"/>
  <c r="Q41" i="19"/>
  <c r="AE41" i="19"/>
  <c r="AI45" i="19"/>
  <c r="N44" i="19"/>
  <c r="U44" i="19"/>
  <c r="AI44" i="19" s="1"/>
  <c r="L44" i="19"/>
  <c r="N36" i="19"/>
  <c r="L40" i="19"/>
  <c r="AI13" i="19"/>
  <c r="C59" i="19"/>
  <c r="AE59" i="19" s="1"/>
  <c r="AI20" i="19"/>
  <c r="AI24" i="19"/>
  <c r="X36" i="19"/>
  <c r="AB36" i="19"/>
  <c r="AI18" i="19"/>
  <c r="AI23" i="19"/>
  <c r="AB38" i="19"/>
  <c r="AI22" i="19"/>
  <c r="AI17" i="19"/>
  <c r="AI25" i="19"/>
  <c r="AI21" i="19"/>
  <c r="AI19" i="19"/>
  <c r="G136" i="19"/>
  <c r="B89" i="19"/>
  <c r="P66" i="19"/>
  <c r="AD66" i="19"/>
  <c r="W66" i="19"/>
  <c r="AB40" i="19"/>
  <c r="D89" i="19"/>
  <c r="R66" i="19"/>
  <c r="AF66" i="19"/>
  <c r="Y66" i="19"/>
  <c r="G134" i="19"/>
  <c r="M93" i="19"/>
  <c r="N70" i="19"/>
  <c r="L70" i="19"/>
  <c r="B88" i="19"/>
  <c r="W65" i="19"/>
  <c r="AD65" i="19"/>
  <c r="P65" i="19"/>
  <c r="I130" i="19"/>
  <c r="B87" i="19"/>
  <c r="P64" i="19"/>
  <c r="AD64" i="19"/>
  <c r="W64" i="19"/>
  <c r="F90" i="19"/>
  <c r="AH67" i="19"/>
  <c r="T67" i="19"/>
  <c r="AA67" i="19"/>
  <c r="J67" i="19"/>
  <c r="H67" i="19"/>
  <c r="B83" i="19"/>
  <c r="W60" i="19"/>
  <c r="P60" i="19"/>
  <c r="AD60" i="19"/>
  <c r="G138" i="19"/>
  <c r="I140" i="19"/>
  <c r="B93" i="19"/>
  <c r="AD70" i="19"/>
  <c r="W70" i="19"/>
  <c r="P70" i="19"/>
  <c r="B90" i="19"/>
  <c r="AD67" i="19"/>
  <c r="P67" i="19"/>
  <c r="W67" i="19"/>
  <c r="F83" i="19"/>
  <c r="AA60" i="19"/>
  <c r="T60" i="19"/>
  <c r="AH60" i="19"/>
  <c r="J60" i="19"/>
  <c r="H60" i="19"/>
  <c r="M68" i="19"/>
  <c r="S59" i="19"/>
  <c r="E82" i="19"/>
  <c r="Z59" i="19"/>
  <c r="AG59" i="19"/>
  <c r="G130" i="19"/>
  <c r="G153" i="19" s="1"/>
  <c r="AH61" i="19"/>
  <c r="T61" i="19"/>
  <c r="AA61" i="19"/>
  <c r="F84" i="19"/>
  <c r="J61" i="19"/>
  <c r="H61" i="19"/>
  <c r="C94" i="19"/>
  <c r="X71" i="19"/>
  <c r="Q71" i="19"/>
  <c r="AE71" i="19"/>
  <c r="F87" i="19"/>
  <c r="AH64" i="19"/>
  <c r="AA64" i="19"/>
  <c r="T64" i="19"/>
  <c r="J64" i="19"/>
  <c r="H64" i="19"/>
  <c r="F82" i="19"/>
  <c r="AA59" i="19"/>
  <c r="T59" i="19"/>
  <c r="AH59" i="19"/>
  <c r="H59" i="19"/>
  <c r="J59" i="19"/>
  <c r="F93" i="19"/>
  <c r="AH70" i="19"/>
  <c r="T70" i="19"/>
  <c r="AA70" i="19"/>
  <c r="J70" i="19"/>
  <c r="H70" i="19"/>
  <c r="D84" i="19"/>
  <c r="AF61" i="19"/>
  <c r="R61" i="19"/>
  <c r="Y61" i="19"/>
  <c r="I158" i="19"/>
  <c r="F91" i="19"/>
  <c r="AA68" i="19"/>
  <c r="AH68" i="19"/>
  <c r="T68" i="19"/>
  <c r="J68" i="19"/>
  <c r="H68" i="19"/>
  <c r="I138" i="19"/>
  <c r="G133" i="19"/>
  <c r="L71" i="19"/>
  <c r="M94" i="19"/>
  <c r="N71" i="19"/>
  <c r="F94" i="19"/>
  <c r="AA71" i="19"/>
  <c r="AH71" i="19"/>
  <c r="T71" i="19"/>
  <c r="H71" i="19"/>
  <c r="J71" i="19"/>
  <c r="D88" i="19"/>
  <c r="AF65" i="19"/>
  <c r="R65" i="19"/>
  <c r="Y65" i="19"/>
  <c r="I129" i="19"/>
  <c r="D87" i="19"/>
  <c r="R64" i="19"/>
  <c r="Y64" i="19"/>
  <c r="AF64" i="19"/>
  <c r="E93" i="19"/>
  <c r="S70" i="19"/>
  <c r="Z70" i="19"/>
  <c r="AG70" i="19"/>
  <c r="C87" i="19"/>
  <c r="Q64" i="19"/>
  <c r="AE64" i="19"/>
  <c r="X64" i="19"/>
  <c r="D93" i="19"/>
  <c r="AF70" i="19"/>
  <c r="Y70" i="19"/>
  <c r="R70" i="19"/>
  <c r="E85" i="19"/>
  <c r="S62" i="19"/>
  <c r="Z62" i="19"/>
  <c r="AG62" i="19"/>
  <c r="U37" i="19"/>
  <c r="M60" i="19"/>
  <c r="I132" i="19"/>
  <c r="U39" i="19"/>
  <c r="E86" i="19"/>
  <c r="S63" i="19"/>
  <c r="AG63" i="19"/>
  <c r="Z63" i="19"/>
  <c r="F92" i="19"/>
  <c r="AA69" i="19"/>
  <c r="AH69" i="19"/>
  <c r="T69" i="19"/>
  <c r="H69" i="19"/>
  <c r="J69" i="19"/>
  <c r="D86" i="19"/>
  <c r="AF63" i="19"/>
  <c r="R63" i="19"/>
  <c r="Y63" i="19"/>
  <c r="L37" i="19"/>
  <c r="AB39" i="19"/>
  <c r="D94" i="19"/>
  <c r="Y71" i="19"/>
  <c r="R71" i="19"/>
  <c r="AF71" i="19"/>
  <c r="G128" i="19"/>
  <c r="G132" i="19"/>
  <c r="G137" i="19"/>
  <c r="Z71" i="19"/>
  <c r="E94" i="19"/>
  <c r="AG71" i="19"/>
  <c r="S71" i="19"/>
  <c r="AE14" i="19"/>
  <c r="Q14" i="19"/>
  <c r="C37" i="19"/>
  <c r="X14" i="19"/>
  <c r="G140" i="19"/>
  <c r="M64" i="19"/>
  <c r="E92" i="19"/>
  <c r="AG69" i="19"/>
  <c r="S69" i="19"/>
  <c r="Z69" i="19"/>
  <c r="D85" i="19"/>
  <c r="AF62" i="19"/>
  <c r="Y62" i="19"/>
  <c r="R62" i="19"/>
  <c r="G129" i="19"/>
  <c r="M66" i="19"/>
  <c r="B85" i="19"/>
  <c r="AD62" i="19"/>
  <c r="W62" i="19"/>
  <c r="P62" i="19"/>
  <c r="C91" i="19"/>
  <c r="X68" i="19"/>
  <c r="Q68" i="19"/>
  <c r="AE68" i="19"/>
  <c r="E7" i="32"/>
  <c r="E7" i="46"/>
  <c r="E9" i="46" s="1"/>
  <c r="E12" i="46" s="1"/>
  <c r="I154" i="19"/>
  <c r="C67" i="19"/>
  <c r="B94" i="19"/>
  <c r="AD71" i="19"/>
  <c r="P71" i="19"/>
  <c r="W71" i="19"/>
  <c r="E87" i="19"/>
  <c r="AG64" i="19"/>
  <c r="Z64" i="19"/>
  <c r="S64" i="19"/>
  <c r="M85" i="19"/>
  <c r="N62" i="19"/>
  <c r="U62" i="19"/>
  <c r="L62" i="19"/>
  <c r="G158" i="19"/>
  <c r="AB37" i="19"/>
  <c r="C86" i="19"/>
  <c r="X63" i="19"/>
  <c r="AE63" i="19"/>
  <c r="Q63" i="19"/>
  <c r="AE70" i="19"/>
  <c r="C93" i="19"/>
  <c r="X70" i="19"/>
  <c r="Q70" i="19"/>
  <c r="F86" i="19"/>
  <c r="AH63" i="19"/>
  <c r="T63" i="19"/>
  <c r="AA63" i="19"/>
  <c r="J63" i="19"/>
  <c r="H63" i="19"/>
  <c r="M67" i="19"/>
  <c r="I133" i="19"/>
  <c r="I128" i="19"/>
  <c r="B82" i="19"/>
  <c r="AD59" i="19"/>
  <c r="P59" i="19"/>
  <c r="W59" i="19"/>
  <c r="B91" i="19"/>
  <c r="W68" i="19"/>
  <c r="P68" i="19"/>
  <c r="AD68" i="19"/>
  <c r="AE19" i="19"/>
  <c r="Q19" i="19"/>
  <c r="X19" i="19"/>
  <c r="F3" i="46"/>
  <c r="D92" i="19"/>
  <c r="AF69" i="19"/>
  <c r="R69" i="19"/>
  <c r="U69" i="19" s="1"/>
  <c r="Y69" i="19"/>
  <c r="I136" i="19"/>
  <c r="Q61" i="19"/>
  <c r="C84" i="19"/>
  <c r="AE61" i="19"/>
  <c r="X61" i="19"/>
  <c r="B84" i="19"/>
  <c r="W61" i="19"/>
  <c r="AD61" i="19"/>
  <c r="P61" i="19"/>
  <c r="F85" i="19"/>
  <c r="AA62" i="19"/>
  <c r="T62" i="19"/>
  <c r="AH62" i="19"/>
  <c r="J62" i="19"/>
  <c r="H62" i="19"/>
  <c r="U38" i="19"/>
  <c r="F89" i="19"/>
  <c r="AH66" i="19"/>
  <c r="T66" i="19"/>
  <c r="AA66" i="19"/>
  <c r="J66" i="19"/>
  <c r="H66" i="19"/>
  <c r="AG60" i="19"/>
  <c r="E83" i="19"/>
  <c r="Z60" i="19"/>
  <c r="S60" i="19"/>
  <c r="I137" i="19"/>
  <c r="I134" i="19"/>
  <c r="W63" i="19"/>
  <c r="B86" i="19"/>
  <c r="AD63" i="19"/>
  <c r="P63" i="19"/>
  <c r="E84" i="19"/>
  <c r="S61" i="19"/>
  <c r="AG61" i="19"/>
  <c r="Z61" i="19"/>
  <c r="E91" i="19"/>
  <c r="Z68" i="19"/>
  <c r="AG68" i="19"/>
  <c r="S68" i="19"/>
  <c r="C85" i="19"/>
  <c r="X62" i="19"/>
  <c r="Q62" i="19"/>
  <c r="AE62" i="19"/>
  <c r="AE23" i="19"/>
  <c r="Q23" i="19"/>
  <c r="X23" i="19"/>
  <c r="AK85" i="44"/>
  <c r="G162" i="19"/>
  <c r="S67" i="19"/>
  <c r="E90" i="19"/>
  <c r="Z67" i="19"/>
  <c r="AG67" i="19"/>
  <c r="D90" i="19"/>
  <c r="AF67" i="19"/>
  <c r="R67" i="19"/>
  <c r="Y67" i="19"/>
  <c r="E88" i="19"/>
  <c r="S65" i="19"/>
  <c r="AG65" i="19"/>
  <c r="Z65" i="19"/>
  <c r="L69" i="19"/>
  <c r="M92" i="19"/>
  <c r="N69" i="19"/>
  <c r="U36" i="19"/>
  <c r="M59" i="19"/>
  <c r="M65" i="19"/>
  <c r="I162" i="19"/>
  <c r="L61" i="19"/>
  <c r="M84" i="19"/>
  <c r="N61" i="19"/>
  <c r="E89" i="19"/>
  <c r="S66" i="19"/>
  <c r="AG66" i="19"/>
  <c r="Z66" i="19"/>
  <c r="AF60" i="19"/>
  <c r="D83" i="19"/>
  <c r="Y60" i="19"/>
  <c r="R60" i="19"/>
  <c r="R59" i="19"/>
  <c r="D82" i="19"/>
  <c r="Y59" i="19"/>
  <c r="AF59" i="19"/>
  <c r="AH65" i="19"/>
  <c r="T65" i="19"/>
  <c r="F88" i="19"/>
  <c r="AA65" i="19"/>
  <c r="H65" i="19"/>
  <c r="J65" i="19"/>
  <c r="M63" i="19"/>
  <c r="U40" i="19"/>
  <c r="B92" i="19"/>
  <c r="AD69" i="19"/>
  <c r="P69" i="19"/>
  <c r="W69" i="19"/>
  <c r="G131" i="19"/>
  <c r="D91" i="19"/>
  <c r="Y68" i="19"/>
  <c r="AF68" i="19"/>
  <c r="R68" i="19"/>
  <c r="C89" i="19"/>
  <c r="AE66" i="19"/>
  <c r="X66" i="19"/>
  <c r="Q66" i="19"/>
  <c r="E18" i="46"/>
  <c r="G10" i="18"/>
  <c r="H6" i="18" s="1"/>
  <c r="AJ85" i="44"/>
  <c r="AT85" i="44"/>
  <c r="BJ85" i="44"/>
  <c r="BA85" i="44"/>
  <c r="BC85" i="44"/>
  <c r="BB85" i="44"/>
  <c r="AS85" i="44"/>
  <c r="BN85" i="44"/>
  <c r="H7" i="44"/>
  <c r="AY85" i="44"/>
  <c r="BH85" i="44"/>
  <c r="BW85" i="44"/>
  <c r="BP85" i="44"/>
  <c r="BK85" i="44"/>
  <c r="CE85" i="44"/>
  <c r="BQ85" i="44"/>
  <c r="BV85" i="44"/>
  <c r="BU85" i="44"/>
  <c r="CC85" i="44"/>
  <c r="BI85" i="44"/>
  <c r="BG85" i="44"/>
  <c r="AR85" i="44"/>
  <c r="AM85" i="44"/>
  <c r="AN85" i="44"/>
  <c r="AZ85" i="44"/>
  <c r="AU85" i="44"/>
  <c r="AV85" i="44"/>
  <c r="H9" i="44"/>
  <c r="I9" i="44" s="1"/>
  <c r="E9" i="32"/>
  <c r="E12" i="32" s="1"/>
  <c r="D5" i="44"/>
  <c r="F3" i="32"/>
  <c r="BX85" i="44"/>
  <c r="CF85" i="44"/>
  <c r="BZ85" i="44"/>
  <c r="BS85" i="44"/>
  <c r="BD85" i="44"/>
  <c r="AO85" i="44"/>
  <c r="BR85" i="44"/>
  <c r="CA85" i="44"/>
  <c r="BL85" i="44"/>
  <c r="AW85" i="44"/>
  <c r="BY85" i="44"/>
  <c r="BT85" i="44"/>
  <c r="BE85" i="44"/>
  <c r="AP85" i="44"/>
  <c r="AQ85" i="44"/>
  <c r="BO85" i="44"/>
  <c r="CB85" i="44"/>
  <c r="BM85" i="44"/>
  <c r="AX85" i="44"/>
  <c r="C210" i="44"/>
  <c r="C219" i="44" s="1"/>
  <c r="C192" i="44"/>
  <c r="C202" i="44"/>
  <c r="C180" i="44"/>
  <c r="CD85" i="44"/>
  <c r="D209" i="44"/>
  <c r="C170" i="44"/>
  <c r="C147" i="44"/>
  <c r="H20" i="45"/>
  <c r="D158" i="44"/>
  <c r="F217" i="44"/>
  <c r="D218" i="44"/>
  <c r="F218" i="44" s="1"/>
  <c r="C185" i="44"/>
  <c r="C187" i="44"/>
  <c r="C154" i="44"/>
  <c r="C152" i="44"/>
  <c r="C126" i="44"/>
  <c r="C157" i="44" s="1"/>
  <c r="C190" i="44" s="1"/>
  <c r="C208" i="44" s="1"/>
  <c r="C217" i="44" s="1"/>
  <c r="C103" i="44"/>
  <c r="C101" i="44"/>
  <c r="C203" i="44"/>
  <c r="BF85" i="44"/>
  <c r="C97" i="44"/>
  <c r="C110" i="44"/>
  <c r="C117" i="44" s="1"/>
  <c r="D191" i="44"/>
  <c r="D44" i="45"/>
  <c r="J8" i="44"/>
  <c r="I7" i="44"/>
  <c r="CH86" i="44"/>
  <c r="CG85" i="44"/>
  <c r="C7" i="23"/>
  <c r="P7" i="23"/>
  <c r="G11" i="32"/>
  <c r="H11" i="32" s="1"/>
  <c r="I11" i="32" s="1"/>
  <c r="J11" i="32" s="1"/>
  <c r="K11" i="32" s="1"/>
  <c r="L11" i="32" s="1"/>
  <c r="M11" i="32" s="1"/>
  <c r="N11" i="32" s="1"/>
  <c r="O11" i="32" s="1"/>
  <c r="D127" i="32"/>
  <c r="D177" i="32" s="1"/>
  <c r="D152" i="32"/>
  <c r="D166" i="32"/>
  <c r="E7" i="30"/>
  <c r="F3" i="30"/>
  <c r="D127" i="30"/>
  <c r="D166" i="30"/>
  <c r="G11" i="30"/>
  <c r="H11" i="30" s="1"/>
  <c r="I11" i="30" s="1"/>
  <c r="J11" i="30" s="1"/>
  <c r="K11" i="30" s="1"/>
  <c r="L11" i="30" s="1"/>
  <c r="M11" i="30" s="1"/>
  <c r="N11" i="30" s="1"/>
  <c r="O11" i="30" s="1"/>
  <c r="D141" i="30"/>
  <c r="G3" i="28"/>
  <c r="AB66" i="19" l="1"/>
  <c r="AI41" i="19"/>
  <c r="AI40" i="19"/>
  <c r="C82" i="19"/>
  <c r="AI36" i="19"/>
  <c r="X59" i="19"/>
  <c r="Q59" i="19"/>
  <c r="AB63" i="19"/>
  <c r="AI38" i="19"/>
  <c r="AI37" i="19"/>
  <c r="AB61" i="19"/>
  <c r="AB70" i="19"/>
  <c r="AI39" i="19"/>
  <c r="C112" i="19"/>
  <c r="Q89" i="19"/>
  <c r="AE89" i="19"/>
  <c r="X89" i="19"/>
  <c r="I155" i="19"/>
  <c r="Y84" i="19"/>
  <c r="D107" i="19"/>
  <c r="AF84" i="19"/>
  <c r="R84" i="19"/>
  <c r="U84" i="19" s="1"/>
  <c r="AE94" i="19"/>
  <c r="C117" i="19"/>
  <c r="X94" i="19"/>
  <c r="Q94" i="19"/>
  <c r="G176" i="19"/>
  <c r="M91" i="19"/>
  <c r="N68" i="19"/>
  <c r="L68" i="19"/>
  <c r="U68" i="19"/>
  <c r="I163" i="19"/>
  <c r="I186" i="19" s="1"/>
  <c r="B110" i="19"/>
  <c r="W87" i="19"/>
  <c r="P87" i="19"/>
  <c r="AD87" i="19"/>
  <c r="D112" i="19"/>
  <c r="R89" i="19"/>
  <c r="AF89" i="19"/>
  <c r="Y89" i="19"/>
  <c r="AB65" i="19"/>
  <c r="E112" i="19"/>
  <c r="AG89" i="19"/>
  <c r="Z89" i="19"/>
  <c r="S89" i="19"/>
  <c r="L65" i="19"/>
  <c r="M88" i="19"/>
  <c r="L88" i="19" s="1"/>
  <c r="U65" i="19"/>
  <c r="N65" i="19"/>
  <c r="C107" i="19"/>
  <c r="X84" i="19"/>
  <c r="Q84" i="19"/>
  <c r="AE84" i="19"/>
  <c r="I151" i="19"/>
  <c r="B108" i="19"/>
  <c r="AD85" i="19"/>
  <c r="P85" i="19"/>
  <c r="W85" i="19"/>
  <c r="M87" i="19"/>
  <c r="L64" i="19"/>
  <c r="N64" i="19"/>
  <c r="U64" i="19"/>
  <c r="G151" i="19"/>
  <c r="U63" i="19"/>
  <c r="AH92" i="19"/>
  <c r="F115" i="19"/>
  <c r="AA92" i="19"/>
  <c r="T92" i="19"/>
  <c r="J92" i="19"/>
  <c r="H92" i="19"/>
  <c r="I152" i="19"/>
  <c r="G156" i="19"/>
  <c r="AB59" i="19"/>
  <c r="AB60" i="19"/>
  <c r="C105" i="19"/>
  <c r="AE82" i="19"/>
  <c r="X82" i="19"/>
  <c r="Q82" i="19"/>
  <c r="M116" i="19"/>
  <c r="L93" i="19"/>
  <c r="N93" i="19"/>
  <c r="AD92" i="19"/>
  <c r="B115" i="19"/>
  <c r="W92" i="19"/>
  <c r="P92" i="19"/>
  <c r="F111" i="19"/>
  <c r="AH88" i="19"/>
  <c r="T88" i="19"/>
  <c r="AA88" i="19"/>
  <c r="H88" i="19"/>
  <c r="J88" i="19"/>
  <c r="M107" i="19"/>
  <c r="L84" i="19"/>
  <c r="N84" i="19"/>
  <c r="E113" i="19"/>
  <c r="Z90" i="19"/>
  <c r="S90" i="19"/>
  <c r="AG90" i="19"/>
  <c r="E114" i="19"/>
  <c r="Z91" i="19"/>
  <c r="AG91" i="19"/>
  <c r="S91" i="19"/>
  <c r="F112" i="19"/>
  <c r="T89" i="19"/>
  <c r="AH89" i="19"/>
  <c r="AA89" i="19"/>
  <c r="J89" i="19"/>
  <c r="H89" i="19"/>
  <c r="AB89" i="19" s="1"/>
  <c r="B114" i="19"/>
  <c r="W91" i="19"/>
  <c r="P91" i="19"/>
  <c r="AD91" i="19"/>
  <c r="I156" i="19"/>
  <c r="G163" i="19"/>
  <c r="D109" i="19"/>
  <c r="R86" i="19"/>
  <c r="Y86" i="19"/>
  <c r="AF86" i="19"/>
  <c r="AF93" i="19"/>
  <c r="D116" i="19"/>
  <c r="Y93" i="19"/>
  <c r="R93" i="19"/>
  <c r="AG93" i="19"/>
  <c r="E116" i="19"/>
  <c r="Z93" i="19"/>
  <c r="S93" i="19"/>
  <c r="F117" i="19"/>
  <c r="AA94" i="19"/>
  <c r="AH94" i="19"/>
  <c r="T94" i="19"/>
  <c r="H94" i="19"/>
  <c r="J94" i="19"/>
  <c r="I181" i="19"/>
  <c r="F107" i="19"/>
  <c r="AH84" i="19"/>
  <c r="AA84" i="19"/>
  <c r="T84" i="19"/>
  <c r="H84" i="19"/>
  <c r="J84" i="19"/>
  <c r="G157" i="19"/>
  <c r="C90" i="19"/>
  <c r="AE67" i="19"/>
  <c r="Q67" i="19"/>
  <c r="X67" i="19"/>
  <c r="AF85" i="19"/>
  <c r="D108" i="19"/>
  <c r="R85" i="19"/>
  <c r="U85" i="19" s="1"/>
  <c r="Y85" i="19"/>
  <c r="I153" i="19"/>
  <c r="Y83" i="19"/>
  <c r="D106" i="19"/>
  <c r="AF83" i="19"/>
  <c r="R83" i="19"/>
  <c r="E111" i="19"/>
  <c r="S88" i="19"/>
  <c r="AG88" i="19"/>
  <c r="Z88" i="19"/>
  <c r="AG83" i="19"/>
  <c r="E106" i="19"/>
  <c r="Z83" i="19"/>
  <c r="S83" i="19"/>
  <c r="I159" i="19"/>
  <c r="C65" i="19"/>
  <c r="I177" i="19"/>
  <c r="M89" i="19"/>
  <c r="N66" i="19"/>
  <c r="L66" i="19"/>
  <c r="U66" i="19"/>
  <c r="AI66" i="19" s="1"/>
  <c r="G160" i="19"/>
  <c r="I161" i="19"/>
  <c r="AA87" i="19"/>
  <c r="T87" i="19"/>
  <c r="F110" i="19"/>
  <c r="AH87" i="19"/>
  <c r="J87" i="19"/>
  <c r="H87" i="19"/>
  <c r="Z82" i="19"/>
  <c r="E105" i="19"/>
  <c r="S82" i="19"/>
  <c r="AG82" i="19"/>
  <c r="F113" i="19"/>
  <c r="AA90" i="19"/>
  <c r="AH90" i="19"/>
  <c r="T90" i="19"/>
  <c r="J90" i="19"/>
  <c r="H90" i="19"/>
  <c r="L59" i="19"/>
  <c r="M82" i="19"/>
  <c r="U59" i="19"/>
  <c r="N59" i="19"/>
  <c r="F108" i="19"/>
  <c r="AH85" i="19"/>
  <c r="AA85" i="19"/>
  <c r="T85" i="19"/>
  <c r="J85" i="19"/>
  <c r="H85" i="19"/>
  <c r="E117" i="19"/>
  <c r="Z94" i="19"/>
  <c r="S94" i="19"/>
  <c r="AG94" i="19"/>
  <c r="B113" i="19"/>
  <c r="W90" i="19"/>
  <c r="AD90" i="19"/>
  <c r="P90" i="19"/>
  <c r="D114" i="19"/>
  <c r="R91" i="19"/>
  <c r="AF91" i="19"/>
  <c r="Y91" i="19"/>
  <c r="I185" i="19"/>
  <c r="I208" i="19" s="1"/>
  <c r="G185" i="19"/>
  <c r="I157" i="19"/>
  <c r="AB62" i="19"/>
  <c r="AI62" i="19" s="1"/>
  <c r="F109" i="19"/>
  <c r="AA86" i="19"/>
  <c r="AH86" i="19"/>
  <c r="T86" i="19"/>
  <c r="H86" i="19"/>
  <c r="J86" i="19"/>
  <c r="Q86" i="19"/>
  <c r="C109" i="19"/>
  <c r="AE86" i="19"/>
  <c r="X86" i="19"/>
  <c r="M108" i="19"/>
  <c r="L85" i="19"/>
  <c r="N85" i="19"/>
  <c r="C114" i="19"/>
  <c r="AE91" i="19"/>
  <c r="Q91" i="19"/>
  <c r="X91" i="19"/>
  <c r="G152" i="19"/>
  <c r="X37" i="19"/>
  <c r="AE37" i="19"/>
  <c r="C60" i="19"/>
  <c r="Q37" i="19"/>
  <c r="AF94" i="19"/>
  <c r="D117" i="19"/>
  <c r="Y94" i="19"/>
  <c r="R94" i="19"/>
  <c r="AB69" i="19"/>
  <c r="AI69" i="19" s="1"/>
  <c r="E109" i="19"/>
  <c r="AG86" i="19"/>
  <c r="Z86" i="19"/>
  <c r="S86" i="19"/>
  <c r="D111" i="19"/>
  <c r="Y88" i="19"/>
  <c r="AF88" i="19"/>
  <c r="R88" i="19"/>
  <c r="U71" i="19"/>
  <c r="AB68" i="19"/>
  <c r="AH82" i="19"/>
  <c r="F105" i="19"/>
  <c r="AA82" i="19"/>
  <c r="T82" i="19"/>
  <c r="J82" i="19"/>
  <c r="H82" i="19"/>
  <c r="B111" i="19"/>
  <c r="P88" i="19"/>
  <c r="AD88" i="19"/>
  <c r="W88" i="19"/>
  <c r="P89" i="19"/>
  <c r="B112" i="19"/>
  <c r="AD89" i="19"/>
  <c r="W89" i="19"/>
  <c r="D115" i="19"/>
  <c r="Y92" i="19"/>
  <c r="AF92" i="19"/>
  <c r="R92" i="19"/>
  <c r="U92" i="19" s="1"/>
  <c r="B109" i="19"/>
  <c r="W86" i="19"/>
  <c r="AD86" i="19"/>
  <c r="P86" i="19"/>
  <c r="G3" i="46"/>
  <c r="L63" i="19"/>
  <c r="M86" i="19"/>
  <c r="N63" i="19"/>
  <c r="I160" i="19"/>
  <c r="B107" i="19"/>
  <c r="AD84" i="19"/>
  <c r="P84" i="19"/>
  <c r="W84" i="19"/>
  <c r="B117" i="19"/>
  <c r="P94" i="19"/>
  <c r="AD94" i="19"/>
  <c r="W94" i="19"/>
  <c r="E115" i="19"/>
  <c r="AG92" i="19"/>
  <c r="Z92" i="19"/>
  <c r="S92" i="19"/>
  <c r="U61" i="19"/>
  <c r="AA83" i="19"/>
  <c r="T83" i="19"/>
  <c r="F106" i="19"/>
  <c r="AH83" i="19"/>
  <c r="H83" i="19"/>
  <c r="J83" i="19"/>
  <c r="B116" i="19"/>
  <c r="W93" i="19"/>
  <c r="P93" i="19"/>
  <c r="AD93" i="19"/>
  <c r="B106" i="19"/>
  <c r="W83" i="19"/>
  <c r="P83" i="19"/>
  <c r="AD83" i="19"/>
  <c r="Y82" i="19"/>
  <c r="D105" i="19"/>
  <c r="AF82" i="19"/>
  <c r="R82" i="19"/>
  <c r="D113" i="19"/>
  <c r="R90" i="19"/>
  <c r="Y90" i="19"/>
  <c r="AF90" i="19"/>
  <c r="C116" i="19"/>
  <c r="Q93" i="19"/>
  <c r="AE93" i="19"/>
  <c r="X93" i="19"/>
  <c r="C69" i="19"/>
  <c r="E110" i="19"/>
  <c r="AG87" i="19"/>
  <c r="S87" i="19"/>
  <c r="Z87" i="19"/>
  <c r="M83" i="19"/>
  <c r="U60" i="19"/>
  <c r="N60" i="19"/>
  <c r="L60" i="19"/>
  <c r="F114" i="19"/>
  <c r="T91" i="19"/>
  <c r="AH91" i="19"/>
  <c r="AA91" i="19"/>
  <c r="J91" i="19"/>
  <c r="H91" i="19"/>
  <c r="G161" i="19"/>
  <c r="G154" i="19"/>
  <c r="M115" i="19"/>
  <c r="L92" i="19"/>
  <c r="N92" i="19"/>
  <c r="X85" i="19"/>
  <c r="C108" i="19"/>
  <c r="Q85" i="19"/>
  <c r="AE85" i="19"/>
  <c r="AG84" i="19"/>
  <c r="E107" i="19"/>
  <c r="S84" i="19"/>
  <c r="Z84" i="19"/>
  <c r="AD82" i="19"/>
  <c r="B105" i="19"/>
  <c r="W82" i="19"/>
  <c r="P82" i="19"/>
  <c r="M90" i="19"/>
  <c r="L67" i="19"/>
  <c r="N67" i="19"/>
  <c r="U67" i="19"/>
  <c r="G181" i="19"/>
  <c r="G155" i="19"/>
  <c r="Z85" i="19"/>
  <c r="E108" i="19"/>
  <c r="S85" i="19"/>
  <c r="AG85" i="19"/>
  <c r="C110" i="19"/>
  <c r="AE87" i="19"/>
  <c r="Q87" i="19"/>
  <c r="X87" i="19"/>
  <c r="D110" i="19"/>
  <c r="Y87" i="19"/>
  <c r="R87" i="19"/>
  <c r="AF87" i="19"/>
  <c r="AB71" i="19"/>
  <c r="M117" i="19"/>
  <c r="N94" i="19"/>
  <c r="L94" i="19"/>
  <c r="F116" i="19"/>
  <c r="AA93" i="19"/>
  <c r="T93" i="19"/>
  <c r="AH93" i="19"/>
  <c r="H93" i="19"/>
  <c r="J93" i="19"/>
  <c r="AB64" i="19"/>
  <c r="AB67" i="19"/>
  <c r="U70" i="19"/>
  <c r="G159" i="19"/>
  <c r="H9" i="18"/>
  <c r="H4" i="18"/>
  <c r="H7" i="18"/>
  <c r="H5" i="18"/>
  <c r="H8" i="18"/>
  <c r="J9" i="44"/>
  <c r="G3" i="32"/>
  <c r="H12" i="44"/>
  <c r="I12" i="44"/>
  <c r="G12" i="44"/>
  <c r="J12" i="44"/>
  <c r="I20" i="45"/>
  <c r="J20" i="45" s="1"/>
  <c r="C201" i="44"/>
  <c r="C179" i="44"/>
  <c r="F67" i="44"/>
  <c r="F220" i="44"/>
  <c r="F49" i="44"/>
  <c r="K8" i="44"/>
  <c r="J7" i="44"/>
  <c r="CI86" i="44"/>
  <c r="CH85" i="44"/>
  <c r="G3" i="30"/>
  <c r="D177" i="30"/>
  <c r="E9" i="30"/>
  <c r="E12" i="30" s="1"/>
  <c r="H3" i="28"/>
  <c r="AI61" i="19" l="1"/>
  <c r="AI59" i="19"/>
  <c r="AI70" i="19"/>
  <c r="AB83" i="19"/>
  <c r="AB87" i="19"/>
  <c r="AI63" i="19"/>
  <c r="AI60" i="19"/>
  <c r="AB88" i="19"/>
  <c r="AI67" i="19"/>
  <c r="AB93" i="19"/>
  <c r="AI65" i="19"/>
  <c r="AI68" i="19"/>
  <c r="AI71" i="19"/>
  <c r="AI64" i="19"/>
  <c r="AB82" i="19"/>
  <c r="AB91" i="19"/>
  <c r="AB84" i="19"/>
  <c r="AI84" i="19" s="1"/>
  <c r="M113" i="19"/>
  <c r="L90" i="19"/>
  <c r="U90" i="19"/>
  <c r="AH115" i="19"/>
  <c r="F138" i="19"/>
  <c r="AA115" i="19"/>
  <c r="T115" i="19"/>
  <c r="J115" i="19"/>
  <c r="H115" i="19"/>
  <c r="G204" i="19"/>
  <c r="C139" i="19"/>
  <c r="Q116" i="19"/>
  <c r="X116" i="19"/>
  <c r="AE116" i="19"/>
  <c r="I183" i="19"/>
  <c r="AA116" i="19"/>
  <c r="T116" i="19"/>
  <c r="F139" i="19"/>
  <c r="AH116" i="19"/>
  <c r="J116" i="19"/>
  <c r="H116" i="19"/>
  <c r="E131" i="19"/>
  <c r="Z108" i="19"/>
  <c r="AG108" i="19"/>
  <c r="S108" i="19"/>
  <c r="M106" i="19"/>
  <c r="L83" i="19"/>
  <c r="N83" i="19"/>
  <c r="U83" i="19"/>
  <c r="AE69" i="19"/>
  <c r="Q69" i="19"/>
  <c r="C92" i="19"/>
  <c r="X69" i="19"/>
  <c r="D136" i="19"/>
  <c r="R113" i="19"/>
  <c r="Y113" i="19"/>
  <c r="AF113" i="19"/>
  <c r="F132" i="19"/>
  <c r="AA109" i="19"/>
  <c r="AH109" i="19"/>
  <c r="T109" i="19"/>
  <c r="J109" i="19"/>
  <c r="H109" i="19"/>
  <c r="B136" i="19"/>
  <c r="W113" i="19"/>
  <c r="AD113" i="19"/>
  <c r="P113" i="19"/>
  <c r="AB90" i="19"/>
  <c r="Z105" i="19"/>
  <c r="E128" i="19"/>
  <c r="AG105" i="19"/>
  <c r="S105" i="19"/>
  <c r="C88" i="19"/>
  <c r="X65" i="19"/>
  <c r="AE65" i="19"/>
  <c r="Q65" i="19"/>
  <c r="I176" i="19"/>
  <c r="F134" i="19"/>
  <c r="AH111" i="19"/>
  <c r="T111" i="19"/>
  <c r="AA111" i="19"/>
  <c r="H111" i="19"/>
  <c r="J111" i="19"/>
  <c r="I174" i="19"/>
  <c r="M111" i="19"/>
  <c r="L111" i="19" s="1"/>
  <c r="N88" i="19"/>
  <c r="U88" i="19"/>
  <c r="AI88" i="19" s="1"/>
  <c r="P110" i="19"/>
  <c r="AD110" i="19"/>
  <c r="W110" i="19"/>
  <c r="B133" i="19"/>
  <c r="Y107" i="19"/>
  <c r="D130" i="19"/>
  <c r="AF107" i="19"/>
  <c r="R107" i="19"/>
  <c r="D138" i="19"/>
  <c r="Y115" i="19"/>
  <c r="AF115" i="19"/>
  <c r="R115" i="19"/>
  <c r="U115" i="19" s="1"/>
  <c r="E132" i="19"/>
  <c r="AG109" i="19"/>
  <c r="Z109" i="19"/>
  <c r="S109" i="19"/>
  <c r="I182" i="19"/>
  <c r="L107" i="19"/>
  <c r="M130" i="19"/>
  <c r="U107" i="19"/>
  <c r="N107" i="19"/>
  <c r="I209" i="19"/>
  <c r="R114" i="19"/>
  <c r="D137" i="19"/>
  <c r="AF114" i="19"/>
  <c r="Y114" i="19"/>
  <c r="U94" i="19"/>
  <c r="D133" i="19"/>
  <c r="R110" i="19"/>
  <c r="AF110" i="19"/>
  <c r="Y110" i="19"/>
  <c r="AG107" i="19"/>
  <c r="E130" i="19"/>
  <c r="Z107" i="19"/>
  <c r="S107" i="19"/>
  <c r="N90" i="19"/>
  <c r="W106" i="19"/>
  <c r="P106" i="19"/>
  <c r="B129" i="19"/>
  <c r="AD106" i="19"/>
  <c r="AA106" i="19"/>
  <c r="F129" i="19"/>
  <c r="AH106" i="19"/>
  <c r="T106" i="19"/>
  <c r="H106" i="19"/>
  <c r="J106" i="19"/>
  <c r="C83" i="19"/>
  <c r="X60" i="19"/>
  <c r="Q60" i="19"/>
  <c r="AE60" i="19"/>
  <c r="C137" i="19"/>
  <c r="X114" i="19"/>
  <c r="AE114" i="19"/>
  <c r="Q114" i="19"/>
  <c r="AE109" i="19"/>
  <c r="X109" i="19"/>
  <c r="C132" i="19"/>
  <c r="Q109" i="19"/>
  <c r="I184" i="19"/>
  <c r="C113" i="19"/>
  <c r="AE90" i="19"/>
  <c r="X90" i="19"/>
  <c r="Q90" i="19"/>
  <c r="F130" i="19"/>
  <c r="AH107" i="19"/>
  <c r="T107" i="19"/>
  <c r="AA107" i="19"/>
  <c r="H107" i="19"/>
  <c r="J107" i="19"/>
  <c r="F140" i="19"/>
  <c r="AH117" i="19"/>
  <c r="T117" i="19"/>
  <c r="AA117" i="19"/>
  <c r="J117" i="19"/>
  <c r="H117" i="19"/>
  <c r="Y116" i="19"/>
  <c r="R116" i="19"/>
  <c r="U116" i="19" s="1"/>
  <c r="D139" i="19"/>
  <c r="AF116" i="19"/>
  <c r="G186" i="19"/>
  <c r="E137" i="19"/>
  <c r="Z114" i="19"/>
  <c r="AG114" i="19"/>
  <c r="S114" i="19"/>
  <c r="G199" i="19"/>
  <c r="E138" i="19"/>
  <c r="AG115" i="19"/>
  <c r="Z115" i="19"/>
  <c r="S115" i="19"/>
  <c r="W107" i="19"/>
  <c r="B130" i="19"/>
  <c r="AD107" i="19"/>
  <c r="P107" i="19"/>
  <c r="I180" i="19"/>
  <c r="I203" i="19" s="1"/>
  <c r="I200" i="19"/>
  <c r="E134" i="19"/>
  <c r="AG111" i="19"/>
  <c r="Z111" i="19"/>
  <c r="S111" i="19"/>
  <c r="G180" i="19"/>
  <c r="M110" i="19"/>
  <c r="N87" i="19"/>
  <c r="U87" i="19"/>
  <c r="L87" i="19"/>
  <c r="I178" i="19"/>
  <c r="Q117" i="19"/>
  <c r="C140" i="19"/>
  <c r="AE117" i="19"/>
  <c r="X117" i="19"/>
  <c r="G178" i="19"/>
  <c r="Y105" i="19"/>
  <c r="D128" i="19"/>
  <c r="R105" i="19"/>
  <c r="AF105" i="19"/>
  <c r="C133" i="19"/>
  <c r="AE110" i="19"/>
  <c r="Q110" i="19"/>
  <c r="X110" i="19"/>
  <c r="B128" i="19"/>
  <c r="W105" i="19"/>
  <c r="P105" i="19"/>
  <c r="AD105" i="19"/>
  <c r="X108" i="19"/>
  <c r="Q108" i="19"/>
  <c r="C131" i="19"/>
  <c r="AE108" i="19"/>
  <c r="G184" i="19"/>
  <c r="B139" i="19"/>
  <c r="W116" i="19"/>
  <c r="P116" i="19"/>
  <c r="AD116" i="19"/>
  <c r="AD112" i="19"/>
  <c r="W112" i="19"/>
  <c r="B135" i="19"/>
  <c r="P112" i="19"/>
  <c r="G175" i="19"/>
  <c r="AB85" i="19"/>
  <c r="AI85" i="19" s="1"/>
  <c r="L113" i="19"/>
  <c r="F136" i="19"/>
  <c r="AA113" i="19"/>
  <c r="AH113" i="19"/>
  <c r="T113" i="19"/>
  <c r="H113" i="19"/>
  <c r="J113" i="19"/>
  <c r="F133" i="19"/>
  <c r="T110" i="19"/>
  <c r="AH110" i="19"/>
  <c r="AA110" i="19"/>
  <c r="J110" i="19"/>
  <c r="H110" i="19"/>
  <c r="S106" i="19"/>
  <c r="E129" i="19"/>
  <c r="AG106" i="19"/>
  <c r="Z106" i="19"/>
  <c r="AB94" i="19"/>
  <c r="AG116" i="19"/>
  <c r="E139" i="19"/>
  <c r="S116" i="19"/>
  <c r="Z116" i="19"/>
  <c r="F135" i="19"/>
  <c r="AA112" i="19"/>
  <c r="T112" i="19"/>
  <c r="AH112" i="19"/>
  <c r="H112" i="19"/>
  <c r="J112" i="19"/>
  <c r="E136" i="19"/>
  <c r="S113" i="19"/>
  <c r="AG113" i="19"/>
  <c r="Z113" i="19"/>
  <c r="I175" i="19"/>
  <c r="Q107" i="19"/>
  <c r="C130" i="19"/>
  <c r="AE107" i="19"/>
  <c r="X107" i="19"/>
  <c r="E135" i="19"/>
  <c r="AG112" i="19"/>
  <c r="S112" i="19"/>
  <c r="Z112" i="19"/>
  <c r="M138" i="19"/>
  <c r="L115" i="19"/>
  <c r="N115" i="19"/>
  <c r="B134" i="19"/>
  <c r="W111" i="19"/>
  <c r="AD111" i="19"/>
  <c r="P111" i="19"/>
  <c r="F131" i="19"/>
  <c r="T108" i="19"/>
  <c r="AH108" i="19"/>
  <c r="AA108" i="19"/>
  <c r="J108" i="19"/>
  <c r="H108" i="19"/>
  <c r="M112" i="19"/>
  <c r="L89" i="19"/>
  <c r="U89" i="19"/>
  <c r="AI89" i="19" s="1"/>
  <c r="N89" i="19"/>
  <c r="I204" i="19"/>
  <c r="I179" i="19"/>
  <c r="M139" i="19"/>
  <c r="L116" i="19"/>
  <c r="N116" i="19"/>
  <c r="F137" i="19"/>
  <c r="T114" i="19"/>
  <c r="AH114" i="19"/>
  <c r="AA114" i="19"/>
  <c r="J114" i="19"/>
  <c r="H114" i="19"/>
  <c r="E140" i="19"/>
  <c r="S117" i="19"/>
  <c r="AG117" i="19"/>
  <c r="Z117" i="19"/>
  <c r="AB86" i="19"/>
  <c r="Y112" i="19"/>
  <c r="D135" i="19"/>
  <c r="R112" i="19"/>
  <c r="AF112" i="19"/>
  <c r="G182" i="19"/>
  <c r="B132" i="19"/>
  <c r="P109" i="19"/>
  <c r="AD109" i="19"/>
  <c r="W109" i="19"/>
  <c r="D134" i="19"/>
  <c r="Y111" i="19"/>
  <c r="AF111" i="19"/>
  <c r="R111" i="19"/>
  <c r="AF117" i="19"/>
  <c r="D140" i="19"/>
  <c r="Y117" i="19"/>
  <c r="R117" i="19"/>
  <c r="M131" i="19"/>
  <c r="L108" i="19"/>
  <c r="N108" i="19"/>
  <c r="I231" i="19"/>
  <c r="M105" i="19"/>
  <c r="L82" i="19"/>
  <c r="N82" i="19"/>
  <c r="U82" i="19"/>
  <c r="AI82" i="19" s="1"/>
  <c r="D129" i="19"/>
  <c r="Y106" i="19"/>
  <c r="AF106" i="19"/>
  <c r="R106" i="19"/>
  <c r="D132" i="19"/>
  <c r="AF109" i="19"/>
  <c r="R109" i="19"/>
  <c r="Y109" i="19"/>
  <c r="AB92" i="19"/>
  <c r="AI92" i="19" s="1"/>
  <c r="G174" i="19"/>
  <c r="G179" i="19"/>
  <c r="G177" i="19"/>
  <c r="N117" i="19"/>
  <c r="M140" i="19"/>
  <c r="L117" i="19"/>
  <c r="E133" i="19"/>
  <c r="Z110" i="19"/>
  <c r="AG110" i="19"/>
  <c r="S110" i="19"/>
  <c r="G208" i="19"/>
  <c r="G183" i="19"/>
  <c r="D131" i="19"/>
  <c r="Y108" i="19"/>
  <c r="R108" i="19"/>
  <c r="AF108" i="19"/>
  <c r="AD115" i="19"/>
  <c r="B138" i="19"/>
  <c r="W115" i="19"/>
  <c r="P115" i="19"/>
  <c r="H3" i="46"/>
  <c r="B140" i="19"/>
  <c r="P117" i="19"/>
  <c r="W117" i="19"/>
  <c r="AD117" i="19"/>
  <c r="M109" i="19"/>
  <c r="L86" i="19"/>
  <c r="U86" i="19"/>
  <c r="T105" i="19"/>
  <c r="F128" i="19"/>
  <c r="AH105" i="19"/>
  <c r="AA105" i="19"/>
  <c r="J105" i="19"/>
  <c r="H105" i="19"/>
  <c r="N86" i="19"/>
  <c r="W114" i="19"/>
  <c r="P114" i="19"/>
  <c r="B137" i="19"/>
  <c r="AD114" i="19"/>
  <c r="U93" i="19"/>
  <c r="X105" i="19"/>
  <c r="C128" i="19"/>
  <c r="AE105" i="19"/>
  <c r="Q105" i="19"/>
  <c r="P108" i="19"/>
  <c r="B131" i="19"/>
  <c r="AD108" i="19"/>
  <c r="W108" i="19"/>
  <c r="M114" i="19"/>
  <c r="U91" i="19"/>
  <c r="L91" i="19"/>
  <c r="N91" i="19"/>
  <c r="C135" i="19"/>
  <c r="AE112" i="19"/>
  <c r="Q112" i="19"/>
  <c r="X112" i="19"/>
  <c r="K12" i="44"/>
  <c r="K9" i="44"/>
  <c r="H3" i="32"/>
  <c r="K20" i="45"/>
  <c r="L8" i="44"/>
  <c r="K7" i="44"/>
  <c r="D43" i="45"/>
  <c r="D25" i="45"/>
  <c r="CJ86" i="44"/>
  <c r="CI85" i="44"/>
  <c r="H3" i="30"/>
  <c r="I3" i="28"/>
  <c r="AB108" i="19" l="1"/>
  <c r="AI91" i="19"/>
  <c r="AI83" i="19"/>
  <c r="AI86" i="19"/>
  <c r="AB113" i="19"/>
  <c r="AI87" i="19"/>
  <c r="AI93" i="19"/>
  <c r="AB115" i="19"/>
  <c r="AI115" i="19" s="1"/>
  <c r="AI90" i="19"/>
  <c r="AI94" i="19"/>
  <c r="AB105" i="19"/>
  <c r="B154" i="19"/>
  <c r="W131" i="19"/>
  <c r="AD131" i="19"/>
  <c r="P131" i="19"/>
  <c r="B160" i="19"/>
  <c r="P137" i="19"/>
  <c r="AD137" i="19"/>
  <c r="W137" i="19"/>
  <c r="F151" i="19"/>
  <c r="AH128" i="19"/>
  <c r="AA128" i="19"/>
  <c r="T128" i="19"/>
  <c r="H128" i="19"/>
  <c r="J128" i="19"/>
  <c r="B163" i="19"/>
  <c r="P140" i="19"/>
  <c r="W140" i="19"/>
  <c r="AD140" i="19"/>
  <c r="G200" i="19"/>
  <c r="B155" i="19"/>
  <c r="P132" i="19"/>
  <c r="W132" i="19"/>
  <c r="AD132" i="19"/>
  <c r="I202" i="19"/>
  <c r="W135" i="19"/>
  <c r="B158" i="19"/>
  <c r="P135" i="19"/>
  <c r="AD135" i="19"/>
  <c r="D151" i="19"/>
  <c r="AF128" i="19"/>
  <c r="Y128" i="19"/>
  <c r="R128" i="19"/>
  <c r="E160" i="19"/>
  <c r="S137" i="19"/>
  <c r="AG137" i="19"/>
  <c r="Z137" i="19"/>
  <c r="I207" i="19"/>
  <c r="C160" i="19"/>
  <c r="X137" i="19"/>
  <c r="AE137" i="19"/>
  <c r="Q137" i="19"/>
  <c r="R133" i="19"/>
  <c r="Y133" i="19"/>
  <c r="D156" i="19"/>
  <c r="AF133" i="19"/>
  <c r="C111" i="19"/>
  <c r="Q88" i="19"/>
  <c r="AE88" i="19"/>
  <c r="X88" i="19"/>
  <c r="E154" i="19"/>
  <c r="Z131" i="19"/>
  <c r="AG131" i="19"/>
  <c r="S131" i="19"/>
  <c r="AH137" i="19"/>
  <c r="AA137" i="19"/>
  <c r="F160" i="19"/>
  <c r="T137" i="19"/>
  <c r="H137" i="19"/>
  <c r="J137" i="19"/>
  <c r="M135" i="19"/>
  <c r="L112" i="19"/>
  <c r="U112" i="19"/>
  <c r="N112" i="19"/>
  <c r="I198" i="19"/>
  <c r="F159" i="19"/>
  <c r="T136" i="19"/>
  <c r="AA136" i="19"/>
  <c r="AH136" i="19"/>
  <c r="H136" i="19"/>
  <c r="J136" i="19"/>
  <c r="G207" i="19"/>
  <c r="P128" i="19"/>
  <c r="AD128" i="19"/>
  <c r="B151" i="19"/>
  <c r="W128" i="19"/>
  <c r="I201" i="19"/>
  <c r="G203" i="19"/>
  <c r="I226" i="19"/>
  <c r="AG138" i="19"/>
  <c r="S138" i="19"/>
  <c r="E161" i="19"/>
  <c r="Z138" i="19"/>
  <c r="Y130" i="19"/>
  <c r="AF130" i="19"/>
  <c r="D153" i="19"/>
  <c r="R130" i="19"/>
  <c r="U130" i="19" s="1"/>
  <c r="M134" i="19"/>
  <c r="N134" i="19" s="1"/>
  <c r="N111" i="19"/>
  <c r="U111" i="19"/>
  <c r="F157" i="19"/>
  <c r="AH134" i="19"/>
  <c r="T134" i="19"/>
  <c r="AA134" i="19"/>
  <c r="H134" i="19"/>
  <c r="J134" i="19"/>
  <c r="B159" i="19"/>
  <c r="W136" i="19"/>
  <c r="AD136" i="19"/>
  <c r="P136" i="19"/>
  <c r="AB116" i="19"/>
  <c r="AI116" i="19" s="1"/>
  <c r="G205" i="19"/>
  <c r="Y131" i="19"/>
  <c r="D154" i="19"/>
  <c r="R131" i="19"/>
  <c r="AF131" i="19"/>
  <c r="E156" i="19"/>
  <c r="Z133" i="19"/>
  <c r="AG133" i="19"/>
  <c r="S133" i="19"/>
  <c r="M128" i="19"/>
  <c r="L105" i="19"/>
  <c r="N105" i="19"/>
  <c r="U105" i="19"/>
  <c r="E163" i="19"/>
  <c r="AG140" i="19"/>
  <c r="Z140" i="19"/>
  <c r="S140" i="19"/>
  <c r="I227" i="19"/>
  <c r="B157" i="19"/>
  <c r="AD134" i="19"/>
  <c r="P134" i="19"/>
  <c r="W134" i="19"/>
  <c r="E158" i="19"/>
  <c r="S135" i="19"/>
  <c r="Z135" i="19"/>
  <c r="AG135" i="19"/>
  <c r="AA135" i="19"/>
  <c r="T135" i="19"/>
  <c r="AH135" i="19"/>
  <c r="F158" i="19"/>
  <c r="H135" i="19"/>
  <c r="J135" i="19"/>
  <c r="AH133" i="19"/>
  <c r="AA133" i="19"/>
  <c r="F156" i="19"/>
  <c r="T133" i="19"/>
  <c r="H133" i="19"/>
  <c r="J133" i="19"/>
  <c r="C154" i="19"/>
  <c r="AE131" i="19"/>
  <c r="Q131" i="19"/>
  <c r="X131" i="19"/>
  <c r="G201" i="19"/>
  <c r="G222" i="19"/>
  <c r="AG130" i="19"/>
  <c r="S130" i="19"/>
  <c r="E153" i="19"/>
  <c r="Z130" i="19"/>
  <c r="M153" i="19"/>
  <c r="N130" i="19"/>
  <c r="L130" i="19"/>
  <c r="W133" i="19"/>
  <c r="B156" i="19"/>
  <c r="P133" i="19"/>
  <c r="AD133" i="19"/>
  <c r="I199" i="19"/>
  <c r="E151" i="19"/>
  <c r="S128" i="19"/>
  <c r="Z128" i="19"/>
  <c r="AG128" i="19"/>
  <c r="D159" i="19"/>
  <c r="Y136" i="19"/>
  <c r="AF136" i="19"/>
  <c r="R136" i="19"/>
  <c r="F161" i="19"/>
  <c r="AA138" i="19"/>
  <c r="AH138" i="19"/>
  <c r="T138" i="19"/>
  <c r="H138" i="19"/>
  <c r="J138" i="19"/>
  <c r="G209" i="19"/>
  <c r="F152" i="19"/>
  <c r="AA129" i="19"/>
  <c r="AH129" i="19"/>
  <c r="T129" i="19"/>
  <c r="J129" i="19"/>
  <c r="H129" i="19"/>
  <c r="I197" i="19"/>
  <c r="C151" i="19"/>
  <c r="X128" i="19"/>
  <c r="AE128" i="19"/>
  <c r="Q128" i="19"/>
  <c r="M132" i="19"/>
  <c r="L132" i="19" s="1"/>
  <c r="L109" i="19"/>
  <c r="N109" i="19"/>
  <c r="U109" i="19"/>
  <c r="G206" i="19"/>
  <c r="U117" i="19"/>
  <c r="G197" i="19"/>
  <c r="M154" i="19"/>
  <c r="N131" i="19"/>
  <c r="U131" i="19"/>
  <c r="L131" i="19"/>
  <c r="D157" i="19"/>
  <c r="AF134" i="19"/>
  <c r="Y134" i="19"/>
  <c r="R134" i="19"/>
  <c r="AB114" i="19"/>
  <c r="Z129" i="19"/>
  <c r="S129" i="19"/>
  <c r="E152" i="19"/>
  <c r="AG129" i="19"/>
  <c r="B153" i="19"/>
  <c r="W130" i="19"/>
  <c r="P130" i="19"/>
  <c r="AD130" i="19"/>
  <c r="D162" i="19"/>
  <c r="AF139" i="19"/>
  <c r="Y139" i="19"/>
  <c r="R139" i="19"/>
  <c r="U139" i="19" s="1"/>
  <c r="L140" i="19"/>
  <c r="F163" i="19"/>
  <c r="T140" i="19"/>
  <c r="AA140" i="19"/>
  <c r="AH140" i="19"/>
  <c r="J140" i="19"/>
  <c r="H140" i="19"/>
  <c r="X83" i="19"/>
  <c r="C106" i="19"/>
  <c r="Q83" i="19"/>
  <c r="AE83" i="19"/>
  <c r="Y137" i="19"/>
  <c r="R137" i="19"/>
  <c r="D160" i="19"/>
  <c r="AF137" i="19"/>
  <c r="N106" i="19"/>
  <c r="M129" i="19"/>
  <c r="L106" i="19"/>
  <c r="U106" i="19"/>
  <c r="T139" i="19"/>
  <c r="AH139" i="19"/>
  <c r="AA139" i="19"/>
  <c r="F162" i="19"/>
  <c r="H139" i="19"/>
  <c r="J139" i="19"/>
  <c r="C162" i="19"/>
  <c r="X139" i="19"/>
  <c r="AE139" i="19"/>
  <c r="Q139" i="19"/>
  <c r="D158" i="19"/>
  <c r="AF135" i="19"/>
  <c r="Y135" i="19"/>
  <c r="R135" i="19"/>
  <c r="AG136" i="19"/>
  <c r="Z136" i="19"/>
  <c r="E159" i="19"/>
  <c r="S136" i="19"/>
  <c r="C156" i="19"/>
  <c r="X133" i="19"/>
  <c r="Q133" i="19"/>
  <c r="AE133" i="19"/>
  <c r="AG134" i="19"/>
  <c r="Z134" i="19"/>
  <c r="E157" i="19"/>
  <c r="S134" i="19"/>
  <c r="B152" i="19"/>
  <c r="W129" i="19"/>
  <c r="P129" i="19"/>
  <c r="AD129" i="19"/>
  <c r="AB111" i="19"/>
  <c r="AE92" i="19"/>
  <c r="X92" i="19"/>
  <c r="Q92" i="19"/>
  <c r="C115" i="19"/>
  <c r="D155" i="19"/>
  <c r="AF132" i="19"/>
  <c r="R132" i="19"/>
  <c r="Y132" i="19"/>
  <c r="C155" i="19"/>
  <c r="Q132" i="19"/>
  <c r="AE132" i="19"/>
  <c r="X132" i="19"/>
  <c r="Z132" i="19"/>
  <c r="S132" i="19"/>
  <c r="AG132" i="19"/>
  <c r="E155" i="19"/>
  <c r="B161" i="19"/>
  <c r="AD138" i="19"/>
  <c r="P138" i="19"/>
  <c r="W138" i="19"/>
  <c r="G231" i="19"/>
  <c r="M163" i="19"/>
  <c r="N140" i="19"/>
  <c r="D152" i="19"/>
  <c r="AF129" i="19"/>
  <c r="Y129" i="19"/>
  <c r="R129" i="19"/>
  <c r="M162" i="19"/>
  <c r="L139" i="19"/>
  <c r="N139" i="19"/>
  <c r="C153" i="19"/>
  <c r="X130" i="19"/>
  <c r="Q130" i="19"/>
  <c r="AE130" i="19"/>
  <c r="AB110" i="19"/>
  <c r="G198" i="19"/>
  <c r="B162" i="19"/>
  <c r="P139" i="19"/>
  <c r="AD139" i="19"/>
  <c r="W139" i="19"/>
  <c r="C163" i="19"/>
  <c r="X140" i="19"/>
  <c r="Q140" i="19"/>
  <c r="AE140" i="19"/>
  <c r="AB107" i="19"/>
  <c r="AI107" i="19" s="1"/>
  <c r="X113" i="19"/>
  <c r="C136" i="19"/>
  <c r="Q113" i="19"/>
  <c r="AE113" i="19"/>
  <c r="I205" i="19"/>
  <c r="N138" i="19"/>
  <c r="D161" i="19"/>
  <c r="Y138" i="19"/>
  <c r="AF138" i="19"/>
  <c r="R138" i="19"/>
  <c r="G227" i="19"/>
  <c r="G202" i="19"/>
  <c r="H130" i="19"/>
  <c r="F153" i="19"/>
  <c r="AH130" i="19"/>
  <c r="T130" i="19"/>
  <c r="AA130" i="19"/>
  <c r="J130" i="19"/>
  <c r="I3" i="46"/>
  <c r="M137" i="19"/>
  <c r="N114" i="19"/>
  <c r="L114" i="19"/>
  <c r="U114" i="19"/>
  <c r="C158" i="19"/>
  <c r="X135" i="19"/>
  <c r="AE135" i="19"/>
  <c r="Q135" i="19"/>
  <c r="AB109" i="19"/>
  <c r="U108" i="19"/>
  <c r="AI108" i="19" s="1"/>
  <c r="D163" i="19"/>
  <c r="AF140" i="19"/>
  <c r="R140" i="19"/>
  <c r="Y140" i="19"/>
  <c r="AH131" i="19"/>
  <c r="AA131" i="19"/>
  <c r="F154" i="19"/>
  <c r="T131" i="19"/>
  <c r="J131" i="19"/>
  <c r="H131" i="19"/>
  <c r="AB131" i="19" s="1"/>
  <c r="M161" i="19"/>
  <c r="L138" i="19"/>
  <c r="AB112" i="19"/>
  <c r="E162" i="19"/>
  <c r="AG139" i="19"/>
  <c r="S139" i="19"/>
  <c r="Z139" i="19"/>
  <c r="M133" i="19"/>
  <c r="U110" i="19"/>
  <c r="L110" i="19"/>
  <c r="N110" i="19"/>
  <c r="I223" i="19"/>
  <c r="AB117" i="19"/>
  <c r="AB106" i="19"/>
  <c r="I232" i="19"/>
  <c r="F155" i="19"/>
  <c r="T132" i="19"/>
  <c r="AA132" i="19"/>
  <c r="AH132" i="19"/>
  <c r="H132" i="19"/>
  <c r="J132" i="19"/>
  <c r="I206" i="19"/>
  <c r="M136" i="19"/>
  <c r="N113" i="19"/>
  <c r="U113" i="19"/>
  <c r="L12" i="44"/>
  <c r="L9" i="44"/>
  <c r="I3" i="32"/>
  <c r="L7" i="44"/>
  <c r="M8" i="44"/>
  <c r="CK86" i="44"/>
  <c r="CJ85" i="44"/>
  <c r="I3" i="30"/>
  <c r="J3" i="28"/>
  <c r="AI113" i="19" l="1"/>
  <c r="AB130" i="19"/>
  <c r="AI130" i="19" s="1"/>
  <c r="AI105" i="19"/>
  <c r="AI114" i="19"/>
  <c r="AB133" i="19"/>
  <c r="AB137" i="19"/>
  <c r="AI117" i="19"/>
  <c r="AI110" i="19"/>
  <c r="AB140" i="19"/>
  <c r="AI109" i="19"/>
  <c r="AI131" i="19"/>
  <c r="AI111" i="19"/>
  <c r="AI106" i="19"/>
  <c r="AB134" i="19"/>
  <c r="AI112" i="19"/>
  <c r="G224" i="19"/>
  <c r="D179" i="19"/>
  <c r="AF156" i="19"/>
  <c r="R156" i="19"/>
  <c r="Y156" i="19"/>
  <c r="D174" i="19"/>
  <c r="R151" i="19"/>
  <c r="Y151" i="19"/>
  <c r="AF151" i="19"/>
  <c r="AG162" i="19"/>
  <c r="E185" i="19"/>
  <c r="Z162" i="19"/>
  <c r="S162" i="19"/>
  <c r="F177" i="19"/>
  <c r="AA154" i="19"/>
  <c r="T154" i="19"/>
  <c r="AH154" i="19"/>
  <c r="J154" i="19"/>
  <c r="H154" i="19"/>
  <c r="C159" i="19"/>
  <c r="Q136" i="19"/>
  <c r="AE136" i="19"/>
  <c r="X136" i="19"/>
  <c r="D178" i="19"/>
  <c r="Y155" i="19"/>
  <c r="AF155" i="19"/>
  <c r="R155" i="19"/>
  <c r="AB139" i="19"/>
  <c r="AI139" i="19" s="1"/>
  <c r="D180" i="19"/>
  <c r="Y157" i="19"/>
  <c r="AF157" i="19"/>
  <c r="R157" i="19"/>
  <c r="G220" i="19"/>
  <c r="M155" i="19"/>
  <c r="N132" i="19"/>
  <c r="U132" i="19"/>
  <c r="AB138" i="19"/>
  <c r="D182" i="19"/>
  <c r="R159" i="19"/>
  <c r="Y159" i="19"/>
  <c r="AF159" i="19"/>
  <c r="E184" i="19"/>
  <c r="S161" i="19"/>
  <c r="AG161" i="19"/>
  <c r="Z161" i="19"/>
  <c r="I224" i="19"/>
  <c r="AB136" i="19"/>
  <c r="B186" i="19"/>
  <c r="W163" i="19"/>
  <c r="AD163" i="19"/>
  <c r="P163" i="19"/>
  <c r="B176" i="19"/>
  <c r="W153" i="19"/>
  <c r="P153" i="19"/>
  <c r="AD153" i="19"/>
  <c r="F180" i="19"/>
  <c r="T157" i="19"/>
  <c r="AA157" i="19"/>
  <c r="AH157" i="19"/>
  <c r="J157" i="19"/>
  <c r="H157" i="19"/>
  <c r="AB129" i="19"/>
  <c r="B179" i="19"/>
  <c r="P156" i="19"/>
  <c r="AD156" i="19"/>
  <c r="W156" i="19"/>
  <c r="B182" i="19"/>
  <c r="AD159" i="19"/>
  <c r="P159" i="19"/>
  <c r="W159" i="19"/>
  <c r="F183" i="19"/>
  <c r="AA160" i="19"/>
  <c r="T160" i="19"/>
  <c r="AH160" i="19"/>
  <c r="H160" i="19"/>
  <c r="J160" i="19"/>
  <c r="E177" i="19"/>
  <c r="AG154" i="19"/>
  <c r="S154" i="19"/>
  <c r="Z154" i="19"/>
  <c r="B178" i="19"/>
  <c r="AD155" i="19"/>
  <c r="P155" i="19"/>
  <c r="W155" i="19"/>
  <c r="AB132" i="19"/>
  <c r="U138" i="19"/>
  <c r="M160" i="19"/>
  <c r="U137" i="19"/>
  <c r="L137" i="19"/>
  <c r="N137" i="19"/>
  <c r="D184" i="19"/>
  <c r="Y161" i="19"/>
  <c r="AF161" i="19"/>
  <c r="R161" i="19"/>
  <c r="U161" i="19" s="1"/>
  <c r="AD162" i="19"/>
  <c r="B185" i="19"/>
  <c r="W162" i="19"/>
  <c r="P162" i="19"/>
  <c r="AD152" i="19"/>
  <c r="B175" i="19"/>
  <c r="P152" i="19"/>
  <c r="W152" i="19"/>
  <c r="C179" i="19"/>
  <c r="AE156" i="19"/>
  <c r="X156" i="19"/>
  <c r="Q156" i="19"/>
  <c r="D181" i="19"/>
  <c r="Y158" i="19"/>
  <c r="R158" i="19"/>
  <c r="AF158" i="19"/>
  <c r="D183" i="19"/>
  <c r="AF160" i="19"/>
  <c r="Y160" i="19"/>
  <c r="R160" i="19"/>
  <c r="M151" i="19"/>
  <c r="L128" i="19"/>
  <c r="N128" i="19"/>
  <c r="U128" i="19"/>
  <c r="M157" i="19"/>
  <c r="L134" i="19"/>
  <c r="U134" i="19"/>
  <c r="B174" i="19"/>
  <c r="W151" i="19"/>
  <c r="P151" i="19"/>
  <c r="AD151" i="19"/>
  <c r="B181" i="19"/>
  <c r="P158" i="19"/>
  <c r="W158" i="19"/>
  <c r="AD158" i="19"/>
  <c r="AB128" i="19"/>
  <c r="B183" i="19"/>
  <c r="W160" i="19"/>
  <c r="AD160" i="19"/>
  <c r="P160" i="19"/>
  <c r="M185" i="19"/>
  <c r="N162" i="19"/>
  <c r="L162" i="19"/>
  <c r="AE106" i="19"/>
  <c r="C129" i="19"/>
  <c r="Q106" i="19"/>
  <c r="X106" i="19"/>
  <c r="M156" i="19"/>
  <c r="L133" i="19"/>
  <c r="U133" i="19"/>
  <c r="N133" i="19"/>
  <c r="D175" i="19"/>
  <c r="AF152" i="19"/>
  <c r="R152" i="19"/>
  <c r="Y152" i="19"/>
  <c r="AF162" i="19"/>
  <c r="D185" i="19"/>
  <c r="R162" i="19"/>
  <c r="Y162" i="19"/>
  <c r="C177" i="19"/>
  <c r="Q154" i="19"/>
  <c r="X154" i="19"/>
  <c r="AE154" i="19"/>
  <c r="AB135" i="19"/>
  <c r="E181" i="19"/>
  <c r="Z158" i="19"/>
  <c r="S158" i="19"/>
  <c r="AG158" i="19"/>
  <c r="E183" i="19"/>
  <c r="Z160" i="19"/>
  <c r="S160" i="19"/>
  <c r="AG160" i="19"/>
  <c r="M152" i="19"/>
  <c r="L129" i="19"/>
  <c r="N129" i="19"/>
  <c r="U129" i="19"/>
  <c r="M176" i="19"/>
  <c r="N153" i="19"/>
  <c r="L153" i="19"/>
  <c r="AH162" i="19"/>
  <c r="F185" i="19"/>
  <c r="AA162" i="19"/>
  <c r="T162" i="19"/>
  <c r="J162" i="19"/>
  <c r="H162" i="19"/>
  <c r="M184" i="19"/>
  <c r="L161" i="19"/>
  <c r="N161" i="19"/>
  <c r="C181" i="19"/>
  <c r="Q158" i="19"/>
  <c r="X158" i="19"/>
  <c r="AE158" i="19"/>
  <c r="G225" i="19"/>
  <c r="G221" i="19"/>
  <c r="U140" i="19"/>
  <c r="AD161" i="19"/>
  <c r="B184" i="19"/>
  <c r="W161" i="19"/>
  <c r="P161" i="19"/>
  <c r="C178" i="19"/>
  <c r="X155" i="19"/>
  <c r="Q155" i="19"/>
  <c r="AE155" i="19"/>
  <c r="E180" i="19"/>
  <c r="S157" i="19"/>
  <c r="AG157" i="19"/>
  <c r="Z157" i="19"/>
  <c r="E182" i="19"/>
  <c r="AG159" i="19"/>
  <c r="Z159" i="19"/>
  <c r="S159" i="19"/>
  <c r="G229" i="19"/>
  <c r="AE151" i="19"/>
  <c r="C174" i="19"/>
  <c r="X151" i="19"/>
  <c r="Q151" i="19"/>
  <c r="AH152" i="19"/>
  <c r="F175" i="19"/>
  <c r="AA152" i="19"/>
  <c r="T152" i="19"/>
  <c r="H152" i="19"/>
  <c r="J152" i="19"/>
  <c r="AH161" i="19"/>
  <c r="F184" i="19"/>
  <c r="AA161" i="19"/>
  <c r="T161" i="19"/>
  <c r="J161" i="19"/>
  <c r="H161" i="19"/>
  <c r="E174" i="19"/>
  <c r="AG151" i="19"/>
  <c r="S151" i="19"/>
  <c r="Z151" i="19"/>
  <c r="F181" i="19"/>
  <c r="T158" i="19"/>
  <c r="AH158" i="19"/>
  <c r="AA158" i="19"/>
  <c r="H158" i="19"/>
  <c r="J158" i="19"/>
  <c r="G228" i="19"/>
  <c r="Y153" i="19"/>
  <c r="D176" i="19"/>
  <c r="AF153" i="19"/>
  <c r="R153" i="19"/>
  <c r="F182" i="19"/>
  <c r="AA159" i="19"/>
  <c r="AH159" i="19"/>
  <c r="T159" i="19"/>
  <c r="J159" i="19"/>
  <c r="H159" i="19"/>
  <c r="I225" i="19"/>
  <c r="G223" i="19"/>
  <c r="M177" i="19"/>
  <c r="L154" i="19"/>
  <c r="N154" i="19"/>
  <c r="F179" i="19"/>
  <c r="T156" i="19"/>
  <c r="AH156" i="19"/>
  <c r="AA156" i="19"/>
  <c r="H156" i="19"/>
  <c r="AB156" i="19" s="1"/>
  <c r="J156" i="19"/>
  <c r="I221" i="19"/>
  <c r="AG153" i="19"/>
  <c r="E176" i="19"/>
  <c r="Z153" i="19"/>
  <c r="S153" i="19"/>
  <c r="M159" i="19"/>
  <c r="N136" i="19"/>
  <c r="U136" i="19"/>
  <c r="I220" i="19"/>
  <c r="G232" i="19"/>
  <c r="E186" i="19"/>
  <c r="Z163" i="19"/>
  <c r="S163" i="19"/>
  <c r="AG163" i="19"/>
  <c r="G226" i="19"/>
  <c r="L136" i="19"/>
  <c r="M158" i="19"/>
  <c r="N135" i="19"/>
  <c r="U135" i="19"/>
  <c r="L135" i="19"/>
  <c r="AE111" i="19"/>
  <c r="X111" i="19"/>
  <c r="C134" i="19"/>
  <c r="Q111" i="19"/>
  <c r="C183" i="19"/>
  <c r="X160" i="19"/>
  <c r="AE160" i="19"/>
  <c r="Q160" i="19"/>
  <c r="J3" i="46"/>
  <c r="B180" i="19"/>
  <c r="W157" i="19"/>
  <c r="AD157" i="19"/>
  <c r="P157" i="19"/>
  <c r="F176" i="19"/>
  <c r="AH153" i="19"/>
  <c r="T153" i="19"/>
  <c r="AA153" i="19"/>
  <c r="H153" i="19"/>
  <c r="J153" i="19"/>
  <c r="C176" i="19"/>
  <c r="Q153" i="19"/>
  <c r="AE153" i="19"/>
  <c r="X153" i="19"/>
  <c r="C138" i="19"/>
  <c r="AE115" i="19"/>
  <c r="X115" i="19"/>
  <c r="Q115" i="19"/>
  <c r="AG152" i="19"/>
  <c r="Z152" i="19"/>
  <c r="S152" i="19"/>
  <c r="E175" i="19"/>
  <c r="D177" i="19"/>
  <c r="AF154" i="19"/>
  <c r="Y154" i="19"/>
  <c r="R154" i="19"/>
  <c r="U154" i="19" s="1"/>
  <c r="I228" i="19"/>
  <c r="E178" i="19"/>
  <c r="AG155" i="19"/>
  <c r="Z155" i="19"/>
  <c r="S155" i="19"/>
  <c r="I229" i="19"/>
  <c r="F178" i="19"/>
  <c r="AA155" i="19"/>
  <c r="AH155" i="19"/>
  <c r="T155" i="19"/>
  <c r="H155" i="19"/>
  <c r="J155" i="19"/>
  <c r="AF163" i="19"/>
  <c r="D186" i="19"/>
  <c r="Y163" i="19"/>
  <c r="R163" i="19"/>
  <c r="U163" i="19" s="1"/>
  <c r="AE163" i="19"/>
  <c r="C186" i="19"/>
  <c r="X163" i="19"/>
  <c r="Q163" i="19"/>
  <c r="M186" i="19"/>
  <c r="N163" i="19"/>
  <c r="L163" i="19"/>
  <c r="C185" i="19"/>
  <c r="AE162" i="19"/>
  <c r="Q162" i="19"/>
  <c r="X162" i="19"/>
  <c r="J163" i="19"/>
  <c r="F186" i="19"/>
  <c r="AH163" i="19"/>
  <c r="T163" i="19"/>
  <c r="AA163" i="19"/>
  <c r="H163" i="19"/>
  <c r="I222" i="19"/>
  <c r="E179" i="19"/>
  <c r="Z156" i="19"/>
  <c r="S156" i="19"/>
  <c r="AG156" i="19"/>
  <c r="G230" i="19"/>
  <c r="I230" i="19"/>
  <c r="F174" i="19"/>
  <c r="AA151" i="19"/>
  <c r="T151" i="19"/>
  <c r="AH151" i="19"/>
  <c r="H151" i="19"/>
  <c r="J151" i="19"/>
  <c r="B177" i="19"/>
  <c r="W154" i="19"/>
  <c r="AD154" i="19"/>
  <c r="P154" i="19"/>
  <c r="M12" i="44"/>
  <c r="M9" i="44"/>
  <c r="J3" i="32"/>
  <c r="N8" i="44"/>
  <c r="M7" i="44"/>
  <c r="L20" i="45"/>
  <c r="CL86" i="44"/>
  <c r="CK85" i="44"/>
  <c r="J3" i="30"/>
  <c r="K3" i="28"/>
  <c r="AB151" i="19" l="1"/>
  <c r="AI140" i="19"/>
  <c r="AI138" i="19"/>
  <c r="AI133" i="19"/>
  <c r="AB159" i="19"/>
  <c r="AB158" i="19"/>
  <c r="AB161" i="19"/>
  <c r="AI161" i="19" s="1"/>
  <c r="AB155" i="19"/>
  <c r="AB152" i="19"/>
  <c r="AB162" i="19"/>
  <c r="AI137" i="19"/>
  <c r="AB153" i="19"/>
  <c r="AI128" i="19"/>
  <c r="AI135" i="19"/>
  <c r="AI129" i="19"/>
  <c r="AI132" i="19"/>
  <c r="AI134" i="19"/>
  <c r="AI136" i="19"/>
  <c r="X176" i="19"/>
  <c r="C199" i="19"/>
  <c r="AE176" i="19"/>
  <c r="Q176" i="19"/>
  <c r="C197" i="19"/>
  <c r="X174" i="19"/>
  <c r="AE174" i="19"/>
  <c r="Q174" i="19"/>
  <c r="M207" i="19"/>
  <c r="L184" i="19"/>
  <c r="N184" i="19"/>
  <c r="U153" i="19"/>
  <c r="Y183" i="19"/>
  <c r="D206" i="19"/>
  <c r="AF183" i="19"/>
  <c r="R183" i="19"/>
  <c r="X179" i="19"/>
  <c r="C202" i="19"/>
  <c r="AE179" i="19"/>
  <c r="Q179" i="19"/>
  <c r="B201" i="19"/>
  <c r="W178" i="19"/>
  <c r="AD178" i="19"/>
  <c r="P178" i="19"/>
  <c r="AG184" i="19"/>
  <c r="E207" i="19"/>
  <c r="Z184" i="19"/>
  <c r="S184" i="19"/>
  <c r="D197" i="19"/>
  <c r="Y174" i="19"/>
  <c r="R174" i="19"/>
  <c r="AF174" i="19"/>
  <c r="W184" i="19"/>
  <c r="B207" i="19"/>
  <c r="AD184" i="19"/>
  <c r="P184" i="19"/>
  <c r="F201" i="19"/>
  <c r="AH178" i="19"/>
  <c r="T178" i="19"/>
  <c r="AA178" i="19"/>
  <c r="H178" i="19"/>
  <c r="J178" i="19"/>
  <c r="K3" i="46"/>
  <c r="B200" i="19"/>
  <c r="AD177" i="19"/>
  <c r="W177" i="19"/>
  <c r="P177" i="19"/>
  <c r="M209" i="19"/>
  <c r="N186" i="19"/>
  <c r="L186" i="19"/>
  <c r="Y186" i="19"/>
  <c r="D209" i="19"/>
  <c r="R186" i="19"/>
  <c r="AF186" i="19"/>
  <c r="X183" i="19"/>
  <c r="C206" i="19"/>
  <c r="AE183" i="19"/>
  <c r="Q183" i="19"/>
  <c r="AG174" i="19"/>
  <c r="E197" i="19"/>
  <c r="S174" i="19"/>
  <c r="Z174" i="19"/>
  <c r="M175" i="19"/>
  <c r="L152" i="19"/>
  <c r="N152" i="19"/>
  <c r="U152" i="19"/>
  <c r="Z181" i="19"/>
  <c r="E204" i="19"/>
  <c r="AG181" i="19"/>
  <c r="S181" i="19"/>
  <c r="AF185" i="19"/>
  <c r="D208" i="19"/>
  <c r="Y185" i="19"/>
  <c r="R185" i="19"/>
  <c r="J180" i="19"/>
  <c r="F203" i="19"/>
  <c r="T180" i="19"/>
  <c r="AH180" i="19"/>
  <c r="AA180" i="19"/>
  <c r="H180" i="19"/>
  <c r="B209" i="19"/>
  <c r="AD186" i="19"/>
  <c r="W186" i="19"/>
  <c r="P186" i="19"/>
  <c r="M178" i="19"/>
  <c r="N155" i="19"/>
  <c r="L155" i="19"/>
  <c r="U155" i="19"/>
  <c r="AE159" i="19"/>
  <c r="C182" i="19"/>
  <c r="X159" i="19"/>
  <c r="Q159" i="19"/>
  <c r="X134" i="19"/>
  <c r="Q134" i="19"/>
  <c r="C157" i="19"/>
  <c r="AE134" i="19"/>
  <c r="M181" i="19"/>
  <c r="L158" i="19"/>
  <c r="N158" i="19"/>
  <c r="U158" i="19"/>
  <c r="N159" i="19"/>
  <c r="M182" i="19"/>
  <c r="L159" i="19"/>
  <c r="U159" i="19"/>
  <c r="N176" i="19"/>
  <c r="D199" i="19"/>
  <c r="Y176" i="19"/>
  <c r="AF176" i="19"/>
  <c r="R176" i="19"/>
  <c r="U176" i="19" s="1"/>
  <c r="AG180" i="19"/>
  <c r="Z180" i="19"/>
  <c r="E203" i="19"/>
  <c r="S180" i="19"/>
  <c r="W174" i="19"/>
  <c r="P174" i="19"/>
  <c r="B197" i="19"/>
  <c r="AD174" i="19"/>
  <c r="B198" i="19"/>
  <c r="AD175" i="19"/>
  <c r="W175" i="19"/>
  <c r="P175" i="19"/>
  <c r="D200" i="19"/>
  <c r="R177" i="19"/>
  <c r="U177" i="19" s="1"/>
  <c r="AF177" i="19"/>
  <c r="Y177" i="19"/>
  <c r="X138" i="19"/>
  <c r="Q138" i="19"/>
  <c r="C161" i="19"/>
  <c r="AE138" i="19"/>
  <c r="AA181" i="19"/>
  <c r="F204" i="19"/>
  <c r="T181" i="19"/>
  <c r="AH181" i="19"/>
  <c r="J181" i="19"/>
  <c r="H181" i="19"/>
  <c r="F198" i="19"/>
  <c r="AA175" i="19"/>
  <c r="T175" i="19"/>
  <c r="AH175" i="19"/>
  <c r="J175" i="19"/>
  <c r="H175" i="19"/>
  <c r="C204" i="19"/>
  <c r="X181" i="19"/>
  <c r="AE181" i="19"/>
  <c r="Q181" i="19"/>
  <c r="M199" i="19"/>
  <c r="L176" i="19"/>
  <c r="M179" i="19"/>
  <c r="U156" i="19"/>
  <c r="AI156" i="19" s="1"/>
  <c r="L156" i="19"/>
  <c r="N156" i="19"/>
  <c r="U162" i="19"/>
  <c r="AI162" i="19" s="1"/>
  <c r="M174" i="19"/>
  <c r="U151" i="19"/>
  <c r="L151" i="19"/>
  <c r="N151" i="19"/>
  <c r="AF181" i="19"/>
  <c r="D204" i="19"/>
  <c r="Y181" i="19"/>
  <c r="R181" i="19"/>
  <c r="D207" i="19"/>
  <c r="Y184" i="19"/>
  <c r="R184" i="19"/>
  <c r="AF184" i="19"/>
  <c r="Z177" i="19"/>
  <c r="AG177" i="19"/>
  <c r="E200" i="19"/>
  <c r="S177" i="19"/>
  <c r="Y178" i="19"/>
  <c r="D201" i="19"/>
  <c r="AF178" i="19"/>
  <c r="R178" i="19"/>
  <c r="D202" i="19"/>
  <c r="R179" i="19"/>
  <c r="AF179" i="19"/>
  <c r="Y179" i="19"/>
  <c r="Z186" i="19"/>
  <c r="E209" i="19"/>
  <c r="AG186" i="19"/>
  <c r="S186" i="19"/>
  <c r="AD183" i="19"/>
  <c r="B206" i="19"/>
  <c r="W183" i="19"/>
  <c r="P183" i="19"/>
  <c r="M183" i="19"/>
  <c r="U160" i="19"/>
  <c r="N160" i="19"/>
  <c r="L160" i="19"/>
  <c r="E208" i="19"/>
  <c r="S185" i="19"/>
  <c r="AG185" i="19"/>
  <c r="Z185" i="19"/>
  <c r="M200" i="19"/>
  <c r="N177" i="19"/>
  <c r="L177" i="19"/>
  <c r="E206" i="19"/>
  <c r="Z183" i="19"/>
  <c r="AG183" i="19"/>
  <c r="S183" i="19"/>
  <c r="W176" i="19"/>
  <c r="P176" i="19"/>
  <c r="AD176" i="19"/>
  <c r="B199" i="19"/>
  <c r="Y182" i="19"/>
  <c r="AF182" i="19"/>
  <c r="R182" i="19"/>
  <c r="D205" i="19"/>
  <c r="W180" i="19"/>
  <c r="B203" i="19"/>
  <c r="P180" i="19"/>
  <c r="AD180" i="19"/>
  <c r="AD179" i="19"/>
  <c r="B202" i="19"/>
  <c r="W179" i="19"/>
  <c r="P179" i="19"/>
  <c r="AB154" i="19"/>
  <c r="AI154" i="19" s="1"/>
  <c r="AE186" i="19"/>
  <c r="C209" i="19"/>
  <c r="X186" i="19"/>
  <c r="Q186" i="19"/>
  <c r="E201" i="19"/>
  <c r="Z178" i="19"/>
  <c r="S178" i="19"/>
  <c r="AG178" i="19"/>
  <c r="AA176" i="19"/>
  <c r="AH176" i="19"/>
  <c r="F199" i="19"/>
  <c r="T176" i="19"/>
  <c r="H176" i="19"/>
  <c r="J176" i="19"/>
  <c r="E199" i="19"/>
  <c r="S176" i="19"/>
  <c r="AG176" i="19"/>
  <c r="Z176" i="19"/>
  <c r="F207" i="19"/>
  <c r="AA184" i="19"/>
  <c r="T184" i="19"/>
  <c r="AH184" i="19"/>
  <c r="H184" i="19"/>
  <c r="J184" i="19"/>
  <c r="J185" i="19"/>
  <c r="F208" i="19"/>
  <c r="T185" i="19"/>
  <c r="AH185" i="19"/>
  <c r="AA185" i="19"/>
  <c r="H185" i="19"/>
  <c r="AB185" i="19" s="1"/>
  <c r="C200" i="19"/>
  <c r="X177" i="19"/>
  <c r="AE177" i="19"/>
  <c r="Q177" i="19"/>
  <c r="R175" i="19"/>
  <c r="D198" i="19"/>
  <c r="Y175" i="19"/>
  <c r="AF175" i="19"/>
  <c r="M208" i="19"/>
  <c r="N185" i="19"/>
  <c r="L185" i="19"/>
  <c r="M180" i="19"/>
  <c r="L157" i="19"/>
  <c r="N157" i="19"/>
  <c r="U157" i="19"/>
  <c r="AB160" i="19"/>
  <c r="B205" i="19"/>
  <c r="W182" i="19"/>
  <c r="AD182" i="19"/>
  <c r="P182" i="19"/>
  <c r="AB157" i="19"/>
  <c r="AH183" i="19"/>
  <c r="AA183" i="19"/>
  <c r="F206" i="19"/>
  <c r="T183" i="19"/>
  <c r="J183" i="19"/>
  <c r="H183" i="19"/>
  <c r="AB163" i="19"/>
  <c r="AI163" i="19" s="1"/>
  <c r="C208" i="19"/>
  <c r="X185" i="19"/>
  <c r="AE185" i="19"/>
  <c r="Q185" i="19"/>
  <c r="AG175" i="19"/>
  <c r="E198" i="19"/>
  <c r="Z175" i="19"/>
  <c r="S175" i="19"/>
  <c r="T174" i="19"/>
  <c r="F197" i="19"/>
  <c r="AH174" i="19"/>
  <c r="AA174" i="19"/>
  <c r="J174" i="19"/>
  <c r="H174" i="19"/>
  <c r="E202" i="19"/>
  <c r="Z179" i="19"/>
  <c r="AG179" i="19"/>
  <c r="S179" i="19"/>
  <c r="F209" i="19"/>
  <c r="AA186" i="19"/>
  <c r="AH186" i="19"/>
  <c r="T186" i="19"/>
  <c r="J186" i="19"/>
  <c r="H186" i="19"/>
  <c r="AH179" i="19"/>
  <c r="F202" i="19"/>
  <c r="AA179" i="19"/>
  <c r="T179" i="19"/>
  <c r="J179" i="19"/>
  <c r="H179" i="19"/>
  <c r="F205" i="19"/>
  <c r="AA182" i="19"/>
  <c r="AH182" i="19"/>
  <c r="T182" i="19"/>
  <c r="J182" i="19"/>
  <c r="H182" i="19"/>
  <c r="E205" i="19"/>
  <c r="Z182" i="19"/>
  <c r="AG182" i="19"/>
  <c r="S182" i="19"/>
  <c r="C201" i="19"/>
  <c r="AE178" i="19"/>
  <c r="X178" i="19"/>
  <c r="Q178" i="19"/>
  <c r="X129" i="19"/>
  <c r="Q129" i="19"/>
  <c r="AE129" i="19"/>
  <c r="C152" i="19"/>
  <c r="W181" i="19"/>
  <c r="B204" i="19"/>
  <c r="P181" i="19"/>
  <c r="AD181" i="19"/>
  <c r="W185" i="19"/>
  <c r="B208" i="19"/>
  <c r="P185" i="19"/>
  <c r="AD185" i="19"/>
  <c r="D203" i="19"/>
  <c r="Y180" i="19"/>
  <c r="AF180" i="19"/>
  <c r="R180" i="19"/>
  <c r="F200" i="19"/>
  <c r="T177" i="19"/>
  <c r="AH177" i="19"/>
  <c r="AA177" i="19"/>
  <c r="J177" i="19"/>
  <c r="H177" i="19"/>
  <c r="N12" i="44"/>
  <c r="N9" i="44"/>
  <c r="K3" i="32"/>
  <c r="CM86" i="44"/>
  <c r="CL85" i="44"/>
  <c r="M20" i="45"/>
  <c r="O8" i="44"/>
  <c r="N7" i="44"/>
  <c r="K3" i="30"/>
  <c r="L3" i="28"/>
  <c r="AI158" i="19" l="1"/>
  <c r="AB174" i="19"/>
  <c r="AI151" i="19"/>
  <c r="AI159" i="19"/>
  <c r="AI152" i="19"/>
  <c r="AI155" i="19"/>
  <c r="AB182" i="19"/>
  <c r="AB183" i="19"/>
  <c r="AB176" i="19"/>
  <c r="AI176" i="19" s="1"/>
  <c r="AI153" i="19"/>
  <c r="AB186" i="19"/>
  <c r="AI157" i="19"/>
  <c r="AB178" i="19"/>
  <c r="AI160" i="19"/>
  <c r="AB179" i="19"/>
  <c r="M203" i="19"/>
  <c r="L180" i="19"/>
  <c r="N180" i="19"/>
  <c r="U180" i="19"/>
  <c r="AH207" i="19"/>
  <c r="F230" i="19"/>
  <c r="AA207" i="19"/>
  <c r="T207" i="19"/>
  <c r="H207" i="19"/>
  <c r="J207" i="19"/>
  <c r="D228" i="19"/>
  <c r="Y205" i="19"/>
  <c r="AF205" i="19"/>
  <c r="R205" i="19"/>
  <c r="AD206" i="19"/>
  <c r="B229" i="19"/>
  <c r="W206" i="19"/>
  <c r="P206" i="19"/>
  <c r="M202" i="19"/>
  <c r="N179" i="19"/>
  <c r="L179" i="19"/>
  <c r="U179" i="19"/>
  <c r="C227" i="19"/>
  <c r="X204" i="19"/>
  <c r="AE204" i="19"/>
  <c r="Q204" i="19"/>
  <c r="AG203" i="19"/>
  <c r="Z203" i="19"/>
  <c r="S203" i="19"/>
  <c r="E226" i="19"/>
  <c r="F226" i="19"/>
  <c r="AA203" i="19"/>
  <c r="AH203" i="19"/>
  <c r="T203" i="19"/>
  <c r="J203" i="19"/>
  <c r="H203" i="19"/>
  <c r="E227" i="19"/>
  <c r="AG204" i="19"/>
  <c r="S204" i="19"/>
  <c r="Z204" i="19"/>
  <c r="U184" i="19"/>
  <c r="F223" i="19"/>
  <c r="AA200" i="19"/>
  <c r="T200" i="19"/>
  <c r="AH200" i="19"/>
  <c r="J200" i="19"/>
  <c r="H200" i="19"/>
  <c r="E225" i="19"/>
  <c r="AG202" i="19"/>
  <c r="S202" i="19"/>
  <c r="Z202" i="19"/>
  <c r="AG205" i="19"/>
  <c r="S205" i="19"/>
  <c r="Z205" i="19"/>
  <c r="E228" i="19"/>
  <c r="AG198" i="19"/>
  <c r="E221" i="19"/>
  <c r="Z198" i="19"/>
  <c r="S198" i="19"/>
  <c r="U185" i="19"/>
  <c r="AI185" i="19" s="1"/>
  <c r="F231" i="19"/>
  <c r="AH208" i="19"/>
  <c r="AA208" i="19"/>
  <c r="T208" i="19"/>
  <c r="J208" i="19"/>
  <c r="H208" i="19"/>
  <c r="Z201" i="19"/>
  <c r="E224" i="19"/>
  <c r="AG201" i="19"/>
  <c r="S201" i="19"/>
  <c r="B225" i="19"/>
  <c r="AD202" i="19"/>
  <c r="W202" i="19"/>
  <c r="P202" i="19"/>
  <c r="M223" i="19"/>
  <c r="N200" i="19"/>
  <c r="L200" i="19"/>
  <c r="AF202" i="19"/>
  <c r="D225" i="19"/>
  <c r="R202" i="19"/>
  <c r="Y202" i="19"/>
  <c r="Z200" i="19"/>
  <c r="E223" i="19"/>
  <c r="S200" i="19"/>
  <c r="AG200" i="19"/>
  <c r="M197" i="19"/>
  <c r="U174" i="19"/>
  <c r="AI174" i="19" s="1"/>
  <c r="N174" i="19"/>
  <c r="L174" i="19"/>
  <c r="AB175" i="19"/>
  <c r="M204" i="19"/>
  <c r="N181" i="19"/>
  <c r="L181" i="19"/>
  <c r="U181" i="19"/>
  <c r="AE182" i="19"/>
  <c r="X182" i="19"/>
  <c r="C205" i="19"/>
  <c r="Q182" i="19"/>
  <c r="Z197" i="19"/>
  <c r="E220" i="19"/>
  <c r="S197" i="19"/>
  <c r="AG197" i="19"/>
  <c r="AD207" i="19"/>
  <c r="B230" i="19"/>
  <c r="P207" i="19"/>
  <c r="W207" i="19"/>
  <c r="S207" i="19"/>
  <c r="AG207" i="19"/>
  <c r="Z207" i="19"/>
  <c r="E230" i="19"/>
  <c r="X202" i="19"/>
  <c r="C225" i="19"/>
  <c r="AE202" i="19"/>
  <c r="Q202" i="19"/>
  <c r="AB177" i="19"/>
  <c r="AI177" i="19" s="1"/>
  <c r="AA206" i="19"/>
  <c r="T206" i="19"/>
  <c r="F229" i="19"/>
  <c r="AH206" i="19"/>
  <c r="J206" i="19"/>
  <c r="H206" i="19"/>
  <c r="B228" i="19"/>
  <c r="W205" i="19"/>
  <c r="P205" i="19"/>
  <c r="AD205" i="19"/>
  <c r="AA199" i="19"/>
  <c r="F222" i="19"/>
  <c r="AH199" i="19"/>
  <c r="T199" i="19"/>
  <c r="H199" i="19"/>
  <c r="J199" i="19"/>
  <c r="E229" i="19"/>
  <c r="AG206" i="19"/>
  <c r="Z206" i="19"/>
  <c r="S206" i="19"/>
  <c r="T204" i="19"/>
  <c r="AH204" i="19"/>
  <c r="F227" i="19"/>
  <c r="AA204" i="19"/>
  <c r="H204" i="19"/>
  <c r="J204" i="19"/>
  <c r="C180" i="19"/>
  <c r="AE157" i="19"/>
  <c r="X157" i="19"/>
  <c r="Q157" i="19"/>
  <c r="B232" i="19"/>
  <c r="W209" i="19"/>
  <c r="AD209" i="19"/>
  <c r="P209" i="19"/>
  <c r="M230" i="19"/>
  <c r="L207" i="19"/>
  <c r="N207" i="19"/>
  <c r="M205" i="19"/>
  <c r="N182" i="19"/>
  <c r="U182" i="19"/>
  <c r="L182" i="19"/>
  <c r="B227" i="19"/>
  <c r="P204" i="19"/>
  <c r="AD204" i="19"/>
  <c r="W204" i="19"/>
  <c r="T202" i="19"/>
  <c r="AA202" i="19"/>
  <c r="AH202" i="19"/>
  <c r="F225" i="19"/>
  <c r="J202" i="19"/>
  <c r="H202" i="19"/>
  <c r="F232" i="19"/>
  <c r="AA209" i="19"/>
  <c r="T209" i="19"/>
  <c r="AH209" i="19"/>
  <c r="J209" i="19"/>
  <c r="H209" i="19"/>
  <c r="M231" i="19"/>
  <c r="N208" i="19"/>
  <c r="L208" i="19"/>
  <c r="X200" i="19"/>
  <c r="C223" i="19"/>
  <c r="AE200" i="19"/>
  <c r="Q200" i="19"/>
  <c r="AE209" i="19"/>
  <c r="C232" i="19"/>
  <c r="X209" i="19"/>
  <c r="Q209" i="19"/>
  <c r="W199" i="19"/>
  <c r="B222" i="19"/>
  <c r="AD199" i="19"/>
  <c r="P199" i="19"/>
  <c r="Z209" i="19"/>
  <c r="E232" i="19"/>
  <c r="AG209" i="19"/>
  <c r="S209" i="19"/>
  <c r="Y201" i="19"/>
  <c r="D224" i="19"/>
  <c r="R201" i="19"/>
  <c r="AF201" i="19"/>
  <c r="L199" i="19"/>
  <c r="M222" i="19"/>
  <c r="N199" i="19"/>
  <c r="AD197" i="19"/>
  <c r="B220" i="19"/>
  <c r="P197" i="19"/>
  <c r="W197" i="19"/>
  <c r="AB180" i="19"/>
  <c r="R208" i="19"/>
  <c r="U208" i="19" s="1"/>
  <c r="AF208" i="19"/>
  <c r="Y208" i="19"/>
  <c r="D231" i="19"/>
  <c r="U186" i="19"/>
  <c r="AF209" i="19"/>
  <c r="D232" i="19"/>
  <c r="Y209" i="19"/>
  <c r="R209" i="19"/>
  <c r="U209" i="19" s="1"/>
  <c r="D226" i="19"/>
  <c r="Y203" i="19"/>
  <c r="AF203" i="19"/>
  <c r="R203" i="19"/>
  <c r="C224" i="19"/>
  <c r="X201" i="19"/>
  <c r="Q201" i="19"/>
  <c r="AE201" i="19"/>
  <c r="AH197" i="19"/>
  <c r="F220" i="19"/>
  <c r="AA197" i="19"/>
  <c r="T197" i="19"/>
  <c r="J197" i="19"/>
  <c r="H197" i="19"/>
  <c r="B226" i="19"/>
  <c r="AD203" i="19"/>
  <c r="P203" i="19"/>
  <c r="W203" i="19"/>
  <c r="M206" i="19"/>
  <c r="U183" i="19"/>
  <c r="L183" i="19"/>
  <c r="N183" i="19"/>
  <c r="AF200" i="19"/>
  <c r="D223" i="19"/>
  <c r="Y200" i="19"/>
  <c r="R200" i="19"/>
  <c r="C229" i="19"/>
  <c r="AE206" i="19"/>
  <c r="Q206" i="19"/>
  <c r="X206" i="19"/>
  <c r="Y206" i="19"/>
  <c r="R206" i="19"/>
  <c r="AF206" i="19"/>
  <c r="D229" i="19"/>
  <c r="AE199" i="19"/>
  <c r="Q199" i="19"/>
  <c r="C222" i="19"/>
  <c r="X199" i="19"/>
  <c r="R204" i="19"/>
  <c r="AF204" i="19"/>
  <c r="D227" i="19"/>
  <c r="Y204" i="19"/>
  <c r="W198" i="19"/>
  <c r="P198" i="19"/>
  <c r="B221" i="19"/>
  <c r="AD198" i="19"/>
  <c r="C175" i="19"/>
  <c r="AE152" i="19"/>
  <c r="X152" i="19"/>
  <c r="Q152" i="19"/>
  <c r="C231" i="19"/>
  <c r="X208" i="19"/>
  <c r="AE208" i="19"/>
  <c r="Q208" i="19"/>
  <c r="E222" i="19"/>
  <c r="Z199" i="19"/>
  <c r="AG199" i="19"/>
  <c r="S199" i="19"/>
  <c r="AG208" i="19"/>
  <c r="E231" i="19"/>
  <c r="Z208" i="19"/>
  <c r="S208" i="19"/>
  <c r="AB184" i="19"/>
  <c r="F221" i="19"/>
  <c r="T198" i="19"/>
  <c r="AH198" i="19"/>
  <c r="AA198" i="19"/>
  <c r="H198" i="19"/>
  <c r="J198" i="19"/>
  <c r="D222" i="19"/>
  <c r="AF199" i="19"/>
  <c r="R199" i="19"/>
  <c r="Y199" i="19"/>
  <c r="M198" i="19"/>
  <c r="N175" i="19"/>
  <c r="U175" i="19"/>
  <c r="L175" i="19"/>
  <c r="AD200" i="19"/>
  <c r="B223" i="19"/>
  <c r="W200" i="19"/>
  <c r="P200" i="19"/>
  <c r="F224" i="19"/>
  <c r="AH201" i="19"/>
  <c r="T201" i="19"/>
  <c r="AA201" i="19"/>
  <c r="H201" i="19"/>
  <c r="J201" i="19"/>
  <c r="D220" i="19"/>
  <c r="R197" i="19"/>
  <c r="Y197" i="19"/>
  <c r="AF197" i="19"/>
  <c r="B224" i="19"/>
  <c r="AD201" i="19"/>
  <c r="W201" i="19"/>
  <c r="P201" i="19"/>
  <c r="L3" i="46"/>
  <c r="P208" i="19"/>
  <c r="B231" i="19"/>
  <c r="AD208" i="19"/>
  <c r="W208" i="19"/>
  <c r="F228" i="19"/>
  <c r="AA205" i="19"/>
  <c r="AH205" i="19"/>
  <c r="T205" i="19"/>
  <c r="J205" i="19"/>
  <c r="H205" i="19"/>
  <c r="Y198" i="19"/>
  <c r="AF198" i="19"/>
  <c r="R198" i="19"/>
  <c r="D221" i="19"/>
  <c r="D230" i="19"/>
  <c r="Y207" i="19"/>
  <c r="AF207" i="19"/>
  <c r="R207" i="19"/>
  <c r="U207" i="19" s="1"/>
  <c r="AB181" i="19"/>
  <c r="C184" i="19"/>
  <c r="AE161" i="19"/>
  <c r="X161" i="19"/>
  <c r="Q161" i="19"/>
  <c r="M201" i="19"/>
  <c r="U178" i="19"/>
  <c r="N178" i="19"/>
  <c r="L178" i="19"/>
  <c r="M232" i="19"/>
  <c r="N209" i="19"/>
  <c r="L209" i="19"/>
  <c r="AE197" i="19"/>
  <c r="X197" i="19"/>
  <c r="Q197" i="19"/>
  <c r="C220" i="19"/>
  <c r="O12" i="44"/>
  <c r="O9" i="44"/>
  <c r="L3" i="32"/>
  <c r="N20" i="45"/>
  <c r="O7" i="44"/>
  <c r="P8" i="44"/>
  <c r="CN86" i="44"/>
  <c r="CM85" i="44"/>
  <c r="L3" i="30"/>
  <c r="M3" i="28"/>
  <c r="AI186" i="19" l="1"/>
  <c r="AB202" i="19"/>
  <c r="AI182" i="19"/>
  <c r="AI178" i="19"/>
  <c r="AB207" i="19"/>
  <c r="AI207" i="19" s="1"/>
  <c r="AI183" i="19"/>
  <c r="AB199" i="19"/>
  <c r="AI175" i="19"/>
  <c r="AB205" i="19"/>
  <c r="AB201" i="19"/>
  <c r="AB197" i="19"/>
  <c r="AI179" i="19"/>
  <c r="AI180" i="19"/>
  <c r="AB198" i="19"/>
  <c r="AB206" i="19"/>
  <c r="AI184" i="19"/>
  <c r="AB203" i="19"/>
  <c r="AB200" i="19"/>
  <c r="AI181" i="19"/>
  <c r="AD229" i="19"/>
  <c r="W229" i="19"/>
  <c r="P229" i="19"/>
  <c r="AE224" i="19"/>
  <c r="X224" i="19"/>
  <c r="Q224" i="19"/>
  <c r="Y230" i="19"/>
  <c r="R230" i="19"/>
  <c r="U230" i="19" s="1"/>
  <c r="AF230" i="19"/>
  <c r="M221" i="19"/>
  <c r="L221" i="19" s="1"/>
  <c r="U198" i="19"/>
  <c r="N198" i="19"/>
  <c r="L198" i="19"/>
  <c r="Y229" i="19"/>
  <c r="R229" i="19"/>
  <c r="AF229" i="19"/>
  <c r="AD220" i="19"/>
  <c r="W220" i="19"/>
  <c r="P220" i="19"/>
  <c r="Y224" i="19"/>
  <c r="R224" i="19"/>
  <c r="AF224" i="19"/>
  <c r="AD222" i="19"/>
  <c r="P222" i="19"/>
  <c r="W222" i="19"/>
  <c r="AE223" i="19"/>
  <c r="Q223" i="19"/>
  <c r="X223" i="19"/>
  <c r="AB209" i="19"/>
  <c r="AI209" i="19" s="1"/>
  <c r="AH225" i="19"/>
  <c r="AA225" i="19"/>
  <c r="T225" i="19"/>
  <c r="J225" i="19"/>
  <c r="H225" i="19"/>
  <c r="T222" i="19"/>
  <c r="AH222" i="19"/>
  <c r="AA222" i="19"/>
  <c r="H222" i="19"/>
  <c r="J222" i="19"/>
  <c r="U200" i="19"/>
  <c r="J231" i="19"/>
  <c r="T231" i="19"/>
  <c r="AH231" i="19"/>
  <c r="AA231" i="19"/>
  <c r="H231" i="19"/>
  <c r="AG226" i="19"/>
  <c r="Z226" i="19"/>
  <c r="S226" i="19"/>
  <c r="AA230" i="19"/>
  <c r="T230" i="19"/>
  <c r="AH230" i="19"/>
  <c r="J230" i="19"/>
  <c r="H230" i="19"/>
  <c r="C228" i="19"/>
  <c r="AE205" i="19"/>
  <c r="X205" i="19"/>
  <c r="Q205" i="19"/>
  <c r="Z228" i="19"/>
  <c r="S228" i="19"/>
  <c r="AG228" i="19"/>
  <c r="X231" i="19"/>
  <c r="AE231" i="19"/>
  <c r="Q231" i="19"/>
  <c r="N231" i="19"/>
  <c r="L231" i="19"/>
  <c r="S223" i="19"/>
  <c r="Z223" i="19"/>
  <c r="AG223" i="19"/>
  <c r="AH226" i="19"/>
  <c r="AA226" i="19"/>
  <c r="T226" i="19"/>
  <c r="J226" i="19"/>
  <c r="H226" i="19"/>
  <c r="AE220" i="19"/>
  <c r="Q220" i="19"/>
  <c r="X220" i="19"/>
  <c r="AF220" i="19"/>
  <c r="Y220" i="19"/>
  <c r="R220" i="19"/>
  <c r="AF227" i="19"/>
  <c r="Y227" i="19"/>
  <c r="R227" i="19"/>
  <c r="M229" i="19"/>
  <c r="L206" i="19"/>
  <c r="N206" i="19"/>
  <c r="U206" i="19"/>
  <c r="AF231" i="19"/>
  <c r="Y231" i="19"/>
  <c r="R231" i="19"/>
  <c r="U231" i="19" s="1"/>
  <c r="L230" i="19"/>
  <c r="N230" i="19"/>
  <c r="C203" i="19"/>
  <c r="X180" i="19"/>
  <c r="Q180" i="19"/>
  <c r="AE180" i="19"/>
  <c r="AH229" i="19"/>
  <c r="AA229" i="19"/>
  <c r="T229" i="19"/>
  <c r="J229" i="19"/>
  <c r="H229" i="19"/>
  <c r="AG230" i="19"/>
  <c r="Z230" i="19"/>
  <c r="S230" i="19"/>
  <c r="L223" i="19"/>
  <c r="Z224" i="19"/>
  <c r="S224" i="19"/>
  <c r="AG224" i="19"/>
  <c r="AG227" i="19"/>
  <c r="Z227" i="19"/>
  <c r="S227" i="19"/>
  <c r="Y232" i="19"/>
  <c r="R232" i="19"/>
  <c r="U232" i="19" s="1"/>
  <c r="AF232" i="19"/>
  <c r="AD225" i="19"/>
  <c r="W225" i="19"/>
  <c r="P225" i="19"/>
  <c r="AG225" i="19"/>
  <c r="Z225" i="19"/>
  <c r="S225" i="19"/>
  <c r="W227" i="19"/>
  <c r="P227" i="19"/>
  <c r="AD227" i="19"/>
  <c r="X227" i="19"/>
  <c r="AE227" i="19"/>
  <c r="Q227" i="19"/>
  <c r="N232" i="19"/>
  <c r="L232" i="19"/>
  <c r="Y221" i="19"/>
  <c r="AF221" i="19"/>
  <c r="R221" i="19"/>
  <c r="AD223" i="19"/>
  <c r="P223" i="19"/>
  <c r="W223" i="19"/>
  <c r="AA221" i="19"/>
  <c r="AH221" i="19"/>
  <c r="T221" i="19"/>
  <c r="J221" i="19"/>
  <c r="H221" i="19"/>
  <c r="N223" i="19"/>
  <c r="AF223" i="19"/>
  <c r="R223" i="19"/>
  <c r="Y223" i="19"/>
  <c r="AA220" i="19"/>
  <c r="T220" i="19"/>
  <c r="AH220" i="19"/>
  <c r="H220" i="19"/>
  <c r="J220" i="19"/>
  <c r="U199" i="19"/>
  <c r="M224" i="19"/>
  <c r="L201" i="19"/>
  <c r="N201" i="19"/>
  <c r="U201" i="19"/>
  <c r="X184" i="19"/>
  <c r="C207" i="19"/>
  <c r="Q184" i="19"/>
  <c r="AE184" i="19"/>
  <c r="AE175" i="19"/>
  <c r="C198" i="19"/>
  <c r="Q175" i="19"/>
  <c r="X175" i="19"/>
  <c r="AF226" i="19"/>
  <c r="Y226" i="19"/>
  <c r="R226" i="19"/>
  <c r="AB204" i="19"/>
  <c r="Z229" i="19"/>
  <c r="AG229" i="19"/>
  <c r="S229" i="19"/>
  <c r="Z220" i="19"/>
  <c r="AG220" i="19"/>
  <c r="S220" i="19"/>
  <c r="M220" i="19"/>
  <c r="L197" i="19"/>
  <c r="N197" i="19"/>
  <c r="U197" i="19"/>
  <c r="Y225" i="19"/>
  <c r="AF225" i="19"/>
  <c r="R225" i="19"/>
  <c r="AB208" i="19"/>
  <c r="AI208" i="19" s="1"/>
  <c r="M225" i="19"/>
  <c r="U202" i="19"/>
  <c r="AI202" i="19" s="1"/>
  <c r="L202" i="19"/>
  <c r="N202" i="19"/>
  <c r="AF228" i="19"/>
  <c r="Y228" i="19"/>
  <c r="R228" i="19"/>
  <c r="S231" i="19"/>
  <c r="AG231" i="19"/>
  <c r="Z231" i="19"/>
  <c r="AD230" i="19"/>
  <c r="W230" i="19"/>
  <c r="P230" i="19"/>
  <c r="AA228" i="19"/>
  <c r="AH228" i="19"/>
  <c r="T228" i="19"/>
  <c r="J228" i="19"/>
  <c r="H228" i="19"/>
  <c r="AB228" i="19" s="1"/>
  <c r="M3" i="46"/>
  <c r="AF222" i="19"/>
  <c r="R222" i="19"/>
  <c r="U222" i="19" s="1"/>
  <c r="Y222" i="19"/>
  <c r="L222" i="19"/>
  <c r="N222" i="19"/>
  <c r="Z232" i="19"/>
  <c r="AG232" i="19"/>
  <c r="S232" i="19"/>
  <c r="AE232" i="19"/>
  <c r="X232" i="19"/>
  <c r="Q232" i="19"/>
  <c r="Z221" i="19"/>
  <c r="S221" i="19"/>
  <c r="AG221" i="19"/>
  <c r="T223" i="19"/>
  <c r="AA223" i="19"/>
  <c r="AH223" i="19"/>
  <c r="J223" i="19"/>
  <c r="H223" i="19"/>
  <c r="W231" i="19"/>
  <c r="AD231" i="19"/>
  <c r="P231" i="19"/>
  <c r="AH224" i="19"/>
  <c r="T224" i="19"/>
  <c r="AA224" i="19"/>
  <c r="J224" i="19"/>
  <c r="H224" i="19"/>
  <c r="AB224" i="19" s="1"/>
  <c r="AE229" i="19"/>
  <c r="X229" i="19"/>
  <c r="Q229" i="19"/>
  <c r="X225" i="19"/>
  <c r="AE225" i="19"/>
  <c r="Q225" i="19"/>
  <c r="AG222" i="19"/>
  <c r="S222" i="19"/>
  <c r="Z222" i="19"/>
  <c r="W224" i="19"/>
  <c r="P224" i="19"/>
  <c r="AD224" i="19"/>
  <c r="W221" i="19"/>
  <c r="AD221" i="19"/>
  <c r="P221" i="19"/>
  <c r="AE222" i="19"/>
  <c r="X222" i="19"/>
  <c r="Q222" i="19"/>
  <c r="AD226" i="19"/>
  <c r="W226" i="19"/>
  <c r="P226" i="19"/>
  <c r="T232" i="19"/>
  <c r="AA232" i="19"/>
  <c r="AH232" i="19"/>
  <c r="J232" i="19"/>
  <c r="H232" i="19"/>
  <c r="AB232" i="19" s="1"/>
  <c r="M228" i="19"/>
  <c r="N205" i="19"/>
  <c r="L205" i="19"/>
  <c r="U205" i="19"/>
  <c r="W232" i="19"/>
  <c r="AD232" i="19"/>
  <c r="P232" i="19"/>
  <c r="AH227" i="19"/>
  <c r="T227" i="19"/>
  <c r="AA227" i="19"/>
  <c r="J227" i="19"/>
  <c r="H227" i="19"/>
  <c r="AD228" i="19"/>
  <c r="P228" i="19"/>
  <c r="W228" i="19"/>
  <c r="M227" i="19"/>
  <c r="N204" i="19"/>
  <c r="U204" i="19"/>
  <c r="L204" i="19"/>
  <c r="M226" i="19"/>
  <c r="L203" i="19"/>
  <c r="N203" i="19"/>
  <c r="U203" i="19"/>
  <c r="AI203" i="19" s="1"/>
  <c r="P12" i="44"/>
  <c r="P9" i="44"/>
  <c r="M3" i="32"/>
  <c r="O20" i="45"/>
  <c r="P7" i="44"/>
  <c r="Q8" i="44"/>
  <c r="CO86" i="44"/>
  <c r="CN85" i="44"/>
  <c r="M3" i="30"/>
  <c r="N3" i="28"/>
  <c r="AI197" i="19" l="1"/>
  <c r="AI206" i="19"/>
  <c r="AB223" i="19"/>
  <c r="AI201" i="19"/>
  <c r="AI199" i="19"/>
  <c r="AI205" i="19"/>
  <c r="AB221" i="19"/>
  <c r="AB229" i="19"/>
  <c r="AB220" i="19"/>
  <c r="AI200" i="19"/>
  <c r="AB230" i="19"/>
  <c r="AI230" i="19" s="1"/>
  <c r="AI198" i="19"/>
  <c r="AI204" i="19"/>
  <c r="AI232" i="19"/>
  <c r="N228" i="19"/>
  <c r="L228" i="19"/>
  <c r="U228" i="19"/>
  <c r="AI228" i="19" s="1"/>
  <c r="U220" i="19"/>
  <c r="L220" i="19"/>
  <c r="N220" i="19"/>
  <c r="U229" i="19"/>
  <c r="L229" i="19"/>
  <c r="N229" i="19"/>
  <c r="AB231" i="19"/>
  <c r="AI231" i="19" s="1"/>
  <c r="N227" i="19"/>
  <c r="L227" i="19"/>
  <c r="U227" i="19"/>
  <c r="AB226" i="19"/>
  <c r="C230" i="19"/>
  <c r="Q207" i="19"/>
  <c r="AE207" i="19"/>
  <c r="X207" i="19"/>
  <c r="N3" i="46"/>
  <c r="L226" i="19"/>
  <c r="N226" i="19"/>
  <c r="U226" i="19"/>
  <c r="AI226" i="19" s="1"/>
  <c r="AB225" i="19"/>
  <c r="Q203" i="19"/>
  <c r="C226" i="19"/>
  <c r="X203" i="19"/>
  <c r="AE203" i="19"/>
  <c r="N221" i="19"/>
  <c r="U221" i="19"/>
  <c r="AI221" i="19" s="1"/>
  <c r="AB227" i="19"/>
  <c r="C221" i="19"/>
  <c r="X198" i="19"/>
  <c r="AE198" i="19"/>
  <c r="Q198" i="19"/>
  <c r="U224" i="19"/>
  <c r="AI224" i="19" s="1"/>
  <c r="L224" i="19"/>
  <c r="N224" i="19"/>
  <c r="AE228" i="19"/>
  <c r="X228" i="19"/>
  <c r="Q228" i="19"/>
  <c r="L225" i="19"/>
  <c r="N225" i="19"/>
  <c r="U225" i="19"/>
  <c r="U223" i="19"/>
  <c r="AB222" i="19"/>
  <c r="AI222" i="19" s="1"/>
  <c r="Q12" i="44"/>
  <c r="Q9" i="44"/>
  <c r="N3" i="32"/>
  <c r="P20" i="45"/>
  <c r="R8" i="44"/>
  <c r="Q7" i="44"/>
  <c r="CP86" i="44"/>
  <c r="CO85" i="44"/>
  <c r="N3" i="30"/>
  <c r="O3" i="28"/>
  <c r="AI229" i="19" l="1"/>
  <c r="AI223" i="19"/>
  <c r="AI220" i="19"/>
  <c r="AI227" i="19"/>
  <c r="AI225" i="19"/>
  <c r="X230" i="19"/>
  <c r="Q230" i="19"/>
  <c r="AE230" i="19"/>
  <c r="X226" i="19"/>
  <c r="AE226" i="19"/>
  <c r="Q226" i="19"/>
  <c r="O3" i="46"/>
  <c r="X221" i="19"/>
  <c r="AE221" i="19"/>
  <c r="Q221" i="19"/>
  <c r="R12" i="44"/>
  <c r="R9" i="44"/>
  <c r="O3" i="32"/>
  <c r="Q20" i="45"/>
  <c r="R7" i="44"/>
  <c r="S8" i="44"/>
  <c r="CQ86" i="44"/>
  <c r="CP85" i="44"/>
  <c r="O3" i="30"/>
  <c r="S12" i="44" l="1"/>
  <c r="S9" i="44"/>
  <c r="T9" i="44" s="1"/>
  <c r="U9" i="44" s="1"/>
  <c r="V9" i="44" s="1"/>
  <c r="W9" i="44" s="1"/>
  <c r="X9" i="44" s="1"/>
  <c r="Y9" i="44" s="1"/>
  <c r="Z9" i="44" s="1"/>
  <c r="AA9" i="44" s="1"/>
  <c r="AB9" i="44" s="1"/>
  <c r="AC9" i="44" s="1"/>
  <c r="AD9" i="44" s="1"/>
  <c r="AE9" i="44" s="1"/>
  <c r="AF9" i="44" s="1"/>
  <c r="AG9" i="44" s="1"/>
  <c r="AH9" i="44" s="1"/>
  <c r="AI9" i="44" s="1"/>
  <c r="AJ9" i="44" s="1"/>
  <c r="AK9" i="44" s="1"/>
  <c r="AL9" i="44" s="1"/>
  <c r="AM9" i="44" s="1"/>
  <c r="AN9" i="44" s="1"/>
  <c r="AO9" i="44" s="1"/>
  <c r="AP9" i="44" s="1"/>
  <c r="AQ9" i="44" s="1"/>
  <c r="AR9" i="44" s="1"/>
  <c r="AS9" i="44" s="1"/>
  <c r="AT9" i="44" s="1"/>
  <c r="AU9" i="44" s="1"/>
  <c r="AV9" i="44" s="1"/>
  <c r="AW9" i="44" s="1"/>
  <c r="AX9" i="44" s="1"/>
  <c r="AY9" i="44" s="1"/>
  <c r="AZ9" i="44" s="1"/>
  <c r="BA9" i="44" s="1"/>
  <c r="BB9" i="44" s="1"/>
  <c r="BC9" i="44" s="1"/>
  <c r="BD9" i="44" s="1"/>
  <c r="BE9" i="44" s="1"/>
  <c r="BF9" i="44" s="1"/>
  <c r="BG9" i="44" s="1"/>
  <c r="BH9" i="44" s="1"/>
  <c r="BI9" i="44" s="1"/>
  <c r="BJ9" i="44" s="1"/>
  <c r="BK9" i="44" s="1"/>
  <c r="BL9" i="44" s="1"/>
  <c r="BM9" i="44" s="1"/>
  <c r="BN9" i="44" s="1"/>
  <c r="BO9" i="44" s="1"/>
  <c r="BP9" i="44" s="1"/>
  <c r="BQ9" i="44" s="1"/>
  <c r="BR9" i="44" s="1"/>
  <c r="BS9" i="44" s="1"/>
  <c r="BT9" i="44" s="1"/>
  <c r="BU9" i="44" s="1"/>
  <c r="BV9" i="44" s="1"/>
  <c r="BW9" i="44" s="1"/>
  <c r="BX9" i="44" s="1"/>
  <c r="BY9" i="44" s="1"/>
  <c r="BZ9" i="44" s="1"/>
  <c r="CA9" i="44" s="1"/>
  <c r="CB9" i="44" s="1"/>
  <c r="CC9" i="44" s="1"/>
  <c r="CD9" i="44" s="1"/>
  <c r="CE9" i="44" s="1"/>
  <c r="CF9" i="44" s="1"/>
  <c r="CG9" i="44" s="1"/>
  <c r="CH9" i="44" s="1"/>
  <c r="CI9" i="44" s="1"/>
  <c r="CJ9" i="44" s="1"/>
  <c r="CK9" i="44" s="1"/>
  <c r="CL9" i="44" s="1"/>
  <c r="CM9" i="44" s="1"/>
  <c r="CN9" i="44" s="1"/>
  <c r="CO9" i="44" s="1"/>
  <c r="CP9" i="44" s="1"/>
  <c r="CQ9" i="44" s="1"/>
  <c r="CR9" i="44" s="1"/>
  <c r="CS9" i="44" s="1"/>
  <c r="CT9" i="44" s="1"/>
  <c r="CU9" i="44" s="1"/>
  <c r="CV9" i="44" s="1"/>
  <c r="CW9" i="44" s="1"/>
  <c r="CX9" i="44" s="1"/>
  <c r="CY9" i="44" s="1"/>
  <c r="CZ9" i="44" s="1"/>
  <c r="DA9" i="44" s="1"/>
  <c r="DB9" i="44" s="1"/>
  <c r="DC9" i="44" s="1"/>
  <c r="DD9" i="44" s="1"/>
  <c r="DE9" i="44" s="1"/>
  <c r="DF9" i="44" s="1"/>
  <c r="DG9" i="44" s="1"/>
  <c r="DH9" i="44" s="1"/>
  <c r="DI9" i="44" s="1"/>
  <c r="DJ9" i="44" s="1"/>
  <c r="DK9" i="44" s="1"/>
  <c r="DL9" i="44" s="1"/>
  <c r="DM9" i="44" s="1"/>
  <c r="DN9" i="44" s="1"/>
  <c r="DO9" i="44" s="1"/>
  <c r="DP9" i="44" s="1"/>
  <c r="DQ9" i="44" s="1"/>
  <c r="DR9" i="44" s="1"/>
  <c r="DS9" i="44" s="1"/>
  <c r="DT9" i="44" s="1"/>
  <c r="DU9" i="44" s="1"/>
  <c r="DV9" i="44" s="1"/>
  <c r="R20" i="45"/>
  <c r="T8" i="44"/>
  <c r="S7" i="44"/>
  <c r="CR86" i="44"/>
  <c r="CQ85" i="44"/>
  <c r="D117" i="28"/>
  <c r="D142" i="28" s="1"/>
  <c r="D113" i="28"/>
  <c r="J87" i="28"/>
  <c r="K87" i="28"/>
  <c r="L87" i="28"/>
  <c r="M87" i="28"/>
  <c r="N87" i="28"/>
  <c r="D105" i="28"/>
  <c r="O87" i="28"/>
  <c r="I87" i="28"/>
  <c r="H87" i="28"/>
  <c r="G87" i="28"/>
  <c r="F87" i="28"/>
  <c r="E87" i="28"/>
  <c r="E77" i="28"/>
  <c r="F76" i="28"/>
  <c r="D76" i="28"/>
  <c r="D75" i="28"/>
  <c r="D74" i="28"/>
  <c r="D73" i="28"/>
  <c r="D72" i="28"/>
  <c r="D71" i="28"/>
  <c r="E69" i="28"/>
  <c r="F68" i="28"/>
  <c r="D68" i="28"/>
  <c r="F67" i="28"/>
  <c r="D67" i="28"/>
  <c r="F66" i="28"/>
  <c r="D66" i="28"/>
  <c r="F65" i="28"/>
  <c r="D65" i="28"/>
  <c r="F64" i="28"/>
  <c r="D64" i="28"/>
  <c r="F63" i="28"/>
  <c r="D63" i="28"/>
  <c r="F62" i="28"/>
  <c r="D62" i="28"/>
  <c r="F61" i="28"/>
  <c r="D61" i="28"/>
  <c r="E59" i="28"/>
  <c r="D58" i="28"/>
  <c r="F57" i="28"/>
  <c r="D57" i="28"/>
  <c r="D56" i="28"/>
  <c r="D55" i="28"/>
  <c r="D54" i="28"/>
  <c r="D53" i="28"/>
  <c r="E51" i="28"/>
  <c r="F50" i="28"/>
  <c r="D50" i="28"/>
  <c r="F49" i="28"/>
  <c r="D49" i="28"/>
  <c r="F48" i="28"/>
  <c r="D48" i="28"/>
  <c r="F47" i="28"/>
  <c r="D47" i="28"/>
  <c r="F46" i="28"/>
  <c r="D46" i="28"/>
  <c r="F45" i="28"/>
  <c r="D45" i="28"/>
  <c r="F42" i="28"/>
  <c r="D42" i="28"/>
  <c r="F41" i="28"/>
  <c r="D41" i="28"/>
  <c r="F40" i="28"/>
  <c r="D40" i="28"/>
  <c r="F39" i="28"/>
  <c r="D39" i="28"/>
  <c r="F38" i="28"/>
  <c r="D38" i="28"/>
  <c r="F37" i="28"/>
  <c r="D37" i="28"/>
  <c r="F36" i="28"/>
  <c r="D36" i="28"/>
  <c r="F35" i="28"/>
  <c r="D35" i="28"/>
  <c r="F34" i="28"/>
  <c r="D34" i="28"/>
  <c r="D33" i="28"/>
  <c r="F32" i="28"/>
  <c r="D32" i="28"/>
  <c r="D31" i="28"/>
  <c r="D28" i="28"/>
  <c r="D27" i="28"/>
  <c r="D26" i="28"/>
  <c r="D24" i="28"/>
  <c r="F21" i="28"/>
  <c r="D21" i="28"/>
  <c r="D20" i="28"/>
  <c r="F17" i="28"/>
  <c r="D17" i="28"/>
  <c r="F11" i="28"/>
  <c r="D11" i="28"/>
  <c r="E9" i="28"/>
  <c r="E12" i="28" s="1"/>
  <c r="D8" i="28"/>
  <c r="G6" i="28"/>
  <c r="J59" i="1"/>
  <c r="I23" i="1"/>
  <c r="J23" i="1" s="1"/>
  <c r="G26" i="1"/>
  <c r="G27" i="1"/>
  <c r="W212" i="19"/>
  <c r="P212" i="19"/>
  <c r="W189" i="19"/>
  <c r="P189" i="19"/>
  <c r="W166" i="19"/>
  <c r="P166" i="19"/>
  <c r="W5" i="19"/>
  <c r="W28" i="19"/>
  <c r="W51" i="19"/>
  <c r="W74" i="19"/>
  <c r="W97" i="19"/>
  <c r="W120" i="19"/>
  <c r="W143" i="19"/>
  <c r="P143" i="19"/>
  <c r="P120" i="19"/>
  <c r="P97" i="19"/>
  <c r="P74" i="19"/>
  <c r="P51" i="19"/>
  <c r="P28" i="19"/>
  <c r="P5" i="19"/>
  <c r="N18" i="18"/>
  <c r="J18" i="18"/>
  <c r="L18" i="18" s="1"/>
  <c r="N17" i="18"/>
  <c r="J17" i="18"/>
  <c r="L17" i="18" s="1"/>
  <c r="N16" i="18"/>
  <c r="J16" i="18"/>
  <c r="L16" i="18" s="1"/>
  <c r="N15" i="18"/>
  <c r="J15" i="18"/>
  <c r="L15" i="18" s="1"/>
  <c r="N14" i="18"/>
  <c r="J14" i="18"/>
  <c r="L14" i="18" s="1"/>
  <c r="B14" i="18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P13" i="18"/>
  <c r="P33" i="18" s="1"/>
  <c r="N13" i="18"/>
  <c r="J13" i="18"/>
  <c r="L13" i="18" s="1"/>
  <c r="G6" i="46" l="1"/>
  <c r="G91" i="46" s="1"/>
  <c r="D105" i="46"/>
  <c r="E76" i="46"/>
  <c r="E68" i="46"/>
  <c r="E58" i="46"/>
  <c r="E50" i="46"/>
  <c r="T12" i="44"/>
  <c r="G6" i="32"/>
  <c r="G91" i="32" s="1"/>
  <c r="C66" i="23"/>
  <c r="E76" i="32"/>
  <c r="T7" i="44"/>
  <c r="U8" i="44"/>
  <c r="CS86" i="44"/>
  <c r="CR85" i="44"/>
  <c r="S20" i="45"/>
  <c r="P21" i="23"/>
  <c r="C21" i="23"/>
  <c r="Q46" i="23"/>
  <c r="D46" i="23"/>
  <c r="Q52" i="23"/>
  <c r="D52" i="23"/>
  <c r="Q56" i="23"/>
  <c r="D56" i="23"/>
  <c r="Q38" i="23"/>
  <c r="D38" i="23"/>
  <c r="Q21" i="23"/>
  <c r="D21" i="23"/>
  <c r="Q25" i="23"/>
  <c r="D25" i="23"/>
  <c r="Q29" i="23"/>
  <c r="D29" i="23"/>
  <c r="Q35" i="23"/>
  <c r="D35" i="23"/>
  <c r="Q39" i="23"/>
  <c r="D39" i="23"/>
  <c r="Q34" i="23"/>
  <c r="D34" i="23"/>
  <c r="E58" i="32"/>
  <c r="C48" i="23"/>
  <c r="Q28" i="23"/>
  <c r="D28" i="23"/>
  <c r="Q53" i="23"/>
  <c r="D53" i="23"/>
  <c r="Q7" i="23"/>
  <c r="D7" i="23"/>
  <c r="P22" i="23"/>
  <c r="C22" i="23"/>
  <c r="Q26" i="23"/>
  <c r="D26" i="23"/>
  <c r="Q30" i="23"/>
  <c r="D30" i="23"/>
  <c r="Q36" i="23"/>
  <c r="D36" i="23"/>
  <c r="E68" i="32"/>
  <c r="C58" i="23"/>
  <c r="Q11" i="23"/>
  <c r="D11" i="23"/>
  <c r="Q57" i="23"/>
  <c r="D57" i="23"/>
  <c r="P16" i="23"/>
  <c r="C16" i="23"/>
  <c r="Q50" i="23"/>
  <c r="D50" i="23"/>
  <c r="Q54" i="23"/>
  <c r="D54" i="23"/>
  <c r="Q24" i="23"/>
  <c r="D24" i="23"/>
  <c r="Q65" i="23"/>
  <c r="D65" i="23"/>
  <c r="Q23" i="23"/>
  <c r="D23" i="23"/>
  <c r="Q27" i="23"/>
  <c r="D27" i="23"/>
  <c r="Q31" i="23"/>
  <c r="D31" i="23"/>
  <c r="Q37" i="23"/>
  <c r="D37" i="23"/>
  <c r="Q51" i="23"/>
  <c r="D51" i="23"/>
  <c r="Q55" i="23"/>
  <c r="D55" i="23"/>
  <c r="E50" i="32"/>
  <c r="C40" i="23"/>
  <c r="E18" i="32"/>
  <c r="C8" i="23"/>
  <c r="D106" i="28"/>
  <c r="D105" i="32"/>
  <c r="D105" i="30"/>
  <c r="P8" i="23"/>
  <c r="E18" i="30"/>
  <c r="G6" i="30"/>
  <c r="G91" i="30" s="1"/>
  <c r="P40" i="23"/>
  <c r="E50" i="30"/>
  <c r="P48" i="23"/>
  <c r="E58" i="30"/>
  <c r="P58" i="23"/>
  <c r="E68" i="30"/>
  <c r="P66" i="23"/>
  <c r="E76" i="30"/>
  <c r="F18" i="28"/>
  <c r="E29" i="28"/>
  <c r="G92" i="28"/>
  <c r="D167" i="28"/>
  <c r="G45" i="28"/>
  <c r="G63" i="28"/>
  <c r="G11" i="28"/>
  <c r="G49" i="28"/>
  <c r="G21" i="28"/>
  <c r="G47" i="28"/>
  <c r="G62" i="28"/>
  <c r="G32" i="28"/>
  <c r="F51" i="28"/>
  <c r="G67" i="28"/>
  <c r="G36" i="28"/>
  <c r="G40" i="28"/>
  <c r="G61" i="28"/>
  <c r="G66" i="28"/>
  <c r="G34" i="28"/>
  <c r="G38" i="28"/>
  <c r="G42" i="28"/>
  <c r="G48" i="28"/>
  <c r="G76" i="28"/>
  <c r="G41" i="28"/>
  <c r="F69" i="28"/>
  <c r="E43" i="28"/>
  <c r="G65" i="28"/>
  <c r="H6" i="28"/>
  <c r="G46" i="28"/>
  <c r="G17" i="28"/>
  <c r="G35" i="28"/>
  <c r="G57" i="28"/>
  <c r="G37" i="28"/>
  <c r="G64" i="28"/>
  <c r="G50" i="28"/>
  <c r="G68" i="28"/>
  <c r="G39" i="28"/>
  <c r="H6" i="46" l="1"/>
  <c r="H91" i="46" s="1"/>
  <c r="F68" i="46"/>
  <c r="F50" i="46"/>
  <c r="E42" i="46"/>
  <c r="E28" i="46"/>
  <c r="F18" i="46"/>
  <c r="U12" i="44"/>
  <c r="H6" i="32"/>
  <c r="H91" i="32" s="1"/>
  <c r="CT86" i="44"/>
  <c r="CS85" i="44"/>
  <c r="V8" i="44"/>
  <c r="U7" i="44"/>
  <c r="R52" i="23"/>
  <c r="E52" i="23"/>
  <c r="R46" i="23"/>
  <c r="E46" i="23"/>
  <c r="R65" i="23"/>
  <c r="E65" i="23"/>
  <c r="R56" i="23"/>
  <c r="E56" i="23"/>
  <c r="R57" i="23"/>
  <c r="E57" i="23"/>
  <c r="R54" i="23"/>
  <c r="E54" i="23"/>
  <c r="R51" i="23"/>
  <c r="E51" i="23"/>
  <c r="R53" i="23"/>
  <c r="E53" i="23"/>
  <c r="R55" i="23"/>
  <c r="E55" i="23"/>
  <c r="F68" i="32"/>
  <c r="D58" i="23"/>
  <c r="R50" i="23"/>
  <c r="E50" i="23"/>
  <c r="R36" i="23"/>
  <c r="E36" i="23"/>
  <c r="R39" i="23"/>
  <c r="E39" i="23"/>
  <c r="R37" i="23"/>
  <c r="E37" i="23"/>
  <c r="R38" i="23"/>
  <c r="E38" i="23"/>
  <c r="R35" i="23"/>
  <c r="E35" i="23"/>
  <c r="R34" i="23"/>
  <c r="E34" i="23"/>
  <c r="F50" i="32"/>
  <c r="D40" i="23"/>
  <c r="R31" i="23"/>
  <c r="E31" i="23"/>
  <c r="R27" i="23"/>
  <c r="E27" i="23"/>
  <c r="E42" i="32"/>
  <c r="C32" i="23"/>
  <c r="R21" i="23"/>
  <c r="E21" i="23"/>
  <c r="R26" i="23"/>
  <c r="E26" i="23"/>
  <c r="R30" i="23"/>
  <c r="E30" i="23"/>
  <c r="R29" i="23"/>
  <c r="E29" i="23"/>
  <c r="R23" i="23"/>
  <c r="E23" i="23"/>
  <c r="R25" i="23"/>
  <c r="E25" i="23"/>
  <c r="R28" i="23"/>
  <c r="E28" i="23"/>
  <c r="R24" i="23"/>
  <c r="E24" i="23"/>
  <c r="E28" i="32"/>
  <c r="C18" i="23"/>
  <c r="R11" i="23"/>
  <c r="E11" i="23"/>
  <c r="F18" i="32"/>
  <c r="D8" i="23"/>
  <c r="R7" i="23"/>
  <c r="E7" i="23"/>
  <c r="Q8" i="23"/>
  <c r="F18" i="30"/>
  <c r="P18" i="23"/>
  <c r="E28" i="30"/>
  <c r="Q40" i="23"/>
  <c r="F50" i="30"/>
  <c r="H6" i="30"/>
  <c r="H91" i="30" s="1"/>
  <c r="P32" i="23"/>
  <c r="E42" i="30"/>
  <c r="Q58" i="23"/>
  <c r="F68" i="30"/>
  <c r="H92" i="28"/>
  <c r="D153" i="28"/>
  <c r="H11" i="28"/>
  <c r="H76" i="28"/>
  <c r="H65" i="28"/>
  <c r="H66" i="28"/>
  <c r="H64" i="28"/>
  <c r="H61" i="28"/>
  <c r="H68" i="28"/>
  <c r="H67" i="28"/>
  <c r="H63" i="28"/>
  <c r="H62" i="28"/>
  <c r="H57" i="28"/>
  <c r="H42" i="28"/>
  <c r="H38" i="28"/>
  <c r="H37" i="28"/>
  <c r="H41" i="28"/>
  <c r="H34" i="28"/>
  <c r="H32" i="28"/>
  <c r="H35" i="28"/>
  <c r="H39" i="28"/>
  <c r="H40" i="28"/>
  <c r="H36" i="28"/>
  <c r="H45" i="28"/>
  <c r="H47" i="28"/>
  <c r="H48" i="28"/>
  <c r="H49" i="28"/>
  <c r="H50" i="28"/>
  <c r="H21" i="28"/>
  <c r="D128" i="28"/>
  <c r="D178" i="28"/>
  <c r="G18" i="28"/>
  <c r="H17" i="28"/>
  <c r="G69" i="28"/>
  <c r="H46" i="28"/>
  <c r="G51" i="28"/>
  <c r="I6" i="28"/>
  <c r="I6" i="46" l="1"/>
  <c r="I91" i="46" s="1"/>
  <c r="G68" i="46"/>
  <c r="G50" i="46"/>
  <c r="G18" i="46"/>
  <c r="V12" i="44"/>
  <c r="I6" i="32"/>
  <c r="I91" i="32" s="1"/>
  <c r="CU86" i="44"/>
  <c r="CT85" i="44"/>
  <c r="W8" i="44"/>
  <c r="V7" i="44"/>
  <c r="S52" i="23"/>
  <c r="F52" i="23"/>
  <c r="S56" i="23"/>
  <c r="F56" i="23"/>
  <c r="S55" i="23"/>
  <c r="F55" i="23"/>
  <c r="S46" i="23"/>
  <c r="F46" i="23"/>
  <c r="S57" i="23"/>
  <c r="F57" i="23"/>
  <c r="S54" i="23"/>
  <c r="F54" i="23"/>
  <c r="S53" i="23"/>
  <c r="F53" i="23"/>
  <c r="G68" i="32"/>
  <c r="E58" i="23"/>
  <c r="S51" i="23"/>
  <c r="F51" i="23"/>
  <c r="S50" i="23"/>
  <c r="F50" i="23"/>
  <c r="S65" i="23"/>
  <c r="F65" i="23"/>
  <c r="G50" i="32"/>
  <c r="E40" i="23"/>
  <c r="S34" i="23"/>
  <c r="F34" i="23"/>
  <c r="S35" i="23"/>
  <c r="F35" i="23"/>
  <c r="S36" i="23"/>
  <c r="F36" i="23"/>
  <c r="S39" i="23"/>
  <c r="F39" i="23"/>
  <c r="S38" i="23"/>
  <c r="F38" i="23"/>
  <c r="S37" i="23"/>
  <c r="F37" i="23"/>
  <c r="S26" i="23"/>
  <c r="F26" i="23"/>
  <c r="S21" i="23"/>
  <c r="F21" i="23"/>
  <c r="S27" i="23"/>
  <c r="F27" i="23"/>
  <c r="S24" i="23"/>
  <c r="F24" i="23"/>
  <c r="S25" i="23"/>
  <c r="F25" i="23"/>
  <c r="S31" i="23"/>
  <c r="F31" i="23"/>
  <c r="S29" i="23"/>
  <c r="F29" i="23"/>
  <c r="S23" i="23"/>
  <c r="F23" i="23"/>
  <c r="S28" i="23"/>
  <c r="F28" i="23"/>
  <c r="S30" i="23"/>
  <c r="F30" i="23"/>
  <c r="S11" i="23"/>
  <c r="F11" i="23"/>
  <c r="G18" i="32"/>
  <c r="E8" i="23"/>
  <c r="S7" i="23"/>
  <c r="F7" i="23"/>
  <c r="I6" i="30"/>
  <c r="I91" i="30" s="1"/>
  <c r="R40" i="23"/>
  <c r="G50" i="30"/>
  <c r="R58" i="23"/>
  <c r="G68" i="30"/>
  <c r="R8" i="23"/>
  <c r="G18" i="30"/>
  <c r="I92" i="28"/>
  <c r="I11" i="28"/>
  <c r="I61" i="28"/>
  <c r="I76" i="28"/>
  <c r="I62" i="28"/>
  <c r="I63" i="28"/>
  <c r="I64" i="28"/>
  <c r="I67" i="28"/>
  <c r="I66" i="28"/>
  <c r="H69" i="28"/>
  <c r="I68" i="28"/>
  <c r="I65" i="28"/>
  <c r="I57" i="28"/>
  <c r="I39" i="28"/>
  <c r="I41" i="28"/>
  <c r="I35" i="28"/>
  <c r="I37" i="28"/>
  <c r="I36" i="28"/>
  <c r="I32" i="28"/>
  <c r="I38" i="28"/>
  <c r="I40" i="28"/>
  <c r="I34" i="28"/>
  <c r="I42" i="28"/>
  <c r="I50" i="28"/>
  <c r="I45" i="28"/>
  <c r="I49" i="28"/>
  <c r="I48" i="28"/>
  <c r="I47" i="28"/>
  <c r="I21" i="28"/>
  <c r="J6" i="28"/>
  <c r="I46" i="28"/>
  <c r="H51" i="28"/>
  <c r="H18" i="28"/>
  <c r="I17" i="28"/>
  <c r="J6" i="46" l="1"/>
  <c r="J91" i="46" s="1"/>
  <c r="H68" i="46"/>
  <c r="H50" i="46"/>
  <c r="H18" i="46"/>
  <c r="W12" i="44"/>
  <c r="J6" i="32"/>
  <c r="J91" i="32" s="1"/>
  <c r="W7" i="44"/>
  <c r="X8" i="44"/>
  <c r="CV86" i="44"/>
  <c r="CU85" i="44"/>
  <c r="T53" i="23"/>
  <c r="G53" i="23"/>
  <c r="T54" i="23"/>
  <c r="G54" i="23"/>
  <c r="T57" i="23"/>
  <c r="G57" i="23"/>
  <c r="T50" i="23"/>
  <c r="G50" i="23"/>
  <c r="T65" i="23"/>
  <c r="G65" i="23"/>
  <c r="T52" i="23"/>
  <c r="G52" i="23"/>
  <c r="H68" i="32"/>
  <c r="F58" i="23"/>
  <c r="T51" i="23"/>
  <c r="G51" i="23"/>
  <c r="T55" i="23"/>
  <c r="G55" i="23"/>
  <c r="T46" i="23"/>
  <c r="G46" i="23"/>
  <c r="T56" i="23"/>
  <c r="G56" i="23"/>
  <c r="T35" i="23"/>
  <c r="G35" i="23"/>
  <c r="T37" i="23"/>
  <c r="G37" i="23"/>
  <c r="H50" i="32"/>
  <c r="F40" i="23"/>
  <c r="T38" i="23"/>
  <c r="G38" i="23"/>
  <c r="T34" i="23"/>
  <c r="G34" i="23"/>
  <c r="T36" i="23"/>
  <c r="G36" i="23"/>
  <c r="T39" i="23"/>
  <c r="G39" i="23"/>
  <c r="T28" i="23"/>
  <c r="G28" i="23"/>
  <c r="T23" i="23"/>
  <c r="G23" i="23"/>
  <c r="T26" i="23"/>
  <c r="G26" i="23"/>
  <c r="T27" i="23"/>
  <c r="G27" i="23"/>
  <c r="T24" i="23"/>
  <c r="G24" i="23"/>
  <c r="T25" i="23"/>
  <c r="G25" i="23"/>
  <c r="T29" i="23"/>
  <c r="G29" i="23"/>
  <c r="T31" i="23"/>
  <c r="G31" i="23"/>
  <c r="T21" i="23"/>
  <c r="G21" i="23"/>
  <c r="T30" i="23"/>
  <c r="G30" i="23"/>
  <c r="T11" i="23"/>
  <c r="G11" i="23"/>
  <c r="H18" i="32"/>
  <c r="F8" i="23"/>
  <c r="T7" i="23"/>
  <c r="G7" i="23"/>
  <c r="J92" i="28"/>
  <c r="J6" i="30"/>
  <c r="J91" i="30" s="1"/>
  <c r="S58" i="23"/>
  <c r="H68" i="30"/>
  <c r="S8" i="23"/>
  <c r="H18" i="30"/>
  <c r="S40" i="23"/>
  <c r="H50" i="30"/>
  <c r="J61" i="28"/>
  <c r="K61" i="28" s="1"/>
  <c r="K6" i="28"/>
  <c r="J11" i="28"/>
  <c r="I69" i="28"/>
  <c r="J76" i="28"/>
  <c r="J64" i="28"/>
  <c r="J68" i="28"/>
  <c r="J63" i="28"/>
  <c r="J66" i="28"/>
  <c r="J67" i="28"/>
  <c r="J62" i="28"/>
  <c r="J65" i="28"/>
  <c r="J57" i="28"/>
  <c r="J40" i="28"/>
  <c r="J37" i="28"/>
  <c r="J38" i="28"/>
  <c r="J35" i="28"/>
  <c r="J42" i="28"/>
  <c r="J32" i="28"/>
  <c r="J41" i="28"/>
  <c r="J34" i="28"/>
  <c r="J36" i="28"/>
  <c r="J39" i="28"/>
  <c r="J48" i="28"/>
  <c r="J49" i="28"/>
  <c r="J46" i="28"/>
  <c r="J45" i="28"/>
  <c r="J47" i="28"/>
  <c r="J50" i="28"/>
  <c r="J21" i="28"/>
  <c r="J17" i="28"/>
  <c r="I51" i="28"/>
  <c r="I18" i="28"/>
  <c r="L6" i="28" l="1"/>
  <c r="L6" i="30" s="1"/>
  <c r="L91" i="30" s="1"/>
  <c r="K6" i="46"/>
  <c r="K91" i="46" s="1"/>
  <c r="I68" i="46"/>
  <c r="I50" i="46"/>
  <c r="I18" i="46"/>
  <c r="X12" i="44"/>
  <c r="K6" i="32"/>
  <c r="K91" i="32" s="1"/>
  <c r="L6" i="32"/>
  <c r="L91" i="32" s="1"/>
  <c r="X7" i="44"/>
  <c r="Y8" i="44"/>
  <c r="CW86" i="44"/>
  <c r="CV85" i="44"/>
  <c r="V50" i="23"/>
  <c r="I50" i="23"/>
  <c r="U55" i="23"/>
  <c r="H55" i="23"/>
  <c r="U53" i="23"/>
  <c r="H53" i="23"/>
  <c r="U52" i="23"/>
  <c r="H52" i="23"/>
  <c r="U65" i="23"/>
  <c r="H65" i="23"/>
  <c r="U51" i="23"/>
  <c r="H51" i="23"/>
  <c r="U50" i="23"/>
  <c r="H50" i="23"/>
  <c r="I68" i="32"/>
  <c r="G58" i="23"/>
  <c r="U46" i="23"/>
  <c r="H46" i="23"/>
  <c r="U54" i="23"/>
  <c r="H54" i="23"/>
  <c r="U56" i="23"/>
  <c r="H56" i="23"/>
  <c r="U57" i="23"/>
  <c r="H57" i="23"/>
  <c r="U37" i="23"/>
  <c r="H37" i="23"/>
  <c r="U36" i="23"/>
  <c r="H36" i="23"/>
  <c r="U34" i="23"/>
  <c r="H34" i="23"/>
  <c r="U39" i="23"/>
  <c r="H39" i="23"/>
  <c r="U35" i="23"/>
  <c r="H35" i="23"/>
  <c r="I50" i="32"/>
  <c r="G40" i="23"/>
  <c r="U38" i="23"/>
  <c r="H38" i="23"/>
  <c r="U21" i="23"/>
  <c r="H21" i="23"/>
  <c r="U31" i="23"/>
  <c r="H31" i="23"/>
  <c r="U29" i="23"/>
  <c r="H29" i="23"/>
  <c r="U27" i="23"/>
  <c r="H27" i="23"/>
  <c r="U28" i="23"/>
  <c r="H28" i="23"/>
  <c r="U26" i="23"/>
  <c r="H26" i="23"/>
  <c r="U25" i="23"/>
  <c r="H25" i="23"/>
  <c r="U23" i="23"/>
  <c r="H23" i="23"/>
  <c r="U24" i="23"/>
  <c r="H24" i="23"/>
  <c r="U30" i="23"/>
  <c r="H30" i="23"/>
  <c r="U11" i="23"/>
  <c r="H11" i="23"/>
  <c r="I18" i="32"/>
  <c r="G8" i="23"/>
  <c r="U7" i="23"/>
  <c r="H7" i="23"/>
  <c r="K6" i="30"/>
  <c r="K91" i="30" s="1"/>
  <c r="T58" i="23"/>
  <c r="I68" i="30"/>
  <c r="T8" i="23"/>
  <c r="I18" i="30"/>
  <c r="T40" i="23"/>
  <c r="I50" i="30"/>
  <c r="L92" i="28"/>
  <c r="K92" i="28"/>
  <c r="L61" i="28"/>
  <c r="K46" i="28"/>
  <c r="K11" i="28"/>
  <c r="J69" i="28"/>
  <c r="K76" i="28"/>
  <c r="K68" i="28"/>
  <c r="K65" i="28"/>
  <c r="K66" i="28"/>
  <c r="K64" i="28"/>
  <c r="K62" i="28"/>
  <c r="K63" i="28"/>
  <c r="K67" i="28"/>
  <c r="K57" i="28"/>
  <c r="K35" i="28"/>
  <c r="K41" i="28"/>
  <c r="K38" i="28"/>
  <c r="K37" i="28"/>
  <c r="K34" i="28"/>
  <c r="K39" i="28"/>
  <c r="K32" i="28"/>
  <c r="K36" i="28"/>
  <c r="K42" i="28"/>
  <c r="K40" i="28"/>
  <c r="K45" i="28"/>
  <c r="J51" i="28"/>
  <c r="K50" i="28"/>
  <c r="K47" i="28"/>
  <c r="K49" i="28"/>
  <c r="K48" i="28"/>
  <c r="K21" i="28"/>
  <c r="J18" i="28"/>
  <c r="K17" i="28"/>
  <c r="M6" i="28"/>
  <c r="M6" i="46" l="1"/>
  <c r="M91" i="46" s="1"/>
  <c r="L6" i="46"/>
  <c r="L91" i="46" s="1"/>
  <c r="J68" i="46"/>
  <c r="J50" i="46"/>
  <c r="J18" i="46"/>
  <c r="Y12" i="44"/>
  <c r="M6" i="32"/>
  <c r="M91" i="32" s="1"/>
  <c r="Z8" i="44"/>
  <c r="Y7" i="44"/>
  <c r="CX86" i="44"/>
  <c r="CW85" i="44"/>
  <c r="V65" i="23"/>
  <c r="I65" i="23"/>
  <c r="V53" i="23"/>
  <c r="I53" i="23"/>
  <c r="V56" i="23"/>
  <c r="I56" i="23"/>
  <c r="V55" i="23"/>
  <c r="I55" i="23"/>
  <c r="J68" i="32"/>
  <c r="H58" i="23"/>
  <c r="V46" i="23"/>
  <c r="I46" i="23"/>
  <c r="V52" i="23"/>
  <c r="I52" i="23"/>
  <c r="V54" i="23"/>
  <c r="I54" i="23"/>
  <c r="W50" i="23"/>
  <c r="J50" i="23"/>
  <c r="V51" i="23"/>
  <c r="I51" i="23"/>
  <c r="V57" i="23"/>
  <c r="I57" i="23"/>
  <c r="J50" i="32"/>
  <c r="H40" i="23"/>
  <c r="V38" i="23"/>
  <c r="I38" i="23"/>
  <c r="V34" i="23"/>
  <c r="I34" i="23"/>
  <c r="V36" i="23"/>
  <c r="I36" i="23"/>
  <c r="V39" i="23"/>
  <c r="I39" i="23"/>
  <c r="V37" i="23"/>
  <c r="I37" i="23"/>
  <c r="V35" i="23"/>
  <c r="I35" i="23"/>
  <c r="V30" i="23"/>
  <c r="I30" i="23"/>
  <c r="V28" i="23"/>
  <c r="I28" i="23"/>
  <c r="V21" i="23"/>
  <c r="I21" i="23"/>
  <c r="V24" i="23"/>
  <c r="I24" i="23"/>
  <c r="V27" i="23"/>
  <c r="I27" i="23"/>
  <c r="V31" i="23"/>
  <c r="I31" i="23"/>
  <c r="V29" i="23"/>
  <c r="I29" i="23"/>
  <c r="V23" i="23"/>
  <c r="I23" i="23"/>
  <c r="V25" i="23"/>
  <c r="I25" i="23"/>
  <c r="V26" i="23"/>
  <c r="I26" i="23"/>
  <c r="V11" i="23"/>
  <c r="I11" i="23"/>
  <c r="J18" i="32"/>
  <c r="H8" i="23"/>
  <c r="V7" i="23"/>
  <c r="I7" i="23"/>
  <c r="U58" i="23"/>
  <c r="J68" i="30"/>
  <c r="M6" i="30"/>
  <c r="M91" i="30" s="1"/>
  <c r="U8" i="23"/>
  <c r="J18" i="30"/>
  <c r="U40" i="23"/>
  <c r="J50" i="30"/>
  <c r="M92" i="28"/>
  <c r="L46" i="28"/>
  <c r="M61" i="28"/>
  <c r="K18" i="28"/>
  <c r="L17" i="28"/>
  <c r="L11" i="28"/>
  <c r="L76" i="28"/>
  <c r="L64" i="28"/>
  <c r="L67" i="28"/>
  <c r="L66" i="28"/>
  <c r="L63" i="28"/>
  <c r="L65" i="28"/>
  <c r="L62" i="28"/>
  <c r="K69" i="28"/>
  <c r="L68" i="28"/>
  <c r="L57" i="28"/>
  <c r="L37" i="28"/>
  <c r="L32" i="28"/>
  <c r="L38" i="28"/>
  <c r="L36" i="28"/>
  <c r="L39" i="28"/>
  <c r="L41" i="28"/>
  <c r="L40" i="28"/>
  <c r="L42" i="28"/>
  <c r="L34" i="28"/>
  <c r="L35" i="28"/>
  <c r="L47" i="28"/>
  <c r="L49" i="28"/>
  <c r="L45" i="28"/>
  <c r="K51" i="28"/>
  <c r="L48" i="28"/>
  <c r="L50" i="28"/>
  <c r="L21" i="28"/>
  <c r="N6" i="28"/>
  <c r="N6" i="46" l="1"/>
  <c r="K68" i="46"/>
  <c r="K50" i="46"/>
  <c r="K18" i="46"/>
  <c r="Z12" i="44"/>
  <c r="N6" i="32"/>
  <c r="CY86" i="44"/>
  <c r="CX85" i="44"/>
  <c r="AA8" i="44"/>
  <c r="Z7" i="44"/>
  <c r="W51" i="23"/>
  <c r="J51" i="23"/>
  <c r="W56" i="23"/>
  <c r="J56" i="23"/>
  <c r="W46" i="23"/>
  <c r="J46" i="23"/>
  <c r="W54" i="23"/>
  <c r="J54" i="23"/>
  <c r="W53" i="23"/>
  <c r="J53" i="23"/>
  <c r="W55" i="23"/>
  <c r="J55" i="23"/>
  <c r="X50" i="23"/>
  <c r="K50" i="23"/>
  <c r="W57" i="23"/>
  <c r="J57" i="23"/>
  <c r="W52" i="23"/>
  <c r="J52" i="23"/>
  <c r="W65" i="23"/>
  <c r="J65" i="23"/>
  <c r="K68" i="32"/>
  <c r="I58" i="23"/>
  <c r="W38" i="23"/>
  <c r="J38" i="23"/>
  <c r="W39" i="23"/>
  <c r="J39" i="23"/>
  <c r="W37" i="23"/>
  <c r="J37" i="23"/>
  <c r="W36" i="23"/>
  <c r="J36" i="23"/>
  <c r="W35" i="23"/>
  <c r="J35" i="23"/>
  <c r="K50" i="32"/>
  <c r="I40" i="23"/>
  <c r="W34" i="23"/>
  <c r="J34" i="23"/>
  <c r="W31" i="23"/>
  <c r="J31" i="23"/>
  <c r="W27" i="23"/>
  <c r="J27" i="23"/>
  <c r="W24" i="23"/>
  <c r="J24" i="23"/>
  <c r="W30" i="23"/>
  <c r="J30" i="23"/>
  <c r="W21" i="23"/>
  <c r="J21" i="23"/>
  <c r="W25" i="23"/>
  <c r="J25" i="23"/>
  <c r="W23" i="23"/>
  <c r="J23" i="23"/>
  <c r="W28" i="23"/>
  <c r="J28" i="23"/>
  <c r="W26" i="23"/>
  <c r="J26" i="23"/>
  <c r="W29" i="23"/>
  <c r="J29" i="23"/>
  <c r="W11" i="23"/>
  <c r="J11" i="23"/>
  <c r="K18" i="32"/>
  <c r="I8" i="23"/>
  <c r="W7" i="23"/>
  <c r="J7" i="23"/>
  <c r="L18" i="28"/>
  <c r="V40" i="23"/>
  <c r="K50" i="30"/>
  <c r="V58" i="23"/>
  <c r="K68" i="30"/>
  <c r="N6" i="30"/>
  <c r="V8" i="23"/>
  <c r="K18" i="30"/>
  <c r="M46" i="28"/>
  <c r="N61" i="28"/>
  <c r="M11" i="28"/>
  <c r="M17" i="28"/>
  <c r="M76" i="28"/>
  <c r="M68" i="28"/>
  <c r="M63" i="28"/>
  <c r="M66" i="28"/>
  <c r="M62" i="28"/>
  <c r="L69" i="28"/>
  <c r="M67" i="28"/>
  <c r="M65" i="28"/>
  <c r="M64" i="28"/>
  <c r="M57" i="28"/>
  <c r="M39" i="28"/>
  <c r="M42" i="28"/>
  <c r="M40" i="28"/>
  <c r="M34" i="28"/>
  <c r="M35" i="28"/>
  <c r="M41" i="28"/>
  <c r="M32" i="28"/>
  <c r="M37" i="28"/>
  <c r="M36" i="28"/>
  <c r="M38" i="28"/>
  <c r="M49" i="28"/>
  <c r="M50" i="28"/>
  <c r="M45" i="28"/>
  <c r="L51" i="28"/>
  <c r="M48" i="28"/>
  <c r="M47" i="28"/>
  <c r="M21" i="28"/>
  <c r="O6" i="28"/>
  <c r="O6" i="46" l="1"/>
  <c r="L68" i="46"/>
  <c r="L50" i="46"/>
  <c r="L18" i="46"/>
  <c r="AA12" i="44"/>
  <c r="O6" i="32"/>
  <c r="L18" i="30"/>
  <c r="W8" i="23"/>
  <c r="CZ86" i="44"/>
  <c r="CY85" i="44"/>
  <c r="AB8" i="44"/>
  <c r="AA7" i="44"/>
  <c r="X55" i="23"/>
  <c r="K55" i="23"/>
  <c r="X56" i="23"/>
  <c r="K56" i="23"/>
  <c r="X52" i="23"/>
  <c r="K52" i="23"/>
  <c r="Y50" i="23"/>
  <c r="L50" i="23"/>
  <c r="X57" i="23"/>
  <c r="K57" i="23"/>
  <c r="X54" i="23"/>
  <c r="K54" i="23"/>
  <c r="X51" i="23"/>
  <c r="K51" i="23"/>
  <c r="L68" i="32"/>
  <c r="J58" i="23"/>
  <c r="X46" i="23"/>
  <c r="K46" i="23"/>
  <c r="X53" i="23"/>
  <c r="K53" i="23"/>
  <c r="X65" i="23"/>
  <c r="K65" i="23"/>
  <c r="X36" i="23"/>
  <c r="K36" i="23"/>
  <c r="X35" i="23"/>
  <c r="K35" i="23"/>
  <c r="X38" i="23"/>
  <c r="K38" i="23"/>
  <c r="X39" i="23"/>
  <c r="K39" i="23"/>
  <c r="L50" i="32"/>
  <c r="J40" i="23"/>
  <c r="X37" i="23"/>
  <c r="K37" i="23"/>
  <c r="X34" i="23"/>
  <c r="K34" i="23"/>
  <c r="X26" i="23"/>
  <c r="K26" i="23"/>
  <c r="X27" i="23"/>
  <c r="K27" i="23"/>
  <c r="X30" i="23"/>
  <c r="K30" i="23"/>
  <c r="X31" i="23"/>
  <c r="K31" i="23"/>
  <c r="X23" i="23"/>
  <c r="K23" i="23"/>
  <c r="X29" i="23"/>
  <c r="K29" i="23"/>
  <c r="X25" i="23"/>
  <c r="K25" i="23"/>
  <c r="X24" i="23"/>
  <c r="K24" i="23"/>
  <c r="X28" i="23"/>
  <c r="K28" i="23"/>
  <c r="X21" i="23"/>
  <c r="K21" i="23"/>
  <c r="X11" i="23"/>
  <c r="K11" i="23"/>
  <c r="X7" i="23"/>
  <c r="K7" i="23"/>
  <c r="L18" i="32"/>
  <c r="J8" i="23"/>
  <c r="W58" i="23"/>
  <c r="L68" i="30"/>
  <c r="W40" i="23"/>
  <c r="L50" i="30"/>
  <c r="O6" i="30"/>
  <c r="O61" i="28"/>
  <c r="N46" i="28"/>
  <c r="M18" i="28"/>
  <c r="N17" i="28"/>
  <c r="N11" i="28"/>
  <c r="N76" i="28"/>
  <c r="N67" i="28"/>
  <c r="N65" i="28"/>
  <c r="N63" i="28"/>
  <c r="N62" i="28"/>
  <c r="M69" i="28"/>
  <c r="N66" i="28"/>
  <c r="N64" i="28"/>
  <c r="N68" i="28"/>
  <c r="N57" i="28"/>
  <c r="N36" i="28"/>
  <c r="N34" i="28"/>
  <c r="N40" i="28"/>
  <c r="N35" i="28"/>
  <c r="N37" i="28"/>
  <c r="N38" i="28"/>
  <c r="N41" i="28"/>
  <c r="N42" i="28"/>
  <c r="N32" i="28"/>
  <c r="N39" i="28"/>
  <c r="N45" i="28"/>
  <c r="N50" i="28"/>
  <c r="M51" i="28"/>
  <c r="N47" i="28"/>
  <c r="N48" i="28"/>
  <c r="N49" i="28"/>
  <c r="N21" i="28"/>
  <c r="M68" i="46" l="1"/>
  <c r="M50" i="46"/>
  <c r="M18" i="46"/>
  <c r="AB12" i="44"/>
  <c r="DA86" i="44"/>
  <c r="CZ85" i="44"/>
  <c r="AC8" i="44"/>
  <c r="AB7" i="44"/>
  <c r="M68" i="32"/>
  <c r="K58" i="23"/>
  <c r="Y56" i="23"/>
  <c r="L56" i="23"/>
  <c r="Y46" i="23"/>
  <c r="L46" i="23"/>
  <c r="Z50" i="23"/>
  <c r="M50" i="23"/>
  <c r="Y65" i="23"/>
  <c r="L65" i="23"/>
  <c r="Y53" i="23"/>
  <c r="L53" i="23"/>
  <c r="Y51" i="23"/>
  <c r="L51" i="23"/>
  <c r="Y57" i="23"/>
  <c r="L57" i="23"/>
  <c r="Y52" i="23"/>
  <c r="L52" i="23"/>
  <c r="Y55" i="23"/>
  <c r="L55" i="23"/>
  <c r="Y54" i="23"/>
  <c r="L54" i="23"/>
  <c r="Y34" i="23"/>
  <c r="L34" i="23"/>
  <c r="Y37" i="23"/>
  <c r="L37" i="23"/>
  <c r="Y36" i="23"/>
  <c r="L36" i="23"/>
  <c r="M50" i="32"/>
  <c r="K40" i="23"/>
  <c r="Y39" i="23"/>
  <c r="L39" i="23"/>
  <c r="Y35" i="23"/>
  <c r="L35" i="23"/>
  <c r="Y38" i="23"/>
  <c r="L38" i="23"/>
  <c r="Y23" i="23"/>
  <c r="L23" i="23"/>
  <c r="Y25" i="23"/>
  <c r="L25" i="23"/>
  <c r="Y28" i="23"/>
  <c r="L28" i="23"/>
  <c r="Y21" i="23"/>
  <c r="L21" i="23"/>
  <c r="Y24" i="23"/>
  <c r="L24" i="23"/>
  <c r="Y27" i="23"/>
  <c r="L27" i="23"/>
  <c r="Y26" i="23"/>
  <c r="L26" i="23"/>
  <c r="Y31" i="23"/>
  <c r="L31" i="23"/>
  <c r="Y30" i="23"/>
  <c r="L30" i="23"/>
  <c r="Y29" i="23"/>
  <c r="L29" i="23"/>
  <c r="Y11" i="23"/>
  <c r="L11" i="23"/>
  <c r="Y7" i="23"/>
  <c r="L7" i="23"/>
  <c r="M18" i="32"/>
  <c r="K8" i="23"/>
  <c r="X40" i="23"/>
  <c r="M50" i="30"/>
  <c r="X58" i="23"/>
  <c r="M68" i="30"/>
  <c r="X8" i="23"/>
  <c r="M18" i="30"/>
  <c r="O17" i="28"/>
  <c r="O46" i="28"/>
  <c r="N18" i="28"/>
  <c r="O11" i="28"/>
  <c r="N51" i="28"/>
  <c r="O76" i="28"/>
  <c r="O65" i="28"/>
  <c r="O62" i="28"/>
  <c r="N69" i="28"/>
  <c r="O66" i="28"/>
  <c r="O68" i="28"/>
  <c r="O63" i="28"/>
  <c r="O64" i="28"/>
  <c r="O67" i="28"/>
  <c r="O57" i="28"/>
  <c r="O32" i="28"/>
  <c r="O42" i="28"/>
  <c r="O35" i="28"/>
  <c r="O41" i="28"/>
  <c r="O40" i="28"/>
  <c r="O39" i="28"/>
  <c r="O38" i="28"/>
  <c r="O34" i="28"/>
  <c r="O37" i="28"/>
  <c r="O36" i="28"/>
  <c r="O47" i="28"/>
  <c r="O49" i="28"/>
  <c r="O50" i="28"/>
  <c r="O48" i="28"/>
  <c r="O45" i="28"/>
  <c r="O21" i="28"/>
  <c r="N68" i="46" l="1"/>
  <c r="N50" i="46"/>
  <c r="N18" i="46"/>
  <c r="AC12" i="44"/>
  <c r="DB86" i="44"/>
  <c r="DA85" i="44"/>
  <c r="AD8" i="44"/>
  <c r="AC7" i="44"/>
  <c r="Z65" i="23"/>
  <c r="M65" i="23"/>
  <c r="Z55" i="23"/>
  <c r="M55" i="23"/>
  <c r="Z56" i="23"/>
  <c r="M56" i="23"/>
  <c r="Z53" i="23"/>
  <c r="M53" i="23"/>
  <c r="N68" i="32"/>
  <c r="L58" i="23"/>
  <c r="Z52" i="23"/>
  <c r="M52" i="23"/>
  <c r="Z51" i="23"/>
  <c r="M51" i="23"/>
  <c r="Z57" i="23"/>
  <c r="M57" i="23"/>
  <c r="Z46" i="23"/>
  <c r="M46" i="23"/>
  <c r="Z54" i="23"/>
  <c r="M54" i="23"/>
  <c r="N50" i="32"/>
  <c r="L40" i="23"/>
  <c r="Z39" i="23"/>
  <c r="M39" i="23"/>
  <c r="Z38" i="23"/>
  <c r="M38" i="23"/>
  <c r="Z35" i="23"/>
  <c r="M35" i="23"/>
  <c r="Z37" i="23"/>
  <c r="M37" i="23"/>
  <c r="Z34" i="23"/>
  <c r="M34" i="23"/>
  <c r="Z36" i="23"/>
  <c r="M36" i="23"/>
  <c r="Z21" i="23"/>
  <c r="M21" i="23"/>
  <c r="Z23" i="23"/>
  <c r="M23" i="23"/>
  <c r="Z29" i="23"/>
  <c r="M29" i="23"/>
  <c r="Z27" i="23"/>
  <c r="M27" i="23"/>
  <c r="Z24" i="23"/>
  <c r="M24" i="23"/>
  <c r="Z26" i="23"/>
  <c r="M26" i="23"/>
  <c r="Z30" i="23"/>
  <c r="M30" i="23"/>
  <c r="Z25" i="23"/>
  <c r="M25" i="23"/>
  <c r="Z28" i="23"/>
  <c r="M28" i="23"/>
  <c r="Z31" i="23"/>
  <c r="M31" i="23"/>
  <c r="Z11" i="23"/>
  <c r="M11" i="23"/>
  <c r="N18" i="32"/>
  <c r="L8" i="23"/>
  <c r="Z7" i="23"/>
  <c r="M7" i="23"/>
  <c r="Y58" i="23"/>
  <c r="N68" i="30"/>
  <c r="Y40" i="23"/>
  <c r="N50" i="30"/>
  <c r="Y8" i="23"/>
  <c r="N18" i="30"/>
  <c r="O18" i="28"/>
  <c r="O69" i="28"/>
  <c r="O51" i="28"/>
  <c r="N4" i="2"/>
  <c r="N3" i="2"/>
  <c r="D44" i="1"/>
  <c r="O68" i="46" l="1"/>
  <c r="O50" i="46"/>
  <c r="O18" i="46"/>
  <c r="AD12" i="44"/>
  <c r="AE8" i="44"/>
  <c r="AD7" i="44"/>
  <c r="DC86" i="44"/>
  <c r="DB85" i="44"/>
  <c r="O68" i="32"/>
  <c r="M58" i="23"/>
  <c r="O50" i="32"/>
  <c r="M40" i="23"/>
  <c r="O18" i="32"/>
  <c r="M8" i="23"/>
  <c r="Z8" i="23"/>
  <c r="O18" i="30"/>
  <c r="Z58" i="23"/>
  <c r="O68" i="30"/>
  <c r="Z40" i="23"/>
  <c r="O50" i="30"/>
  <c r="AE12" i="44" l="1"/>
  <c r="AE7" i="44"/>
  <c r="AF8" i="44"/>
  <c r="DD86" i="44"/>
  <c r="DC85" i="44"/>
  <c r="O33" i="18"/>
  <c r="M33" i="18"/>
  <c r="K33" i="18"/>
  <c r="I27" i="1"/>
  <c r="I26" i="1" l="1"/>
  <c r="K10" i="18"/>
  <c r="AF12" i="44"/>
  <c r="DE86" i="44"/>
  <c r="DD85" i="44"/>
  <c r="AF7" i="44"/>
  <c r="AG8" i="44"/>
  <c r="D5" i="18"/>
  <c r="E21" i="1"/>
  <c r="I31" i="1" l="1"/>
  <c r="AG12" i="44"/>
  <c r="AH8" i="44"/>
  <c r="AG7" i="44"/>
  <c r="DF86" i="44"/>
  <c r="DE85" i="44"/>
  <c r="G36" i="18"/>
  <c r="O36" i="18"/>
  <c r="M36" i="18"/>
  <c r="F36" i="18"/>
  <c r="K36" i="18"/>
  <c r="G33" i="18"/>
  <c r="C5" i="18"/>
  <c r="I22" i="1" s="1"/>
  <c r="J22" i="1" s="1"/>
  <c r="J21" i="1" s="1"/>
  <c r="J34" i="1" l="1"/>
  <c r="J39" i="1"/>
  <c r="J37" i="1"/>
  <c r="J36" i="1"/>
  <c r="J38" i="1"/>
  <c r="J35" i="1"/>
  <c r="J29" i="1"/>
  <c r="J30" i="1"/>
  <c r="J27" i="1"/>
  <c r="J28" i="1"/>
  <c r="J26" i="1"/>
  <c r="AH12" i="44"/>
  <c r="DG86" i="44"/>
  <c r="DF85" i="44"/>
  <c r="AH7" i="44"/>
  <c r="AI8" i="44"/>
  <c r="J31" i="1" l="1"/>
  <c r="J40" i="1"/>
  <c r="AI12" i="44"/>
  <c r="DH86" i="44"/>
  <c r="DG85" i="44"/>
  <c r="AJ8" i="44"/>
  <c r="AI7" i="44"/>
  <c r="G7" i="19"/>
  <c r="F7" i="19"/>
  <c r="AH7" i="19" s="1"/>
  <c r="AJ12" i="44" l="1"/>
  <c r="DI86" i="44"/>
  <c r="DH85" i="44"/>
  <c r="AJ7" i="44"/>
  <c r="AK8" i="44"/>
  <c r="T7" i="19"/>
  <c r="AA7" i="19"/>
  <c r="H7" i="19"/>
  <c r="G30" i="19"/>
  <c r="G53" i="19" s="1"/>
  <c r="F30" i="19"/>
  <c r="F53" i="19" l="1"/>
  <c r="H53" i="19" s="1"/>
  <c r="T30" i="19"/>
  <c r="AH30" i="19"/>
  <c r="AA30" i="19"/>
  <c r="G76" i="19"/>
  <c r="AK12" i="44"/>
  <c r="DJ86" i="44"/>
  <c r="DI85" i="44"/>
  <c r="AL8" i="44"/>
  <c r="AK7" i="44"/>
  <c r="H30" i="19"/>
  <c r="F76" i="19" l="1"/>
  <c r="H76" i="19" s="1"/>
  <c r="AH53" i="19"/>
  <c r="T53" i="19"/>
  <c r="AA53" i="19"/>
  <c r="G99" i="19"/>
  <c r="AL12" i="44"/>
  <c r="DK86" i="44"/>
  <c r="DJ85" i="44"/>
  <c r="AM8" i="44"/>
  <c r="AL7" i="44"/>
  <c r="AA76" i="19" l="1"/>
  <c r="F99" i="19"/>
  <c r="H99" i="19" s="1"/>
  <c r="AH76" i="19"/>
  <c r="T76" i="19"/>
  <c r="G122" i="19"/>
  <c r="AM12" i="44"/>
  <c r="AM7" i="44"/>
  <c r="AN8" i="44"/>
  <c r="DL86" i="44"/>
  <c r="DK85" i="44"/>
  <c r="G145" i="19" l="1"/>
  <c r="AH99" i="19"/>
  <c r="F122" i="19"/>
  <c r="AA99" i="19"/>
  <c r="T99" i="19"/>
  <c r="AN12" i="44"/>
  <c r="DM86" i="44"/>
  <c r="DL85" i="44"/>
  <c r="AN7" i="44"/>
  <c r="AO8" i="44"/>
  <c r="AH122" i="19" l="1"/>
  <c r="AA122" i="19"/>
  <c r="F145" i="19"/>
  <c r="T122" i="19"/>
  <c r="H122" i="19"/>
  <c r="G168" i="19"/>
  <c r="AO12" i="44"/>
  <c r="AP8" i="44"/>
  <c r="AO7" i="44"/>
  <c r="DN86" i="44"/>
  <c r="DM85" i="44"/>
  <c r="F168" i="19" l="1"/>
  <c r="H168" i="19" s="1"/>
  <c r="T145" i="19"/>
  <c r="AH145" i="19"/>
  <c r="AA145" i="19"/>
  <c r="H145" i="19"/>
  <c r="G191" i="19"/>
  <c r="AP12" i="44"/>
  <c r="AQ8" i="44"/>
  <c r="AP7" i="44"/>
  <c r="DO86" i="44"/>
  <c r="DN85" i="44"/>
  <c r="I12" i="19"/>
  <c r="I35" i="19" s="1"/>
  <c r="I58" i="19" s="1"/>
  <c r="G12" i="19"/>
  <c r="F12" i="19"/>
  <c r="AH12" i="19" s="1"/>
  <c r="E12" i="19"/>
  <c r="AG12" i="19" s="1"/>
  <c r="C12" i="19"/>
  <c r="AE12" i="19" s="1"/>
  <c r="B12" i="19"/>
  <c r="AD12" i="19" s="1"/>
  <c r="I11" i="19"/>
  <c r="I34" i="19" s="1"/>
  <c r="I57" i="19" s="1"/>
  <c r="G11" i="19"/>
  <c r="F11" i="19"/>
  <c r="AH11" i="19" s="1"/>
  <c r="E11" i="19"/>
  <c r="AG11" i="19" s="1"/>
  <c r="C11" i="19"/>
  <c r="AE11" i="19" s="1"/>
  <c r="B11" i="19"/>
  <c r="AD11" i="19" s="1"/>
  <c r="I10" i="19"/>
  <c r="I33" i="19" s="1"/>
  <c r="I56" i="19" s="1"/>
  <c r="G10" i="19"/>
  <c r="F10" i="19"/>
  <c r="AH10" i="19" s="1"/>
  <c r="E10" i="19"/>
  <c r="AG10" i="19" s="1"/>
  <c r="C10" i="19"/>
  <c r="AE10" i="19" s="1"/>
  <c r="B10" i="19"/>
  <c r="AD10" i="19" s="1"/>
  <c r="I9" i="19"/>
  <c r="I32" i="19" s="1"/>
  <c r="I55" i="19" s="1"/>
  <c r="G9" i="19"/>
  <c r="F9" i="19"/>
  <c r="AH9" i="19" s="1"/>
  <c r="E9" i="19"/>
  <c r="AG9" i="19" s="1"/>
  <c r="C9" i="19"/>
  <c r="AE9" i="19" s="1"/>
  <c r="B9" i="19"/>
  <c r="AD9" i="19" s="1"/>
  <c r="I8" i="19"/>
  <c r="G8" i="19"/>
  <c r="F8" i="19"/>
  <c r="AH8" i="19" s="1"/>
  <c r="E8" i="19"/>
  <c r="AG8" i="19" s="1"/>
  <c r="C8" i="19"/>
  <c r="AE8" i="19" s="1"/>
  <c r="B8" i="19"/>
  <c r="AD8" i="19" s="1"/>
  <c r="I7" i="19"/>
  <c r="E7" i="19"/>
  <c r="AG7" i="19" s="1"/>
  <c r="C7" i="19"/>
  <c r="AE7" i="19" s="1"/>
  <c r="B7" i="19"/>
  <c r="AD7" i="19" s="1"/>
  <c r="I78" i="19" l="1"/>
  <c r="I81" i="19"/>
  <c r="T168" i="19"/>
  <c r="AH168" i="19"/>
  <c r="F191" i="19"/>
  <c r="H191" i="19" s="1"/>
  <c r="AA168" i="19"/>
  <c r="I79" i="19"/>
  <c r="I80" i="19"/>
  <c r="I103" i="19" s="1"/>
  <c r="G214" i="19"/>
  <c r="AQ12" i="44"/>
  <c r="AR8" i="44"/>
  <c r="AQ7" i="44"/>
  <c r="DP86" i="44"/>
  <c r="DO85" i="44"/>
  <c r="W10" i="19"/>
  <c r="P10" i="19"/>
  <c r="AA11" i="19"/>
  <c r="T11" i="19"/>
  <c r="P7" i="19"/>
  <c r="W7" i="19"/>
  <c r="W9" i="19"/>
  <c r="P9" i="19"/>
  <c r="C30" i="19"/>
  <c r="X7" i="19"/>
  <c r="Q7" i="19"/>
  <c r="E33" i="19"/>
  <c r="S10" i="19"/>
  <c r="Z10" i="19"/>
  <c r="T10" i="19"/>
  <c r="AA10" i="19"/>
  <c r="P8" i="19"/>
  <c r="W8" i="19"/>
  <c r="E32" i="19"/>
  <c r="Z9" i="19"/>
  <c r="S9" i="19"/>
  <c r="W12" i="19"/>
  <c r="P12" i="19"/>
  <c r="E34" i="19"/>
  <c r="Z11" i="19"/>
  <c r="S11" i="19"/>
  <c r="C33" i="19"/>
  <c r="Q10" i="19"/>
  <c r="X10" i="19"/>
  <c r="S7" i="19"/>
  <c r="Z7" i="19"/>
  <c r="C32" i="19"/>
  <c r="X9" i="19"/>
  <c r="Q9" i="19"/>
  <c r="C35" i="19"/>
  <c r="X12" i="19"/>
  <c r="Q12" i="19"/>
  <c r="E31" i="19"/>
  <c r="Z8" i="19"/>
  <c r="S8" i="19"/>
  <c r="P11" i="19"/>
  <c r="W11" i="19"/>
  <c r="E35" i="19"/>
  <c r="S12" i="19"/>
  <c r="Z12" i="19"/>
  <c r="C31" i="19"/>
  <c r="Q8" i="19"/>
  <c r="X8" i="19"/>
  <c r="T9" i="19"/>
  <c r="AA9" i="19"/>
  <c r="AA8" i="19"/>
  <c r="T8" i="19"/>
  <c r="C34" i="19"/>
  <c r="X11" i="19"/>
  <c r="Q11" i="19"/>
  <c r="T12" i="19"/>
  <c r="AA12" i="19"/>
  <c r="H36" i="18"/>
  <c r="P36" i="18"/>
  <c r="N33" i="18"/>
  <c r="N36" i="18"/>
  <c r="I33" i="18"/>
  <c r="B35" i="19"/>
  <c r="B34" i="19"/>
  <c r="B31" i="19"/>
  <c r="B30" i="19"/>
  <c r="B33" i="19"/>
  <c r="B32" i="19"/>
  <c r="H9" i="19"/>
  <c r="H8" i="19"/>
  <c r="H12" i="19"/>
  <c r="H10" i="19"/>
  <c r="H11" i="19"/>
  <c r="G33" i="19"/>
  <c r="G56" i="19" s="1"/>
  <c r="G32" i="19"/>
  <c r="G55" i="19" s="1"/>
  <c r="G31" i="19"/>
  <c r="G54" i="19" s="1"/>
  <c r="G35" i="19"/>
  <c r="G58" i="19" s="1"/>
  <c r="G34" i="19"/>
  <c r="G57" i="19" s="1"/>
  <c r="F31" i="19"/>
  <c r="I30" i="19"/>
  <c r="E30" i="19"/>
  <c r="D12" i="19"/>
  <c r="AF12" i="19" s="1"/>
  <c r="D10" i="19"/>
  <c r="AF10" i="19" s="1"/>
  <c r="F34" i="19"/>
  <c r="I31" i="19"/>
  <c r="I54" i="19" s="1"/>
  <c r="F32" i="19"/>
  <c r="F33" i="19"/>
  <c r="F35" i="19"/>
  <c r="J7" i="19"/>
  <c r="J11" i="19"/>
  <c r="J8" i="19"/>
  <c r="J12" i="19"/>
  <c r="J9" i="19"/>
  <c r="J10" i="19"/>
  <c r="D11" i="19"/>
  <c r="AF11" i="19" s="1"/>
  <c r="D7" i="19"/>
  <c r="AF7" i="19" s="1"/>
  <c r="E51" i="1"/>
  <c r="E32" i="1"/>
  <c r="E53" i="19" l="1"/>
  <c r="S30" i="19"/>
  <c r="AG30" i="19"/>
  <c r="Z30" i="19"/>
  <c r="B54" i="19"/>
  <c r="AD31" i="19"/>
  <c r="P31" i="19"/>
  <c r="W31" i="19"/>
  <c r="C53" i="19"/>
  <c r="AE30" i="19"/>
  <c r="Q30" i="19"/>
  <c r="X30" i="19"/>
  <c r="I102" i="19"/>
  <c r="P34" i="19"/>
  <c r="B57" i="19"/>
  <c r="AD34" i="19"/>
  <c r="W34" i="19"/>
  <c r="C55" i="19"/>
  <c r="Q32" i="19"/>
  <c r="AE32" i="19"/>
  <c r="X32" i="19"/>
  <c r="S34" i="19"/>
  <c r="E57" i="19"/>
  <c r="AG34" i="19"/>
  <c r="Z34" i="19"/>
  <c r="I53" i="19"/>
  <c r="G80" i="19"/>
  <c r="AE31" i="19"/>
  <c r="C54" i="19"/>
  <c r="Q31" i="19"/>
  <c r="X31" i="19"/>
  <c r="E54" i="19"/>
  <c r="S31" i="19"/>
  <c r="Z31" i="19"/>
  <c r="AG31" i="19"/>
  <c r="F214" i="19"/>
  <c r="AH191" i="19"/>
  <c r="T191" i="19"/>
  <c r="AA191" i="19"/>
  <c r="I104" i="19"/>
  <c r="G79" i="19"/>
  <c r="T35" i="19"/>
  <c r="AA35" i="19"/>
  <c r="F58" i="19"/>
  <c r="H58" i="19" s="1"/>
  <c r="AH35" i="19"/>
  <c r="F56" i="19"/>
  <c r="AA33" i="19"/>
  <c r="AH33" i="19"/>
  <c r="T33" i="19"/>
  <c r="I77" i="19"/>
  <c r="I100" i="19" s="1"/>
  <c r="G81" i="19"/>
  <c r="C57" i="19"/>
  <c r="X34" i="19"/>
  <c r="AE34" i="19"/>
  <c r="Q34" i="19"/>
  <c r="I126" i="19"/>
  <c r="I101" i="19"/>
  <c r="B58" i="19"/>
  <c r="AD35" i="19"/>
  <c r="P35" i="19"/>
  <c r="W35" i="19"/>
  <c r="F55" i="19"/>
  <c r="H55" i="19" s="1"/>
  <c r="AA32" i="19"/>
  <c r="AH32" i="19"/>
  <c r="T32" i="19"/>
  <c r="AH34" i="19"/>
  <c r="T34" i="19"/>
  <c r="F57" i="19"/>
  <c r="H57" i="19" s="1"/>
  <c r="AA34" i="19"/>
  <c r="G77" i="19"/>
  <c r="W32" i="19"/>
  <c r="AD32" i="19"/>
  <c r="B55" i="19"/>
  <c r="P32" i="19"/>
  <c r="S33" i="19"/>
  <c r="E56" i="19"/>
  <c r="AG33" i="19"/>
  <c r="Z33" i="19"/>
  <c r="E118" i="46"/>
  <c r="E119" i="46" s="1"/>
  <c r="E168" i="46"/>
  <c r="E169" i="46" s="1"/>
  <c r="E143" i="46"/>
  <c r="E144" i="46" s="1"/>
  <c r="B53" i="19"/>
  <c r="W30" i="19"/>
  <c r="AD30" i="19"/>
  <c r="P30" i="19"/>
  <c r="F54" i="19"/>
  <c r="AA31" i="19"/>
  <c r="AH31" i="19"/>
  <c r="T31" i="19"/>
  <c r="G78" i="19"/>
  <c r="AD33" i="19"/>
  <c r="P33" i="19"/>
  <c r="B56" i="19"/>
  <c r="W33" i="19"/>
  <c r="S35" i="19"/>
  <c r="Z35" i="19"/>
  <c r="E58" i="19"/>
  <c r="AG35" i="19"/>
  <c r="AE35" i="19"/>
  <c r="Q35" i="19"/>
  <c r="C58" i="19"/>
  <c r="X35" i="19"/>
  <c r="C56" i="19"/>
  <c r="X33" i="19"/>
  <c r="AE33" i="19"/>
  <c r="Q33" i="19"/>
  <c r="AG32" i="19"/>
  <c r="E55" i="19"/>
  <c r="S32" i="19"/>
  <c r="Z32" i="19"/>
  <c r="E118" i="32"/>
  <c r="E119" i="32" s="1"/>
  <c r="F11" i="44" s="1"/>
  <c r="AR12" i="44"/>
  <c r="DQ86" i="44"/>
  <c r="DP85" i="44"/>
  <c r="AS8" i="44"/>
  <c r="AR7" i="44"/>
  <c r="E143" i="32"/>
  <c r="E144" i="32" s="1"/>
  <c r="E168" i="32"/>
  <c r="E169" i="32" s="1"/>
  <c r="E143" i="30"/>
  <c r="E144" i="30" s="1"/>
  <c r="E168" i="30"/>
  <c r="E169" i="30" s="1"/>
  <c r="E118" i="30"/>
  <c r="E119" i="30" s="1"/>
  <c r="E144" i="28"/>
  <c r="E145" i="28" s="1"/>
  <c r="E169" i="28"/>
  <c r="E170" i="28" s="1"/>
  <c r="E119" i="28"/>
  <c r="E120" i="28" s="1"/>
  <c r="R7" i="19"/>
  <c r="Y7" i="19"/>
  <c r="R10" i="19"/>
  <c r="Y10" i="19"/>
  <c r="AB10" i="19" s="1"/>
  <c r="R11" i="19"/>
  <c r="Y11" i="19"/>
  <c r="AB11" i="19" s="1"/>
  <c r="R12" i="19"/>
  <c r="Y12" i="19"/>
  <c r="AB12" i="19" s="1"/>
  <c r="J36" i="18"/>
  <c r="J33" i="18"/>
  <c r="P4" i="18" s="1"/>
  <c r="E35" i="1"/>
  <c r="I15" i="1"/>
  <c r="J32" i="19"/>
  <c r="J31" i="19"/>
  <c r="J30" i="19"/>
  <c r="J35" i="19"/>
  <c r="J33" i="19"/>
  <c r="J34" i="19"/>
  <c r="H35" i="19"/>
  <c r="H32" i="19"/>
  <c r="H34" i="19"/>
  <c r="H31" i="19"/>
  <c r="H33" i="19"/>
  <c r="D33" i="19"/>
  <c r="H34" i="18"/>
  <c r="G34" i="18"/>
  <c r="I34" i="18"/>
  <c r="L9" i="19"/>
  <c r="D9" i="19"/>
  <c r="AF9" i="19" s="1"/>
  <c r="M10" i="19"/>
  <c r="C4" i="18"/>
  <c r="I21" i="1" s="1"/>
  <c r="D35" i="19"/>
  <c r="D34" i="19"/>
  <c r="L11" i="19"/>
  <c r="M11" i="19"/>
  <c r="L8" i="19"/>
  <c r="M8" i="19"/>
  <c r="D8" i="19"/>
  <c r="AF8" i="19" s="1"/>
  <c r="D30" i="19"/>
  <c r="AG26" i="19" l="1"/>
  <c r="AH26" i="19"/>
  <c r="D57" i="19"/>
  <c r="Y34" i="19"/>
  <c r="AB34" i="19" s="1"/>
  <c r="AF34" i="19"/>
  <c r="R34" i="19"/>
  <c r="Q58" i="19"/>
  <c r="C81" i="19"/>
  <c r="X58" i="19"/>
  <c r="AE58" i="19"/>
  <c r="B81" i="19"/>
  <c r="P58" i="19"/>
  <c r="W58" i="19"/>
  <c r="AD58" i="19"/>
  <c r="AE57" i="19"/>
  <c r="C80" i="19"/>
  <c r="Q57" i="19"/>
  <c r="X57" i="19"/>
  <c r="Q54" i="19"/>
  <c r="X54" i="19"/>
  <c r="AE54" i="19"/>
  <c r="C77" i="19"/>
  <c r="E80" i="19"/>
  <c r="Z57" i="19"/>
  <c r="AG57" i="19"/>
  <c r="S57" i="19"/>
  <c r="B80" i="19"/>
  <c r="P57" i="19"/>
  <c r="W57" i="19"/>
  <c r="AD57" i="19"/>
  <c r="AF30" i="19"/>
  <c r="D53" i="19"/>
  <c r="R30" i="19"/>
  <c r="Y30" i="19"/>
  <c r="F77" i="19"/>
  <c r="H77" i="19" s="1"/>
  <c r="AA54" i="19"/>
  <c r="AH54" i="19"/>
  <c r="T54" i="19"/>
  <c r="G103" i="19"/>
  <c r="AF35" i="19"/>
  <c r="R35" i="19"/>
  <c r="Y35" i="19"/>
  <c r="AB35" i="19" s="1"/>
  <c r="D58" i="19"/>
  <c r="R33" i="19"/>
  <c r="D56" i="19"/>
  <c r="Y33" i="19"/>
  <c r="AB33" i="19" s="1"/>
  <c r="AF33" i="19"/>
  <c r="E78" i="19"/>
  <c r="Z55" i="19"/>
  <c r="AG55" i="19"/>
  <c r="S55" i="19"/>
  <c r="B79" i="19"/>
  <c r="P56" i="19"/>
  <c r="AD56" i="19"/>
  <c r="W56" i="19"/>
  <c r="I124" i="19"/>
  <c r="F79" i="19"/>
  <c r="H79" i="19" s="1"/>
  <c r="T56" i="19"/>
  <c r="AH56" i="19"/>
  <c r="AA56" i="19"/>
  <c r="J56" i="19"/>
  <c r="I127" i="19"/>
  <c r="I76" i="19"/>
  <c r="J53" i="19"/>
  <c r="I125" i="19"/>
  <c r="M33" i="19"/>
  <c r="U10" i="19"/>
  <c r="AI10" i="19" s="1"/>
  <c r="AF26" i="19"/>
  <c r="H54" i="19"/>
  <c r="I149" i="19"/>
  <c r="G104" i="19"/>
  <c r="G127" i="19" s="1"/>
  <c r="F81" i="19"/>
  <c r="H81" i="19" s="1"/>
  <c r="AA58" i="19"/>
  <c r="AH58" i="19"/>
  <c r="T58" i="19"/>
  <c r="J58" i="19"/>
  <c r="P54" i="19"/>
  <c r="B77" i="19"/>
  <c r="AD54" i="19"/>
  <c r="W54" i="19"/>
  <c r="S56" i="19"/>
  <c r="E79" i="19"/>
  <c r="AG56" i="19"/>
  <c r="Z56" i="19"/>
  <c r="E81" i="19"/>
  <c r="Z58" i="19"/>
  <c r="AG58" i="19"/>
  <c r="S58" i="19"/>
  <c r="G101" i="19"/>
  <c r="G100" i="19"/>
  <c r="F78" i="19"/>
  <c r="H78" i="19" s="1"/>
  <c r="AA55" i="19"/>
  <c r="AH55" i="19"/>
  <c r="T55" i="19"/>
  <c r="J55" i="19"/>
  <c r="J54" i="19"/>
  <c r="I123" i="19"/>
  <c r="E77" i="19"/>
  <c r="Z54" i="19"/>
  <c r="AG54" i="19"/>
  <c r="S54" i="19"/>
  <c r="Q55" i="19"/>
  <c r="C78" i="19"/>
  <c r="X55" i="19"/>
  <c r="AE55" i="19"/>
  <c r="M34" i="19"/>
  <c r="U11" i="19"/>
  <c r="AI11" i="19" s="1"/>
  <c r="C79" i="19"/>
  <c r="Q56" i="19"/>
  <c r="AE56" i="19"/>
  <c r="X56" i="19"/>
  <c r="AH57" i="19"/>
  <c r="T57" i="19"/>
  <c r="F80" i="19"/>
  <c r="H80" i="19" s="1"/>
  <c r="AA57" i="19"/>
  <c r="J57" i="19"/>
  <c r="H56" i="19"/>
  <c r="AH214" i="19"/>
  <c r="AA214" i="19"/>
  <c r="T214" i="19"/>
  <c r="H214" i="19"/>
  <c r="M31" i="19"/>
  <c r="AB7" i="19"/>
  <c r="B76" i="19"/>
  <c r="W53" i="19"/>
  <c r="AD53" i="19"/>
  <c r="P53" i="19"/>
  <c r="B78" i="19"/>
  <c r="AD55" i="19"/>
  <c r="P55" i="19"/>
  <c r="W55" i="19"/>
  <c r="G102" i="19"/>
  <c r="C76" i="19"/>
  <c r="Q53" i="19"/>
  <c r="X53" i="19"/>
  <c r="AE53" i="19"/>
  <c r="E76" i="19"/>
  <c r="AG53" i="19"/>
  <c r="S53" i="19"/>
  <c r="Z53" i="19"/>
  <c r="D26" i="19"/>
  <c r="G26" i="19"/>
  <c r="I26" i="19"/>
  <c r="E26" i="19"/>
  <c r="F26" i="19"/>
  <c r="H26" i="19"/>
  <c r="K26" i="19"/>
  <c r="J26" i="19"/>
  <c r="AS12" i="44"/>
  <c r="AT8" i="44"/>
  <c r="AS7" i="44"/>
  <c r="DR86" i="44"/>
  <c r="DQ85" i="44"/>
  <c r="R8" i="19"/>
  <c r="Y8" i="19"/>
  <c r="Y9" i="19"/>
  <c r="AB9" i="19" s="1"/>
  <c r="R9" i="19"/>
  <c r="L12" i="19"/>
  <c r="D4" i="18"/>
  <c r="D6" i="18" s="1"/>
  <c r="M12" i="19"/>
  <c r="M9" i="19"/>
  <c r="L10" i="19"/>
  <c r="D32" i="19"/>
  <c r="N11" i="19"/>
  <c r="N10" i="19"/>
  <c r="M7" i="19"/>
  <c r="D31" i="19"/>
  <c r="N8" i="19"/>
  <c r="K34" i="18"/>
  <c r="Z26" i="19" l="1"/>
  <c r="F49" i="19"/>
  <c r="I49" i="19"/>
  <c r="AE78" i="19"/>
  <c r="X78" i="19"/>
  <c r="C101" i="19"/>
  <c r="Q78" i="19"/>
  <c r="J80" i="19"/>
  <c r="F103" i="19"/>
  <c r="H103" i="19" s="1"/>
  <c r="AH80" i="19"/>
  <c r="T80" i="19"/>
  <c r="AA80" i="19"/>
  <c r="M35" i="19"/>
  <c r="L35" i="19" s="1"/>
  <c r="U12" i="19"/>
  <c r="AI12" i="19" s="1"/>
  <c r="M26" i="19"/>
  <c r="U7" i="19"/>
  <c r="AI7" i="19" s="1"/>
  <c r="T26" i="19"/>
  <c r="I150" i="19"/>
  <c r="E101" i="19"/>
  <c r="Z78" i="19"/>
  <c r="AG78" i="19"/>
  <c r="S78" i="19"/>
  <c r="K49" i="19"/>
  <c r="G124" i="19"/>
  <c r="Y26" i="19"/>
  <c r="J49" i="19"/>
  <c r="AD78" i="19"/>
  <c r="W78" i="19"/>
  <c r="B101" i="19"/>
  <c r="P78" i="19"/>
  <c r="AA26" i="19"/>
  <c r="I148" i="19"/>
  <c r="G126" i="19"/>
  <c r="AB30" i="19"/>
  <c r="W80" i="19"/>
  <c r="P80" i="19"/>
  <c r="B103" i="19"/>
  <c r="AD80" i="19"/>
  <c r="R26" i="19"/>
  <c r="X79" i="19"/>
  <c r="Q79" i="19"/>
  <c r="C102" i="19"/>
  <c r="AE79" i="19"/>
  <c r="W81" i="19"/>
  <c r="B104" i="19"/>
  <c r="AD81" i="19"/>
  <c r="P81" i="19"/>
  <c r="AF32" i="19"/>
  <c r="D55" i="19"/>
  <c r="R32" i="19"/>
  <c r="Y32" i="19"/>
  <c r="AB32" i="19" s="1"/>
  <c r="D79" i="19"/>
  <c r="Y56" i="19"/>
  <c r="AB56" i="19" s="1"/>
  <c r="AF56" i="19"/>
  <c r="R56" i="19"/>
  <c r="D49" i="19"/>
  <c r="AH78" i="19"/>
  <c r="AA78" i="19"/>
  <c r="F101" i="19"/>
  <c r="H101" i="19" s="1"/>
  <c r="T78" i="19"/>
  <c r="J78" i="19"/>
  <c r="AA81" i="19"/>
  <c r="F104" i="19"/>
  <c r="AH81" i="19"/>
  <c r="T81" i="19"/>
  <c r="J81" i="19"/>
  <c r="W79" i="19"/>
  <c r="P79" i="19"/>
  <c r="B102" i="19"/>
  <c r="AD79" i="19"/>
  <c r="D76" i="19"/>
  <c r="Y53" i="19"/>
  <c r="AF53" i="19"/>
  <c r="R53" i="19"/>
  <c r="C99" i="19"/>
  <c r="Q76" i="19"/>
  <c r="X76" i="19"/>
  <c r="AE76" i="19"/>
  <c r="H49" i="19"/>
  <c r="M32" i="19"/>
  <c r="N32" i="19" s="1"/>
  <c r="U9" i="19"/>
  <c r="AI9" i="19" s="1"/>
  <c r="G125" i="19"/>
  <c r="G150" i="19"/>
  <c r="I99" i="19"/>
  <c r="J76" i="19"/>
  <c r="F102" i="19"/>
  <c r="H102" i="19" s="1"/>
  <c r="T79" i="19"/>
  <c r="AH79" i="19"/>
  <c r="AA79" i="19"/>
  <c r="J79" i="19"/>
  <c r="Y58" i="19"/>
  <c r="AB58" i="19" s="1"/>
  <c r="D81" i="19"/>
  <c r="AF58" i="19"/>
  <c r="R58" i="19"/>
  <c r="S80" i="19"/>
  <c r="E103" i="19"/>
  <c r="AG80" i="19"/>
  <c r="Z80" i="19"/>
  <c r="X80" i="19"/>
  <c r="C103" i="19"/>
  <c r="Q80" i="19"/>
  <c r="AE80" i="19"/>
  <c r="D80" i="19"/>
  <c r="Y57" i="19"/>
  <c r="AB57" i="19" s="1"/>
  <c r="AF57" i="19"/>
  <c r="R57" i="19"/>
  <c r="I146" i="19"/>
  <c r="AG79" i="19"/>
  <c r="Z79" i="19"/>
  <c r="E102" i="19"/>
  <c r="S79" i="19"/>
  <c r="E99" i="19"/>
  <c r="AG76" i="19"/>
  <c r="Z76" i="19"/>
  <c r="S76" i="19"/>
  <c r="W76" i="19"/>
  <c r="P76" i="19"/>
  <c r="AD76" i="19"/>
  <c r="B99" i="19"/>
  <c r="U8" i="19"/>
  <c r="M57" i="19"/>
  <c r="U34" i="19"/>
  <c r="AI34" i="19" s="1"/>
  <c r="G123" i="19"/>
  <c r="Z81" i="19"/>
  <c r="E104" i="19"/>
  <c r="AG81" i="19"/>
  <c r="S81" i="19"/>
  <c r="B100" i="19"/>
  <c r="P77" i="19"/>
  <c r="W77" i="19"/>
  <c r="AD77" i="19"/>
  <c r="S26" i="19"/>
  <c r="I147" i="19"/>
  <c r="AE77" i="19"/>
  <c r="X77" i="19"/>
  <c r="C100" i="19"/>
  <c r="Q77" i="19"/>
  <c r="AE81" i="19"/>
  <c r="C104" i="19"/>
  <c r="X81" i="19"/>
  <c r="Q81" i="19"/>
  <c r="D54" i="19"/>
  <c r="J72" i="19" s="1"/>
  <c r="R31" i="19"/>
  <c r="Y31" i="19"/>
  <c r="Y49" i="19" s="1"/>
  <c r="AF31" i="19"/>
  <c r="M54" i="19"/>
  <c r="Z77" i="19"/>
  <c r="AG77" i="19"/>
  <c r="E100" i="19"/>
  <c r="S77" i="19"/>
  <c r="G49" i="19"/>
  <c r="I172" i="19"/>
  <c r="M56" i="19"/>
  <c r="U33" i="19"/>
  <c r="AI33" i="19" s="1"/>
  <c r="J77" i="19"/>
  <c r="F100" i="19"/>
  <c r="AA77" i="19"/>
  <c r="AH77" i="19"/>
  <c r="T77" i="19"/>
  <c r="E49" i="19"/>
  <c r="M30" i="19"/>
  <c r="AT12" i="44"/>
  <c r="AU8" i="44"/>
  <c r="AT7" i="44"/>
  <c r="DS86" i="44"/>
  <c r="DR85" i="44"/>
  <c r="AB8" i="19"/>
  <c r="AB26" i="19" s="1"/>
  <c r="L33" i="18"/>
  <c r="O4" i="18" s="1"/>
  <c r="L36" i="18"/>
  <c r="J34" i="18"/>
  <c r="J44" i="1"/>
  <c r="L7" i="19"/>
  <c r="L26" i="19" s="1"/>
  <c r="N12" i="19"/>
  <c r="N9" i="19"/>
  <c r="N7" i="19"/>
  <c r="L32" i="19"/>
  <c r="L33" i="19"/>
  <c r="N33" i="19"/>
  <c r="N34" i="19"/>
  <c r="L34" i="19"/>
  <c r="L31" i="19"/>
  <c r="N31" i="19"/>
  <c r="AF49" i="19" l="1"/>
  <c r="N35" i="19"/>
  <c r="AI8" i="19"/>
  <c r="AI26" i="19" s="1"/>
  <c r="F7" i="46" s="1"/>
  <c r="F8" i="46" s="1"/>
  <c r="F9" i="46" s="1"/>
  <c r="F12" i="46" s="1"/>
  <c r="F13" i="46" s="1"/>
  <c r="S49" i="19"/>
  <c r="Z100" i="19"/>
  <c r="E123" i="19"/>
  <c r="AG100" i="19"/>
  <c r="S100" i="19"/>
  <c r="AG49" i="19"/>
  <c r="AH49" i="19"/>
  <c r="I169" i="19"/>
  <c r="AB53" i="19"/>
  <c r="F124" i="19"/>
  <c r="H124" i="19" s="1"/>
  <c r="AA101" i="19"/>
  <c r="T101" i="19"/>
  <c r="AH101" i="19"/>
  <c r="J101" i="19"/>
  <c r="D78" i="19"/>
  <c r="R55" i="19"/>
  <c r="Y55" i="19"/>
  <c r="AB55" i="19" s="1"/>
  <c r="AF55" i="19"/>
  <c r="AE102" i="19"/>
  <c r="C125" i="19"/>
  <c r="Q102" i="19"/>
  <c r="X102" i="19"/>
  <c r="Z104" i="19"/>
  <c r="E127" i="19"/>
  <c r="AG104" i="19"/>
  <c r="S104" i="19"/>
  <c r="M79" i="19"/>
  <c r="N56" i="19"/>
  <c r="L56" i="19"/>
  <c r="U56" i="19"/>
  <c r="AI56" i="19" s="1"/>
  <c r="AB31" i="19"/>
  <c r="AB49" i="19" s="1"/>
  <c r="Z49" i="19"/>
  <c r="AA49" i="19"/>
  <c r="C127" i="19"/>
  <c r="AE104" i="19"/>
  <c r="X104" i="19"/>
  <c r="Q104" i="19"/>
  <c r="I170" i="19"/>
  <c r="D104" i="19"/>
  <c r="AF81" i="19"/>
  <c r="Y81" i="19"/>
  <c r="AB81" i="19" s="1"/>
  <c r="R81" i="19"/>
  <c r="J99" i="19"/>
  <c r="I122" i="19"/>
  <c r="D99" i="19"/>
  <c r="Y76" i="19"/>
  <c r="R76" i="19"/>
  <c r="AF76" i="19"/>
  <c r="E124" i="19"/>
  <c r="Z101" i="19"/>
  <c r="S101" i="19"/>
  <c r="AG101" i="19"/>
  <c r="AH103" i="19"/>
  <c r="F126" i="19"/>
  <c r="H126" i="19" s="1"/>
  <c r="AA103" i="19"/>
  <c r="T103" i="19"/>
  <c r="J103" i="19"/>
  <c r="I195" i="19"/>
  <c r="I218" i="19" s="1"/>
  <c r="Z99" i="19"/>
  <c r="AG99" i="19"/>
  <c r="S99" i="19"/>
  <c r="E122" i="19"/>
  <c r="D77" i="19"/>
  <c r="J95" i="19" s="1"/>
  <c r="Y54" i="19"/>
  <c r="Z72" i="19" s="1"/>
  <c r="R54" i="19"/>
  <c r="U54" i="19" s="1"/>
  <c r="AF54" i="19"/>
  <c r="AG72" i="19" s="1"/>
  <c r="I72" i="19"/>
  <c r="E72" i="19"/>
  <c r="F72" i="19"/>
  <c r="Z103" i="19"/>
  <c r="AG103" i="19"/>
  <c r="E126" i="19"/>
  <c r="S103" i="19"/>
  <c r="G173" i="19"/>
  <c r="G72" i="19"/>
  <c r="D102" i="19"/>
  <c r="AF79" i="19"/>
  <c r="R79" i="19"/>
  <c r="Y79" i="19"/>
  <c r="AB79" i="19" s="1"/>
  <c r="G147" i="19"/>
  <c r="I173" i="19"/>
  <c r="AD99" i="19"/>
  <c r="B122" i="19"/>
  <c r="P99" i="19"/>
  <c r="W99" i="19"/>
  <c r="H100" i="19"/>
  <c r="F123" i="19"/>
  <c r="H123" i="19" s="1"/>
  <c r="AH100" i="19"/>
  <c r="T100" i="19"/>
  <c r="AA100" i="19"/>
  <c r="J100" i="19"/>
  <c r="U31" i="19"/>
  <c r="AE100" i="19"/>
  <c r="C123" i="19"/>
  <c r="X100" i="19"/>
  <c r="Q100" i="19"/>
  <c r="E125" i="19"/>
  <c r="Z102" i="19"/>
  <c r="S102" i="19"/>
  <c r="AG102" i="19"/>
  <c r="AF80" i="19"/>
  <c r="D103" i="19"/>
  <c r="Y80" i="19"/>
  <c r="AB80" i="19" s="1"/>
  <c r="R80" i="19"/>
  <c r="U26" i="19"/>
  <c r="D72" i="19"/>
  <c r="H104" i="19"/>
  <c r="F127" i="19"/>
  <c r="AA104" i="19"/>
  <c r="T104" i="19"/>
  <c r="AH104" i="19"/>
  <c r="J104" i="19"/>
  <c r="B127" i="19"/>
  <c r="W104" i="19"/>
  <c r="AD104" i="19"/>
  <c r="P104" i="19"/>
  <c r="AD101" i="19"/>
  <c r="W101" i="19"/>
  <c r="P101" i="19"/>
  <c r="B124" i="19"/>
  <c r="X101" i="19"/>
  <c r="C124" i="19"/>
  <c r="AE101" i="19"/>
  <c r="Q101" i="19"/>
  <c r="X99" i="19"/>
  <c r="C122" i="19"/>
  <c r="AE99" i="19"/>
  <c r="Q99" i="19"/>
  <c r="M77" i="19"/>
  <c r="N54" i="19"/>
  <c r="L54" i="19"/>
  <c r="G146" i="19"/>
  <c r="M55" i="19"/>
  <c r="U32" i="19"/>
  <c r="AI32" i="19" s="1"/>
  <c r="K72" i="19"/>
  <c r="AD103" i="19"/>
  <c r="B126" i="19"/>
  <c r="W103" i="19"/>
  <c r="P103" i="19"/>
  <c r="I171" i="19"/>
  <c r="M58" i="19"/>
  <c r="U35" i="19"/>
  <c r="AI35" i="19" s="1"/>
  <c r="G149" i="19"/>
  <c r="M49" i="19"/>
  <c r="M53" i="19"/>
  <c r="U30" i="19"/>
  <c r="R49" i="19"/>
  <c r="W102" i="19"/>
  <c r="B125" i="19"/>
  <c r="P102" i="19"/>
  <c r="AD102" i="19"/>
  <c r="H72" i="19"/>
  <c r="T49" i="19"/>
  <c r="B123" i="19"/>
  <c r="W100" i="19"/>
  <c r="AD100" i="19"/>
  <c r="P100" i="19"/>
  <c r="M80" i="19"/>
  <c r="L57" i="19"/>
  <c r="U57" i="19"/>
  <c r="AI57" i="19" s="1"/>
  <c r="N57" i="19"/>
  <c r="X103" i="19"/>
  <c r="C126" i="19"/>
  <c r="AE103" i="19"/>
  <c r="Q103" i="19"/>
  <c r="AA102" i="19"/>
  <c r="F125" i="19"/>
  <c r="H125" i="19" s="1"/>
  <c r="AH102" i="19"/>
  <c r="T102" i="19"/>
  <c r="J102" i="19"/>
  <c r="G148" i="19"/>
  <c r="AF72" i="19"/>
  <c r="N30" i="19"/>
  <c r="N49" i="19" s="1"/>
  <c r="L30" i="19"/>
  <c r="L49" i="19" s="1"/>
  <c r="N26" i="19"/>
  <c r="L4" i="18"/>
  <c r="L8" i="18"/>
  <c r="L7" i="18"/>
  <c r="AU12" i="44"/>
  <c r="AU7" i="44"/>
  <c r="AV8" i="44"/>
  <c r="DT86" i="44"/>
  <c r="DS85" i="44"/>
  <c r="F7" i="32"/>
  <c r="L6" i="18"/>
  <c r="H10" i="18"/>
  <c r="L5" i="18"/>
  <c r="J43" i="1"/>
  <c r="J45" i="1" s="1"/>
  <c r="L34" i="18"/>
  <c r="AI31" i="19" l="1"/>
  <c r="G95" i="19"/>
  <c r="U49" i="19"/>
  <c r="G7" i="30" s="1"/>
  <c r="G8" i="30" s="1"/>
  <c r="G9" i="30" s="1"/>
  <c r="G12" i="30" s="1"/>
  <c r="AI30" i="19"/>
  <c r="K95" i="19"/>
  <c r="I95" i="19"/>
  <c r="Y72" i="19"/>
  <c r="D95" i="19"/>
  <c r="G170" i="19"/>
  <c r="Z124" i="19"/>
  <c r="E147" i="19"/>
  <c r="AG124" i="19"/>
  <c r="S124" i="19"/>
  <c r="AA124" i="19"/>
  <c r="F147" i="19"/>
  <c r="H147" i="19" s="1"/>
  <c r="AH124" i="19"/>
  <c r="T124" i="19"/>
  <c r="J124" i="19"/>
  <c r="G171" i="19"/>
  <c r="M103" i="19"/>
  <c r="N80" i="19"/>
  <c r="L80" i="19"/>
  <c r="U80" i="19"/>
  <c r="AI80" i="19" s="1"/>
  <c r="M81" i="19"/>
  <c r="N58" i="19"/>
  <c r="U58" i="19"/>
  <c r="AI58" i="19" s="1"/>
  <c r="L58" i="19"/>
  <c r="F150" i="19"/>
  <c r="AH127" i="19"/>
  <c r="T127" i="19"/>
  <c r="AA127" i="19"/>
  <c r="H127" i="19"/>
  <c r="J127" i="19"/>
  <c r="E150" i="19"/>
  <c r="AG127" i="19"/>
  <c r="Z127" i="19"/>
  <c r="S127" i="19"/>
  <c r="AG122" i="19"/>
  <c r="E145" i="19"/>
  <c r="S122" i="19"/>
  <c r="Z122" i="19"/>
  <c r="Q127" i="19"/>
  <c r="C150" i="19"/>
  <c r="AE127" i="19"/>
  <c r="X127" i="19"/>
  <c r="B148" i="19"/>
  <c r="AD125" i="19"/>
  <c r="W125" i="19"/>
  <c r="P125" i="19"/>
  <c r="M76" i="19"/>
  <c r="L53" i="19"/>
  <c r="U53" i="19"/>
  <c r="M72" i="19"/>
  <c r="N53" i="19"/>
  <c r="X124" i="19"/>
  <c r="C147" i="19"/>
  <c r="AE124" i="19"/>
  <c r="Q124" i="19"/>
  <c r="P122" i="19"/>
  <c r="B145" i="19"/>
  <c r="W122" i="19"/>
  <c r="AD122" i="19"/>
  <c r="G196" i="19"/>
  <c r="F149" i="19"/>
  <c r="T126" i="19"/>
  <c r="AH126" i="19"/>
  <c r="AA126" i="19"/>
  <c r="J126" i="19"/>
  <c r="AB76" i="19"/>
  <c r="Y104" i="19"/>
  <c r="AB104" i="19" s="1"/>
  <c r="D127" i="19"/>
  <c r="AF104" i="19"/>
  <c r="R104" i="19"/>
  <c r="Y78" i="19"/>
  <c r="AB78" i="19" s="1"/>
  <c r="AF78" i="19"/>
  <c r="D101" i="19"/>
  <c r="R78" i="19"/>
  <c r="Z123" i="19"/>
  <c r="S123" i="19"/>
  <c r="AG123" i="19"/>
  <c r="E146" i="19"/>
  <c r="I194" i="19"/>
  <c r="M78" i="19"/>
  <c r="L55" i="19"/>
  <c r="U55" i="19"/>
  <c r="AI55" i="19" s="1"/>
  <c r="N55" i="19"/>
  <c r="M100" i="19"/>
  <c r="N77" i="19"/>
  <c r="L77" i="19"/>
  <c r="B150" i="19"/>
  <c r="AD127" i="19"/>
  <c r="P127" i="19"/>
  <c r="W127" i="19"/>
  <c r="Z125" i="19"/>
  <c r="E148" i="19"/>
  <c r="AG125" i="19"/>
  <c r="S125" i="19"/>
  <c r="T72" i="19"/>
  <c r="S72" i="19"/>
  <c r="D122" i="19"/>
  <c r="R99" i="19"/>
  <c r="AF99" i="19"/>
  <c r="Y99" i="19"/>
  <c r="W123" i="19"/>
  <c r="B146" i="19"/>
  <c r="AD123" i="19"/>
  <c r="P123" i="19"/>
  <c r="R72" i="19"/>
  <c r="G172" i="19"/>
  <c r="AD124" i="19"/>
  <c r="B147" i="19"/>
  <c r="W124" i="19"/>
  <c r="P124" i="19"/>
  <c r="E149" i="19"/>
  <c r="Z126" i="19"/>
  <c r="AG126" i="19"/>
  <c r="S126" i="19"/>
  <c r="AB54" i="19"/>
  <c r="AB72" i="19" s="1"/>
  <c r="H7" i="32" s="1"/>
  <c r="AA72" i="19"/>
  <c r="I193" i="19"/>
  <c r="F148" i="19"/>
  <c r="H148" i="19" s="1"/>
  <c r="AH125" i="19"/>
  <c r="T125" i="19"/>
  <c r="AA125" i="19"/>
  <c r="J125" i="19"/>
  <c r="D125" i="19"/>
  <c r="Y102" i="19"/>
  <c r="AB102" i="19" s="1"/>
  <c r="AF102" i="19"/>
  <c r="R102" i="19"/>
  <c r="AF77" i="19"/>
  <c r="Y77" i="19"/>
  <c r="D100" i="19"/>
  <c r="R77" i="19"/>
  <c r="U77" i="19" s="1"/>
  <c r="E95" i="19"/>
  <c r="F95" i="19"/>
  <c r="H95" i="19"/>
  <c r="I145" i="19"/>
  <c r="J122" i="19"/>
  <c r="C148" i="19"/>
  <c r="AE125" i="19"/>
  <c r="X125" i="19"/>
  <c r="Q125" i="19"/>
  <c r="I192" i="19"/>
  <c r="C149" i="19"/>
  <c r="Q126" i="19"/>
  <c r="X126" i="19"/>
  <c r="AE126" i="19"/>
  <c r="M102" i="19"/>
  <c r="L79" i="19"/>
  <c r="N79" i="19"/>
  <c r="U79" i="19"/>
  <c r="AI79" i="19" s="1"/>
  <c r="B149" i="19"/>
  <c r="W126" i="19"/>
  <c r="P126" i="19"/>
  <c r="AD126" i="19"/>
  <c r="G169" i="19"/>
  <c r="X122" i="19"/>
  <c r="C145" i="19"/>
  <c r="AE122" i="19"/>
  <c r="Q122" i="19"/>
  <c r="AF103" i="19"/>
  <c r="D126" i="19"/>
  <c r="Y103" i="19"/>
  <c r="AB103" i="19" s="1"/>
  <c r="R103" i="19"/>
  <c r="C146" i="19"/>
  <c r="AE123" i="19"/>
  <c r="X123" i="19"/>
  <c r="Q123" i="19"/>
  <c r="AA123" i="19"/>
  <c r="F146" i="19"/>
  <c r="H146" i="19" s="1"/>
  <c r="AH123" i="19"/>
  <c r="T123" i="19"/>
  <c r="J123" i="19"/>
  <c r="I196" i="19"/>
  <c r="R95" i="19"/>
  <c r="AH72" i="19"/>
  <c r="G7" i="32"/>
  <c r="G8" i="32" s="1"/>
  <c r="G9" i="32" s="1"/>
  <c r="G12" i="32" s="1"/>
  <c r="L10" i="18"/>
  <c r="AV12" i="44"/>
  <c r="AV7" i="44"/>
  <c r="AW8" i="44"/>
  <c r="DU86" i="44"/>
  <c r="DT85" i="44"/>
  <c r="F7" i="30"/>
  <c r="F8" i="32"/>
  <c r="F9" i="32" s="1"/>
  <c r="F12" i="32" s="1"/>
  <c r="F13" i="32" s="1"/>
  <c r="F7" i="28"/>
  <c r="F8" i="28" s="1"/>
  <c r="G7" i="28"/>
  <c r="N34" i="18"/>
  <c r="M34" i="18"/>
  <c r="AF95" i="19" l="1"/>
  <c r="Z95" i="19"/>
  <c r="AI49" i="19"/>
  <c r="G7" i="46" s="1"/>
  <c r="G8" i="46" s="1"/>
  <c r="J118" i="19"/>
  <c r="U72" i="19"/>
  <c r="H7" i="30" s="1"/>
  <c r="H8" i="30" s="1"/>
  <c r="H9" i="30" s="1"/>
  <c r="H12" i="30" s="1"/>
  <c r="H13" i="30" s="1"/>
  <c r="AI53" i="19"/>
  <c r="L72" i="19"/>
  <c r="AI54" i="19"/>
  <c r="H118" i="19"/>
  <c r="D118" i="19"/>
  <c r="AG146" i="19"/>
  <c r="E169" i="19"/>
  <c r="Z146" i="19"/>
  <c r="S146" i="19"/>
  <c r="N72" i="19"/>
  <c r="H7" i="28" s="1"/>
  <c r="AD148" i="19"/>
  <c r="B171" i="19"/>
  <c r="W148" i="19"/>
  <c r="P148" i="19"/>
  <c r="AG145" i="19"/>
  <c r="E168" i="19"/>
  <c r="Z145" i="19"/>
  <c r="S145" i="19"/>
  <c r="M126" i="19"/>
  <c r="N103" i="19"/>
  <c r="L103" i="19"/>
  <c r="U103" i="19"/>
  <c r="AI103" i="19" s="1"/>
  <c r="C172" i="19"/>
  <c r="Q149" i="19"/>
  <c r="X149" i="19"/>
  <c r="AE149" i="19"/>
  <c r="Y125" i="19"/>
  <c r="AB125" i="19" s="1"/>
  <c r="D148" i="19"/>
  <c r="AF125" i="19"/>
  <c r="R125" i="19"/>
  <c r="AB99" i="19"/>
  <c r="G192" i="19"/>
  <c r="AH148" i="19"/>
  <c r="F171" i="19"/>
  <c r="H171" i="19" s="1"/>
  <c r="T148" i="19"/>
  <c r="AA148" i="19"/>
  <c r="J148" i="19"/>
  <c r="B168" i="19"/>
  <c r="P145" i="19"/>
  <c r="AD145" i="19"/>
  <c r="W145" i="19"/>
  <c r="N81" i="19"/>
  <c r="M104" i="19"/>
  <c r="L81" i="19"/>
  <c r="U81" i="19"/>
  <c r="AI81" i="19" s="1"/>
  <c r="B169" i="19"/>
  <c r="W146" i="19"/>
  <c r="AD146" i="19"/>
  <c r="P146" i="19"/>
  <c r="AA149" i="19"/>
  <c r="F172" i="19"/>
  <c r="H172" i="19" s="1"/>
  <c r="AH149" i="19"/>
  <c r="T149" i="19"/>
  <c r="J149" i="19"/>
  <c r="C173" i="19"/>
  <c r="X150" i="19"/>
  <c r="Q150" i="19"/>
  <c r="AE150" i="19"/>
  <c r="J145" i="19"/>
  <c r="I168" i="19"/>
  <c r="AB77" i="19"/>
  <c r="AI77" i="19" s="1"/>
  <c r="AA95" i="19"/>
  <c r="I216" i="19"/>
  <c r="B170" i="19"/>
  <c r="W147" i="19"/>
  <c r="AD147" i="19"/>
  <c r="P147" i="19"/>
  <c r="D145" i="19"/>
  <c r="Y122" i="19"/>
  <c r="AF122" i="19"/>
  <c r="R122" i="19"/>
  <c r="N76" i="19"/>
  <c r="M99" i="19"/>
  <c r="L76" i="19"/>
  <c r="M95" i="19"/>
  <c r="U76" i="19"/>
  <c r="E170" i="19"/>
  <c r="S147" i="19"/>
  <c r="Z147" i="19"/>
  <c r="AG147" i="19"/>
  <c r="D149" i="19"/>
  <c r="Y126" i="19"/>
  <c r="AB126" i="19" s="1"/>
  <c r="R126" i="19"/>
  <c r="AF126" i="19"/>
  <c r="G194" i="19"/>
  <c r="I219" i="19"/>
  <c r="M125" i="19"/>
  <c r="N102" i="19"/>
  <c r="L102" i="19"/>
  <c r="U102" i="19"/>
  <c r="AI102" i="19" s="1"/>
  <c r="AH95" i="19"/>
  <c r="AG95" i="19"/>
  <c r="AG149" i="19"/>
  <c r="E172" i="19"/>
  <c r="Z149" i="19"/>
  <c r="S149" i="19"/>
  <c r="E171" i="19"/>
  <c r="S148" i="19"/>
  <c r="AG148" i="19"/>
  <c r="Z148" i="19"/>
  <c r="M101" i="19"/>
  <c r="N78" i="19"/>
  <c r="L78" i="19"/>
  <c r="U78" i="19"/>
  <c r="AI78" i="19" s="1"/>
  <c r="Y101" i="19"/>
  <c r="AB101" i="19" s="1"/>
  <c r="D124" i="19"/>
  <c r="R101" i="19"/>
  <c r="AF101" i="19"/>
  <c r="AB95" i="19"/>
  <c r="I7" i="32" s="1"/>
  <c r="I8" i="32" s="1"/>
  <c r="I9" i="32" s="1"/>
  <c r="I12" i="32" s="1"/>
  <c r="F173" i="19"/>
  <c r="T150" i="19"/>
  <c r="AA150" i="19"/>
  <c r="AH150" i="19"/>
  <c r="J150" i="19"/>
  <c r="H150" i="19"/>
  <c r="I215" i="19"/>
  <c r="Y100" i="19"/>
  <c r="AF100" i="19"/>
  <c r="D123" i="19"/>
  <c r="R100" i="19"/>
  <c r="T118" i="19" s="1"/>
  <c r="F118" i="19"/>
  <c r="E118" i="19"/>
  <c r="D150" i="19"/>
  <c r="Y127" i="19"/>
  <c r="AB127" i="19" s="1"/>
  <c r="R127" i="19"/>
  <c r="AF127" i="19"/>
  <c r="C168" i="19"/>
  <c r="Q145" i="19"/>
  <c r="X145" i="19"/>
  <c r="AE145" i="19"/>
  <c r="B172" i="19"/>
  <c r="AD149" i="19"/>
  <c r="P149" i="19"/>
  <c r="W149" i="19"/>
  <c r="I118" i="19"/>
  <c r="G195" i="19"/>
  <c r="G118" i="19"/>
  <c r="M123" i="19"/>
  <c r="N100" i="19"/>
  <c r="L100" i="19"/>
  <c r="Y95" i="19"/>
  <c r="G219" i="19"/>
  <c r="AE147" i="19"/>
  <c r="C170" i="19"/>
  <c r="Q147" i="19"/>
  <c r="X147" i="19"/>
  <c r="E173" i="19"/>
  <c r="AG150" i="19"/>
  <c r="Z150" i="19"/>
  <c r="S150" i="19"/>
  <c r="F170" i="19"/>
  <c r="AA147" i="19"/>
  <c r="T147" i="19"/>
  <c r="AH147" i="19"/>
  <c r="J147" i="19"/>
  <c r="G193" i="19"/>
  <c r="F169" i="19"/>
  <c r="H169" i="19" s="1"/>
  <c r="T146" i="19"/>
  <c r="AA146" i="19"/>
  <c r="AH146" i="19"/>
  <c r="J146" i="19"/>
  <c r="S95" i="19"/>
  <c r="B173" i="19"/>
  <c r="AD150" i="19"/>
  <c r="P150" i="19"/>
  <c r="W150" i="19"/>
  <c r="C169" i="19"/>
  <c r="AE146" i="19"/>
  <c r="X146" i="19"/>
  <c r="Q146" i="19"/>
  <c r="C171" i="19"/>
  <c r="AE148" i="19"/>
  <c r="X148" i="19"/>
  <c r="Q148" i="19"/>
  <c r="H149" i="19"/>
  <c r="K118" i="19"/>
  <c r="I217" i="19"/>
  <c r="T95" i="19"/>
  <c r="AW12" i="44"/>
  <c r="DV86" i="44"/>
  <c r="DV85" i="44" s="1"/>
  <c r="DU85" i="44"/>
  <c r="AX8" i="44"/>
  <c r="AW7" i="44"/>
  <c r="F9" i="28"/>
  <c r="F8" i="30"/>
  <c r="F9" i="30" s="1"/>
  <c r="F12" i="30" s="1"/>
  <c r="F13" i="30" s="1"/>
  <c r="H8" i="32"/>
  <c r="H9" i="32" s="1"/>
  <c r="H12" i="32" s="1"/>
  <c r="G13" i="32"/>
  <c r="G8" i="28"/>
  <c r="G141" i="19" l="1"/>
  <c r="U100" i="19"/>
  <c r="AG118" i="19"/>
  <c r="K141" i="19"/>
  <c r="G9" i="46"/>
  <c r="G12" i="46" s="1"/>
  <c r="G13" i="46" s="1"/>
  <c r="AI72" i="19"/>
  <c r="H7" i="46" s="1"/>
  <c r="H8" i="46" s="1"/>
  <c r="H9" i="46" s="1"/>
  <c r="H12" i="46" s="1"/>
  <c r="U95" i="19"/>
  <c r="AI76" i="19"/>
  <c r="AI95" i="19" s="1"/>
  <c r="I7" i="46" s="1"/>
  <c r="I8" i="46" s="1"/>
  <c r="I9" i="46" s="1"/>
  <c r="I12" i="46" s="1"/>
  <c r="C193" i="19"/>
  <c r="X170" i="19"/>
  <c r="AE170" i="19"/>
  <c r="Q170" i="19"/>
  <c r="C191" i="19"/>
  <c r="Q168" i="19"/>
  <c r="AE168" i="19"/>
  <c r="X168" i="19"/>
  <c r="Y123" i="19"/>
  <c r="AB123" i="19" s="1"/>
  <c r="D146" i="19"/>
  <c r="R123" i="19"/>
  <c r="U123" i="19" s="1"/>
  <c r="AF123" i="19"/>
  <c r="F141" i="19"/>
  <c r="I141" i="19"/>
  <c r="M124" i="19"/>
  <c r="N101" i="19"/>
  <c r="L101" i="19"/>
  <c r="U101" i="19"/>
  <c r="AI101" i="19" s="1"/>
  <c r="M148" i="19"/>
  <c r="L125" i="19"/>
  <c r="N125" i="19"/>
  <c r="U125" i="19"/>
  <c r="AI125" i="19" s="1"/>
  <c r="I191" i="19"/>
  <c r="J168" i="19"/>
  <c r="W168" i="19"/>
  <c r="B191" i="19"/>
  <c r="P168" i="19"/>
  <c r="AD168" i="19"/>
  <c r="G215" i="19"/>
  <c r="Z118" i="19"/>
  <c r="AA118" i="19"/>
  <c r="AB100" i="19"/>
  <c r="AB118" i="19" s="1"/>
  <c r="J7" i="32" s="1"/>
  <c r="J8" i="32" s="1"/>
  <c r="J9" i="32" s="1"/>
  <c r="J12" i="32" s="1"/>
  <c r="D147" i="19"/>
  <c r="Y124" i="19"/>
  <c r="AB124" i="19" s="1"/>
  <c r="R124" i="19"/>
  <c r="AF124" i="19"/>
  <c r="E195" i="19"/>
  <c r="Z172" i="19"/>
  <c r="AG172" i="19"/>
  <c r="S172" i="19"/>
  <c r="AD170" i="19"/>
  <c r="W170" i="19"/>
  <c r="B193" i="19"/>
  <c r="P170" i="19"/>
  <c r="F195" i="19"/>
  <c r="T172" i="19"/>
  <c r="AH172" i="19"/>
  <c r="AA172" i="19"/>
  <c r="J172" i="19"/>
  <c r="AF118" i="19"/>
  <c r="D171" i="19"/>
  <c r="Y148" i="19"/>
  <c r="AB148" i="19" s="1"/>
  <c r="AF148" i="19"/>
  <c r="R148" i="19"/>
  <c r="AB122" i="19"/>
  <c r="E191" i="19"/>
  <c r="Z168" i="19"/>
  <c r="S168" i="19"/>
  <c r="AG168" i="19"/>
  <c r="M146" i="19"/>
  <c r="L123" i="19"/>
  <c r="N123" i="19"/>
  <c r="M127" i="19"/>
  <c r="N104" i="19"/>
  <c r="L104" i="19"/>
  <c r="U104" i="19"/>
  <c r="AI104" i="19" s="1"/>
  <c r="X171" i="19"/>
  <c r="C194" i="19"/>
  <c r="Q171" i="19"/>
  <c r="AE171" i="19"/>
  <c r="G216" i="19"/>
  <c r="B195" i="19"/>
  <c r="P172" i="19"/>
  <c r="AD172" i="19"/>
  <c r="W172" i="19"/>
  <c r="AF150" i="19"/>
  <c r="D173" i="19"/>
  <c r="Y150" i="19"/>
  <c r="AB150" i="19" s="1"/>
  <c r="R150" i="19"/>
  <c r="E141" i="19"/>
  <c r="E194" i="19"/>
  <c r="S171" i="19"/>
  <c r="AG171" i="19"/>
  <c r="Z171" i="19"/>
  <c r="R118" i="19"/>
  <c r="L95" i="19"/>
  <c r="D168" i="19"/>
  <c r="Y145" i="19"/>
  <c r="AB145" i="19" s="1"/>
  <c r="R145" i="19"/>
  <c r="AF145" i="19"/>
  <c r="AG169" i="19"/>
  <c r="Z169" i="19"/>
  <c r="E192" i="19"/>
  <c r="S169" i="19"/>
  <c r="F193" i="19"/>
  <c r="H193" i="19" s="1"/>
  <c r="AA170" i="19"/>
  <c r="T170" i="19"/>
  <c r="AH170" i="19"/>
  <c r="J170" i="19"/>
  <c r="F192" i="19"/>
  <c r="T169" i="19"/>
  <c r="AA169" i="19"/>
  <c r="AH169" i="19"/>
  <c r="J169" i="19"/>
  <c r="AH173" i="19"/>
  <c r="F196" i="19"/>
  <c r="T173" i="19"/>
  <c r="AA173" i="19"/>
  <c r="H173" i="19"/>
  <c r="J173" i="19"/>
  <c r="D172" i="19"/>
  <c r="R149" i="19"/>
  <c r="AF149" i="19"/>
  <c r="Y149" i="19"/>
  <c r="AB149" i="19" s="1"/>
  <c r="H170" i="19"/>
  <c r="G218" i="19"/>
  <c r="H141" i="19"/>
  <c r="J141" i="19"/>
  <c r="M122" i="19"/>
  <c r="N99" i="19"/>
  <c r="M118" i="19"/>
  <c r="U99" i="19"/>
  <c r="AI99" i="19" s="1"/>
  <c r="L99" i="19"/>
  <c r="D141" i="19"/>
  <c r="C196" i="19"/>
  <c r="AE173" i="19"/>
  <c r="X173" i="19"/>
  <c r="Q173" i="19"/>
  <c r="F194" i="19"/>
  <c r="H194" i="19" s="1"/>
  <c r="T171" i="19"/>
  <c r="AA171" i="19"/>
  <c r="AH171" i="19"/>
  <c r="J171" i="19"/>
  <c r="AD173" i="19"/>
  <c r="B196" i="19"/>
  <c r="P173" i="19"/>
  <c r="W173" i="19"/>
  <c r="E196" i="19"/>
  <c r="Z173" i="19"/>
  <c r="S173" i="19"/>
  <c r="AG173" i="19"/>
  <c r="N95" i="19"/>
  <c r="I7" i="28" s="1"/>
  <c r="I8" i="28" s="1"/>
  <c r="B192" i="19"/>
  <c r="AD169" i="19"/>
  <c r="P169" i="19"/>
  <c r="W169" i="19"/>
  <c r="Y118" i="19"/>
  <c r="AE172" i="19"/>
  <c r="C195" i="19"/>
  <c r="Q172" i="19"/>
  <c r="X172" i="19"/>
  <c r="M149" i="19"/>
  <c r="N126" i="19"/>
  <c r="U126" i="19"/>
  <c r="AI126" i="19" s="1"/>
  <c r="L126" i="19"/>
  <c r="C192" i="19"/>
  <c r="AE169" i="19"/>
  <c r="X169" i="19"/>
  <c r="Q169" i="19"/>
  <c r="AH118" i="19"/>
  <c r="G217" i="19"/>
  <c r="AG170" i="19"/>
  <c r="E193" i="19"/>
  <c r="S170" i="19"/>
  <c r="Z170" i="19"/>
  <c r="B194" i="19"/>
  <c r="AD171" i="19"/>
  <c r="P171" i="19"/>
  <c r="W171" i="19"/>
  <c r="S118" i="19"/>
  <c r="I7" i="30"/>
  <c r="I8" i="30" s="1"/>
  <c r="I9" i="30" s="1"/>
  <c r="I12" i="30" s="1"/>
  <c r="I13" i="30" s="1"/>
  <c r="AX12" i="44"/>
  <c r="AX7" i="44"/>
  <c r="AY8" i="44"/>
  <c r="F31" i="28"/>
  <c r="D20" i="23" s="1"/>
  <c r="F12" i="28"/>
  <c r="F13" i="28" s="1"/>
  <c r="G13" i="30"/>
  <c r="H13" i="32"/>
  <c r="I13" i="32"/>
  <c r="H8" i="28"/>
  <c r="G9" i="28"/>
  <c r="P34" i="18"/>
  <c r="O34" i="18"/>
  <c r="J164" i="19" l="1"/>
  <c r="I13" i="46"/>
  <c r="L118" i="19"/>
  <c r="K164" i="19"/>
  <c r="AI100" i="19"/>
  <c r="AI118" i="19" s="1"/>
  <c r="J7" i="46" s="1"/>
  <c r="J8" i="46" s="1"/>
  <c r="J9" i="46" s="1"/>
  <c r="J12" i="46" s="1"/>
  <c r="J13" i="46" s="1"/>
  <c r="AI123" i="19"/>
  <c r="AH141" i="19"/>
  <c r="H164" i="19"/>
  <c r="H13" i="46"/>
  <c r="N118" i="19"/>
  <c r="J7" i="28" s="1"/>
  <c r="AF141" i="19"/>
  <c r="B215" i="19"/>
  <c r="P192" i="19"/>
  <c r="AD192" i="19"/>
  <c r="W192" i="19"/>
  <c r="M147" i="19"/>
  <c r="U124" i="19"/>
  <c r="AI124" i="19" s="1"/>
  <c r="N124" i="19"/>
  <c r="L124" i="19"/>
  <c r="AE192" i="19"/>
  <c r="C215" i="19"/>
  <c r="Q192" i="19"/>
  <c r="X192" i="19"/>
  <c r="E219" i="19"/>
  <c r="Z196" i="19"/>
  <c r="AG196" i="19"/>
  <c r="S196" i="19"/>
  <c r="F215" i="19"/>
  <c r="H215" i="19" s="1"/>
  <c r="AH192" i="19"/>
  <c r="AA192" i="19"/>
  <c r="T192" i="19"/>
  <c r="J192" i="19"/>
  <c r="E215" i="19"/>
  <c r="Z192" i="19"/>
  <c r="AG192" i="19"/>
  <c r="S192" i="19"/>
  <c r="C217" i="19"/>
  <c r="X194" i="19"/>
  <c r="AE194" i="19"/>
  <c r="Q194" i="19"/>
  <c r="E214" i="19"/>
  <c r="AG191" i="19"/>
  <c r="Z191" i="19"/>
  <c r="S191" i="19"/>
  <c r="B214" i="19"/>
  <c r="W191" i="19"/>
  <c r="AD191" i="19"/>
  <c r="P191" i="19"/>
  <c r="Z141" i="19"/>
  <c r="X195" i="19"/>
  <c r="Q195" i="19"/>
  <c r="C218" i="19"/>
  <c r="AE195" i="19"/>
  <c r="T196" i="19"/>
  <c r="AH196" i="19"/>
  <c r="AA196" i="19"/>
  <c r="F219" i="19"/>
  <c r="H196" i="19"/>
  <c r="J196" i="19"/>
  <c r="AG194" i="19"/>
  <c r="E217" i="19"/>
  <c r="S194" i="19"/>
  <c r="Z194" i="19"/>
  <c r="Q191" i="19"/>
  <c r="AE191" i="19"/>
  <c r="C214" i="19"/>
  <c r="X191" i="19"/>
  <c r="W194" i="19"/>
  <c r="P194" i="19"/>
  <c r="B217" i="19"/>
  <c r="AD194" i="19"/>
  <c r="Y141" i="19"/>
  <c r="D170" i="19"/>
  <c r="AF147" i="19"/>
  <c r="Y147" i="19"/>
  <c r="AB147" i="19" s="1"/>
  <c r="R147" i="19"/>
  <c r="AG141" i="19"/>
  <c r="D191" i="19"/>
  <c r="R168" i="19"/>
  <c r="Y168" i="19"/>
  <c r="AB168" i="19" s="1"/>
  <c r="AF168" i="19"/>
  <c r="AB141" i="19"/>
  <c r="K7" i="32" s="1"/>
  <c r="K8" i="32" s="1"/>
  <c r="K9" i="32" s="1"/>
  <c r="K12" i="32" s="1"/>
  <c r="AF171" i="19"/>
  <c r="D194" i="19"/>
  <c r="Y171" i="19"/>
  <c r="AB171" i="19" s="1"/>
  <c r="R171" i="19"/>
  <c r="M171" i="19"/>
  <c r="L148" i="19"/>
  <c r="N148" i="19"/>
  <c r="U148" i="19"/>
  <c r="AI148" i="19" s="1"/>
  <c r="T141" i="19"/>
  <c r="S141" i="19"/>
  <c r="AA141" i="19"/>
  <c r="E216" i="19"/>
  <c r="S193" i="19"/>
  <c r="AG193" i="19"/>
  <c r="Z193" i="19"/>
  <c r="M169" i="19"/>
  <c r="N146" i="19"/>
  <c r="L146" i="19"/>
  <c r="D195" i="19"/>
  <c r="R172" i="19"/>
  <c r="AF172" i="19"/>
  <c r="Y172" i="19"/>
  <c r="AB172" i="19" s="1"/>
  <c r="AD193" i="19"/>
  <c r="B216" i="19"/>
  <c r="P193" i="19"/>
  <c r="W193" i="19"/>
  <c r="I214" i="19"/>
  <c r="J191" i="19"/>
  <c r="U118" i="19"/>
  <c r="J7" i="30" s="1"/>
  <c r="J8" i="30" s="1"/>
  <c r="J9" i="30" s="1"/>
  <c r="J12" i="30" s="1"/>
  <c r="J13" i="30" s="1"/>
  <c r="AF146" i="19"/>
  <c r="D169" i="19"/>
  <c r="Y146" i="19"/>
  <c r="R146" i="19"/>
  <c r="I164" i="19"/>
  <c r="F164" i="19"/>
  <c r="M145" i="19"/>
  <c r="L122" i="19"/>
  <c r="N122" i="19"/>
  <c r="M141" i="19"/>
  <c r="U122" i="19"/>
  <c r="B218" i="19"/>
  <c r="P195" i="19"/>
  <c r="W195" i="19"/>
  <c r="AD195" i="19"/>
  <c r="G164" i="19"/>
  <c r="D196" i="19"/>
  <c r="AF173" i="19"/>
  <c r="Y173" i="19"/>
  <c r="AB173" i="19" s="1"/>
  <c r="R173" i="19"/>
  <c r="H192" i="19"/>
  <c r="AE196" i="19"/>
  <c r="C219" i="19"/>
  <c r="Q196" i="19"/>
  <c r="X196" i="19"/>
  <c r="J195" i="19"/>
  <c r="F218" i="19"/>
  <c r="H218" i="19" s="1"/>
  <c r="AH195" i="19"/>
  <c r="T195" i="19"/>
  <c r="AA195" i="19"/>
  <c r="B219" i="19"/>
  <c r="P196" i="19"/>
  <c r="AD196" i="19"/>
  <c r="W196" i="19"/>
  <c r="F217" i="19"/>
  <c r="H217" i="19" s="1"/>
  <c r="T194" i="19"/>
  <c r="AH194" i="19"/>
  <c r="AA194" i="19"/>
  <c r="J194" i="19"/>
  <c r="H195" i="19"/>
  <c r="M172" i="19"/>
  <c r="L149" i="19"/>
  <c r="N149" i="19"/>
  <c r="U149" i="19"/>
  <c r="AI149" i="19" s="1"/>
  <c r="AH193" i="19"/>
  <c r="F216" i="19"/>
  <c r="H216" i="19" s="1"/>
  <c r="AA193" i="19"/>
  <c r="T193" i="19"/>
  <c r="J193" i="19"/>
  <c r="D164" i="19"/>
  <c r="M150" i="19"/>
  <c r="N127" i="19"/>
  <c r="L127" i="19"/>
  <c r="U127" i="19"/>
  <c r="AI127" i="19" s="1"/>
  <c r="S195" i="19"/>
  <c r="E218" i="19"/>
  <c r="AG195" i="19"/>
  <c r="Z195" i="19"/>
  <c r="R141" i="19"/>
  <c r="C216" i="19"/>
  <c r="X193" i="19"/>
  <c r="Q193" i="19"/>
  <c r="AE193" i="19"/>
  <c r="E164" i="19"/>
  <c r="AY12" i="44"/>
  <c r="AZ8" i="44"/>
  <c r="AY7" i="44"/>
  <c r="Q20" i="23"/>
  <c r="J13" i="32"/>
  <c r="I9" i="28"/>
  <c r="I12" i="28" s="1"/>
  <c r="H9" i="28"/>
  <c r="G12" i="28"/>
  <c r="G13" i="28" s="1"/>
  <c r="G31" i="28"/>
  <c r="V21" i="1"/>
  <c r="F54" i="28" s="1"/>
  <c r="V26" i="1"/>
  <c r="F56" i="28" s="1"/>
  <c r="AG164" i="19" l="1"/>
  <c r="D187" i="19"/>
  <c r="E187" i="19"/>
  <c r="H187" i="19"/>
  <c r="G187" i="19"/>
  <c r="K187" i="19"/>
  <c r="J187" i="19"/>
  <c r="U141" i="19"/>
  <c r="AI122" i="19"/>
  <c r="AI141" i="19" s="1"/>
  <c r="K7" i="46" s="1"/>
  <c r="K8" i="46" s="1"/>
  <c r="K9" i="46" s="1"/>
  <c r="K12" i="46" s="1"/>
  <c r="K13" i="46" s="1"/>
  <c r="AA215" i="19"/>
  <c r="AH215" i="19"/>
  <c r="T215" i="19"/>
  <c r="J215" i="19"/>
  <c r="T218" i="19"/>
  <c r="AH218" i="19"/>
  <c r="AA218" i="19"/>
  <c r="J218" i="19"/>
  <c r="AG218" i="19"/>
  <c r="S218" i="19"/>
  <c r="Z218" i="19"/>
  <c r="M173" i="19"/>
  <c r="N150" i="19"/>
  <c r="L150" i="19"/>
  <c r="U150" i="19"/>
  <c r="AI150" i="19" s="1"/>
  <c r="M195" i="19"/>
  <c r="U172" i="19"/>
  <c r="AI172" i="19" s="1"/>
  <c r="L172" i="19"/>
  <c r="N172" i="19"/>
  <c r="X219" i="19"/>
  <c r="AE219" i="19"/>
  <c r="Q219" i="19"/>
  <c r="D219" i="19"/>
  <c r="R196" i="19"/>
  <c r="AF196" i="19"/>
  <c r="Y196" i="19"/>
  <c r="AB196" i="19" s="1"/>
  <c r="J214" i="19"/>
  <c r="S214" i="19"/>
  <c r="AG214" i="19"/>
  <c r="Z214" i="19"/>
  <c r="L141" i="19"/>
  <c r="Y164" i="19"/>
  <c r="AB146" i="19"/>
  <c r="AB164" i="19" s="1"/>
  <c r="L7" i="32" s="1"/>
  <c r="L8" i="32" s="1"/>
  <c r="L9" i="32" s="1"/>
  <c r="L12" i="32" s="1"/>
  <c r="AA164" i="19"/>
  <c r="Z164" i="19"/>
  <c r="X216" i="19"/>
  <c r="AE216" i="19"/>
  <c r="Q216" i="19"/>
  <c r="R164" i="19"/>
  <c r="N141" i="19"/>
  <c r="K7" i="28" s="1"/>
  <c r="D192" i="19"/>
  <c r="Y169" i="19"/>
  <c r="AF169" i="19"/>
  <c r="R169" i="19"/>
  <c r="I187" i="19"/>
  <c r="F187" i="19"/>
  <c r="AE218" i="19"/>
  <c r="Q218" i="19"/>
  <c r="X218" i="19"/>
  <c r="T164" i="19"/>
  <c r="AG219" i="19"/>
  <c r="Z219" i="19"/>
  <c r="S219" i="19"/>
  <c r="AD217" i="19"/>
  <c r="P217" i="19"/>
  <c r="W217" i="19"/>
  <c r="D217" i="19"/>
  <c r="R194" i="19"/>
  <c r="Y194" i="19"/>
  <c r="AB194" i="19" s="1"/>
  <c r="AF194" i="19"/>
  <c r="Z217" i="19"/>
  <c r="AG217" i="19"/>
  <c r="S217" i="19"/>
  <c r="AD214" i="19"/>
  <c r="W214" i="19"/>
  <c r="P214" i="19"/>
  <c r="AH164" i="19"/>
  <c r="AF195" i="19"/>
  <c r="D218" i="19"/>
  <c r="Y195" i="19"/>
  <c r="AB195" i="19" s="1"/>
  <c r="R195" i="19"/>
  <c r="Y191" i="19"/>
  <c r="AB191" i="19" s="1"/>
  <c r="D214" i="19"/>
  <c r="R191" i="19"/>
  <c r="AF191" i="19"/>
  <c r="AF170" i="19"/>
  <c r="D193" i="19"/>
  <c r="H210" i="19" s="1"/>
  <c r="Y170" i="19"/>
  <c r="AB170" i="19" s="1"/>
  <c r="R170" i="19"/>
  <c r="AE217" i="19"/>
  <c r="X217" i="19"/>
  <c r="Q217" i="19"/>
  <c r="AD215" i="19"/>
  <c r="P215" i="19"/>
  <c r="W215" i="19"/>
  <c r="M192" i="19"/>
  <c r="L169" i="19"/>
  <c r="N169" i="19"/>
  <c r="AG215" i="19"/>
  <c r="S215" i="19"/>
  <c r="Z215" i="19"/>
  <c r="AH216" i="19"/>
  <c r="AA216" i="19"/>
  <c r="T216" i="19"/>
  <c r="J216" i="19"/>
  <c r="M168" i="19"/>
  <c r="L145" i="19"/>
  <c r="M164" i="19"/>
  <c r="N145" i="19"/>
  <c r="U145" i="19"/>
  <c r="AI145" i="19" s="1"/>
  <c r="P216" i="19"/>
  <c r="AD216" i="19"/>
  <c r="W216" i="19"/>
  <c r="Q214" i="19"/>
  <c r="X214" i="19"/>
  <c r="AE214" i="19"/>
  <c r="AF164" i="19"/>
  <c r="M170" i="19"/>
  <c r="U147" i="19"/>
  <c r="AI147" i="19" s="1"/>
  <c r="L147" i="19"/>
  <c r="N147" i="19"/>
  <c r="W219" i="19"/>
  <c r="AD219" i="19"/>
  <c r="P219" i="19"/>
  <c r="AH217" i="19"/>
  <c r="T217" i="19"/>
  <c r="AA217" i="19"/>
  <c r="J217" i="19"/>
  <c r="W218" i="19"/>
  <c r="P218" i="19"/>
  <c r="AD218" i="19"/>
  <c r="U146" i="19"/>
  <c r="AG216" i="19"/>
  <c r="S216" i="19"/>
  <c r="Z216" i="19"/>
  <c r="M194" i="19"/>
  <c r="N171" i="19"/>
  <c r="L171" i="19"/>
  <c r="U171" i="19"/>
  <c r="AI171" i="19" s="1"/>
  <c r="AA219" i="19"/>
  <c r="AH219" i="19"/>
  <c r="T219" i="19"/>
  <c r="H219" i="19"/>
  <c r="J219" i="19"/>
  <c r="Q215" i="19"/>
  <c r="X215" i="19"/>
  <c r="AE215" i="19"/>
  <c r="S164" i="19"/>
  <c r="K7" i="30"/>
  <c r="K8" i="30" s="1"/>
  <c r="K9" i="30" s="1"/>
  <c r="K12" i="30" s="1"/>
  <c r="K13" i="30" s="1"/>
  <c r="AZ12" i="44"/>
  <c r="AZ7" i="44"/>
  <c r="BA8" i="44"/>
  <c r="Q45" i="23"/>
  <c r="D45" i="23"/>
  <c r="Q43" i="23"/>
  <c r="D43" i="23"/>
  <c r="R20" i="23"/>
  <c r="E20" i="23"/>
  <c r="K13" i="32"/>
  <c r="I31" i="28"/>
  <c r="H12" i="28"/>
  <c r="H13" i="28" s="1"/>
  <c r="H31" i="28"/>
  <c r="J8" i="28"/>
  <c r="G56" i="28"/>
  <c r="G54" i="28"/>
  <c r="Z187" i="19" l="1"/>
  <c r="AH187" i="19"/>
  <c r="J210" i="19"/>
  <c r="L164" i="19"/>
  <c r="D210" i="19"/>
  <c r="K210" i="19"/>
  <c r="T187" i="19"/>
  <c r="F210" i="19"/>
  <c r="U164" i="19"/>
  <c r="L7" i="30" s="1"/>
  <c r="L8" i="30" s="1"/>
  <c r="L9" i="30" s="1"/>
  <c r="L12" i="30" s="1"/>
  <c r="L13" i="30" s="1"/>
  <c r="AI146" i="19"/>
  <c r="AI164" i="19" s="1"/>
  <c r="L7" i="46" s="1"/>
  <c r="L8" i="46" s="1"/>
  <c r="L9" i="46" s="1"/>
  <c r="L12" i="46" s="1"/>
  <c r="L13" i="46" s="1"/>
  <c r="M193" i="19"/>
  <c r="U170" i="19"/>
  <c r="AI170" i="19" s="1"/>
  <c r="N170" i="19"/>
  <c r="L170" i="19"/>
  <c r="U169" i="19"/>
  <c r="Y217" i="19"/>
  <c r="AB217" i="19" s="1"/>
  <c r="AF217" i="19"/>
  <c r="R217" i="19"/>
  <c r="M217" i="19"/>
  <c r="U194" i="19"/>
  <c r="AI194" i="19" s="1"/>
  <c r="L194" i="19"/>
  <c r="N194" i="19"/>
  <c r="G210" i="19"/>
  <c r="M196" i="19"/>
  <c r="L173" i="19"/>
  <c r="N173" i="19"/>
  <c r="U173" i="19"/>
  <c r="AI173" i="19" s="1"/>
  <c r="M215" i="19"/>
  <c r="L192" i="19"/>
  <c r="N192" i="19"/>
  <c r="AF187" i="19"/>
  <c r="E210" i="19"/>
  <c r="Y187" i="19"/>
  <c r="AB169" i="19"/>
  <c r="AB187" i="19" s="1"/>
  <c r="M7" i="32" s="1"/>
  <c r="M8" i="32" s="1"/>
  <c r="M9" i="32" s="1"/>
  <c r="M12" i="32" s="1"/>
  <c r="AA187" i="19"/>
  <c r="S187" i="19"/>
  <c r="AF219" i="19"/>
  <c r="R219" i="19"/>
  <c r="Y219" i="19"/>
  <c r="AB219" i="19" s="1"/>
  <c r="R187" i="19"/>
  <c r="AF192" i="19"/>
  <c r="Y192" i="19"/>
  <c r="R192" i="19"/>
  <c r="D215" i="19"/>
  <c r="I210" i="19"/>
  <c r="M218" i="19"/>
  <c r="N195" i="19"/>
  <c r="L195" i="19"/>
  <c r="U195" i="19"/>
  <c r="AI195" i="19" s="1"/>
  <c r="Y218" i="19"/>
  <c r="AB218" i="19" s="1"/>
  <c r="AF218" i="19"/>
  <c r="R218" i="19"/>
  <c r="M191" i="19"/>
  <c r="N168" i="19"/>
  <c r="M187" i="19"/>
  <c r="U168" i="19"/>
  <c r="AI168" i="19" s="1"/>
  <c r="L168" i="19"/>
  <c r="N164" i="19"/>
  <c r="L7" i="28" s="1"/>
  <c r="Y214" i="19"/>
  <c r="AB214" i="19" s="1"/>
  <c r="R214" i="19"/>
  <c r="AF214" i="19"/>
  <c r="D216" i="19"/>
  <c r="AF193" i="19"/>
  <c r="Y193" i="19"/>
  <c r="R193" i="19"/>
  <c r="AG187" i="19"/>
  <c r="BA12" i="44"/>
  <c r="BB8" i="44"/>
  <c r="BA7" i="44"/>
  <c r="R43" i="23"/>
  <c r="E43" i="23"/>
  <c r="R45" i="23"/>
  <c r="E45" i="23"/>
  <c r="T20" i="23"/>
  <c r="G20" i="23"/>
  <c r="S20" i="23"/>
  <c r="F20" i="23"/>
  <c r="L13" i="32"/>
  <c r="H54" i="28"/>
  <c r="H56" i="28"/>
  <c r="I13" i="28"/>
  <c r="J9" i="28"/>
  <c r="K8" i="28"/>
  <c r="E34" i="1"/>
  <c r="AG210" i="19" l="1"/>
  <c r="G233" i="19"/>
  <c r="H233" i="19"/>
  <c r="AI169" i="19"/>
  <c r="AI187" i="19" s="1"/>
  <c r="M7" i="46" s="1"/>
  <c r="M8" i="46" s="1"/>
  <c r="M9" i="46" s="1"/>
  <c r="M12" i="46" s="1"/>
  <c r="M13" i="46" s="1"/>
  <c r="L187" i="19"/>
  <c r="AF210" i="19"/>
  <c r="M216" i="19"/>
  <c r="L193" i="19"/>
  <c r="N193" i="19"/>
  <c r="U193" i="19"/>
  <c r="N218" i="19"/>
  <c r="U218" i="19"/>
  <c r="AI218" i="19" s="1"/>
  <c r="L218" i="19"/>
  <c r="R210" i="19"/>
  <c r="L215" i="19"/>
  <c r="N215" i="19"/>
  <c r="AF215" i="19"/>
  <c r="R215" i="19"/>
  <c r="Y215" i="19"/>
  <c r="F233" i="19"/>
  <c r="K233" i="19"/>
  <c r="T210" i="19"/>
  <c r="S210" i="19"/>
  <c r="J233" i="19"/>
  <c r="U187" i="19"/>
  <c r="M7" i="30" s="1"/>
  <c r="M8" i="30" s="1"/>
  <c r="M9" i="30" s="1"/>
  <c r="M12" i="30" s="1"/>
  <c r="M13" i="30" s="1"/>
  <c r="AA210" i="19"/>
  <c r="Z210" i="19"/>
  <c r="AB192" i="19"/>
  <c r="U192" i="19"/>
  <c r="M219" i="19"/>
  <c r="L196" i="19"/>
  <c r="N196" i="19"/>
  <c r="U196" i="19"/>
  <c r="AI196" i="19" s="1"/>
  <c r="N217" i="19"/>
  <c r="L217" i="19"/>
  <c r="U217" i="19"/>
  <c r="AI217" i="19" s="1"/>
  <c r="I233" i="19"/>
  <c r="Y210" i="19"/>
  <c r="AB193" i="19"/>
  <c r="AH210" i="19"/>
  <c r="E233" i="19"/>
  <c r="D233" i="19"/>
  <c r="N187" i="19"/>
  <c r="AF216" i="19"/>
  <c r="Y216" i="19"/>
  <c r="AB216" i="19" s="1"/>
  <c r="R216" i="19"/>
  <c r="M214" i="19"/>
  <c r="N191" i="19"/>
  <c r="L191" i="19"/>
  <c r="M210" i="19"/>
  <c r="U191" i="19"/>
  <c r="AI191" i="19" s="1"/>
  <c r="BB12" i="44"/>
  <c r="BC8" i="44"/>
  <c r="BB7" i="44"/>
  <c r="S45" i="23"/>
  <c r="F45" i="23"/>
  <c r="S43" i="23"/>
  <c r="F43" i="23"/>
  <c r="M13" i="32"/>
  <c r="I56" i="28"/>
  <c r="I54" i="28"/>
  <c r="K9" i="28"/>
  <c r="J31" i="28"/>
  <c r="J12" i="28"/>
  <c r="J13" i="28" s="1"/>
  <c r="L8" i="28"/>
  <c r="L210" i="19" l="1"/>
  <c r="N210" i="19"/>
  <c r="N7" i="28" s="1"/>
  <c r="AG233" i="19"/>
  <c r="AI192" i="19"/>
  <c r="AI193" i="19"/>
  <c r="S233" i="19"/>
  <c r="U210" i="19"/>
  <c r="N7" i="30" s="1"/>
  <c r="N8" i="30" s="1"/>
  <c r="N9" i="30" s="1"/>
  <c r="N12" i="30" s="1"/>
  <c r="N13" i="30" s="1"/>
  <c r="AB210" i="19"/>
  <c r="N7" i="32" s="1"/>
  <c r="N8" i="32" s="1"/>
  <c r="N9" i="32" s="1"/>
  <c r="N12" i="32" s="1"/>
  <c r="L216" i="19"/>
  <c r="N216" i="19"/>
  <c r="U216" i="19"/>
  <c r="AI216" i="19" s="1"/>
  <c r="AF233" i="19"/>
  <c r="R233" i="19"/>
  <c r="Y233" i="19"/>
  <c r="U215" i="19"/>
  <c r="M7" i="28"/>
  <c r="T233" i="19"/>
  <c r="M233" i="19"/>
  <c r="L214" i="19"/>
  <c r="U214" i="19"/>
  <c r="AI214" i="19" s="1"/>
  <c r="N214" i="19"/>
  <c r="L219" i="19"/>
  <c r="U219" i="19"/>
  <c r="AI219" i="19" s="1"/>
  <c r="N219" i="19"/>
  <c r="AB215" i="19"/>
  <c r="AB233" i="19" s="1"/>
  <c r="O7" i="32" s="1"/>
  <c r="Z233" i="19"/>
  <c r="AA233" i="19"/>
  <c r="AH233" i="19"/>
  <c r="BC12" i="44"/>
  <c r="BC7" i="44"/>
  <c r="BD8" i="44"/>
  <c r="T45" i="23"/>
  <c r="G45" i="23"/>
  <c r="J56" i="28"/>
  <c r="K56" i="28" s="1"/>
  <c r="T43" i="23"/>
  <c r="G43" i="23"/>
  <c r="U20" i="23"/>
  <c r="H20" i="23"/>
  <c r="J54" i="28"/>
  <c r="K12" i="28"/>
  <c r="K13" i="28" s="1"/>
  <c r="K31" i="28"/>
  <c r="L9" i="28"/>
  <c r="V48" i="1"/>
  <c r="F72" i="28" s="1"/>
  <c r="AI210" i="19" l="1"/>
  <c r="N7" i="46" s="1"/>
  <c r="N8" i="46" s="1"/>
  <c r="N9" i="46" s="1"/>
  <c r="N12" i="46" s="1"/>
  <c r="N13" i="46" s="1"/>
  <c r="AI215" i="19"/>
  <c r="AI233" i="19" s="1"/>
  <c r="O7" i="46" s="1"/>
  <c r="O8" i="46" s="1"/>
  <c r="O9" i="46" s="1"/>
  <c r="O12" i="46" s="1"/>
  <c r="N233" i="19"/>
  <c r="O7" i="28" s="1"/>
  <c r="U233" i="19"/>
  <c r="O7" i="30" s="1"/>
  <c r="O8" i="30" s="1"/>
  <c r="O9" i="30" s="1"/>
  <c r="O12" i="30" s="1"/>
  <c r="O13" i="30" s="1"/>
  <c r="M8" i="28"/>
  <c r="M9" i="28" s="1"/>
  <c r="L233" i="19"/>
  <c r="N8" i="28"/>
  <c r="N9" i="28" s="1"/>
  <c r="BD12" i="44"/>
  <c r="BD7" i="44"/>
  <c r="BE8" i="44"/>
  <c r="U43" i="23"/>
  <c r="H43" i="23"/>
  <c r="Q61" i="23"/>
  <c r="D61" i="23"/>
  <c r="U45" i="23"/>
  <c r="H45" i="23"/>
  <c r="V45" i="23"/>
  <c r="I45" i="23"/>
  <c r="V20" i="23"/>
  <c r="I20" i="23"/>
  <c r="O8" i="32"/>
  <c r="O9" i="32" s="1"/>
  <c r="O12" i="32" s="1"/>
  <c r="N13" i="32"/>
  <c r="K54" i="28"/>
  <c r="L12" i="28"/>
  <c r="L31" i="28"/>
  <c r="G72" i="28"/>
  <c r="L56" i="28"/>
  <c r="V41" i="1"/>
  <c r="O13" i="46" l="1"/>
  <c r="M31" i="28"/>
  <c r="M12" i="28"/>
  <c r="M13" i="28" s="1"/>
  <c r="N31" i="28"/>
  <c r="N12" i="28"/>
  <c r="O8" i="28"/>
  <c r="O9" i="28" s="1"/>
  <c r="BE12" i="44"/>
  <c r="BF8" i="44"/>
  <c r="BE7" i="44"/>
  <c r="W45" i="23"/>
  <c r="J45" i="23"/>
  <c r="R61" i="23"/>
  <c r="E61" i="23"/>
  <c r="V43" i="23"/>
  <c r="I43" i="23"/>
  <c r="W20" i="23"/>
  <c r="J20" i="23"/>
  <c r="O13" i="32"/>
  <c r="L54" i="28"/>
  <c r="H72" i="28"/>
  <c r="L13" i="28"/>
  <c r="M56" i="28"/>
  <c r="U27" i="1"/>
  <c r="U15" i="1"/>
  <c r="U12" i="1"/>
  <c r="U11" i="1"/>
  <c r="U10" i="1"/>
  <c r="O51" i="1"/>
  <c r="O52" i="1"/>
  <c r="O45" i="1"/>
  <c r="O47" i="1"/>
  <c r="O46" i="1"/>
  <c r="O48" i="1"/>
  <c r="O50" i="1"/>
  <c r="O42" i="1"/>
  <c r="O44" i="1"/>
  <c r="O49" i="1"/>
  <c r="N13" i="28" l="1"/>
  <c r="O12" i="28"/>
  <c r="O13" i="28" s="1"/>
  <c r="O31" i="28"/>
  <c r="Y20" i="23"/>
  <c r="L20" i="23"/>
  <c r="X20" i="23"/>
  <c r="K20" i="23"/>
  <c r="BF12" i="44"/>
  <c r="BG8" i="44"/>
  <c r="BF7" i="44"/>
  <c r="X45" i="23"/>
  <c r="K45" i="23"/>
  <c r="S61" i="23"/>
  <c r="F61" i="23"/>
  <c r="W43" i="23"/>
  <c r="J43" i="23"/>
  <c r="M54" i="28"/>
  <c r="I72" i="28"/>
  <c r="N56" i="28"/>
  <c r="M20" i="23" l="1"/>
  <c r="Z20" i="23"/>
  <c r="BG12" i="44"/>
  <c r="BH8" i="44"/>
  <c r="BG7" i="44"/>
  <c r="T61" i="23"/>
  <c r="G61" i="23"/>
  <c r="X43" i="23"/>
  <c r="K43" i="23"/>
  <c r="Y45" i="23"/>
  <c r="L45" i="23"/>
  <c r="N54" i="28"/>
  <c r="O54" i="28" s="1"/>
  <c r="J72" i="28"/>
  <c r="K72" i="28" s="1"/>
  <c r="O56" i="28"/>
  <c r="V28" i="1"/>
  <c r="F58" i="28" s="1"/>
  <c r="O20" i="1"/>
  <c r="P43" i="1"/>
  <c r="F33" i="28" s="1"/>
  <c r="BH12" i="44" l="1"/>
  <c r="BH7" i="44"/>
  <c r="BI8" i="44"/>
  <c r="Z43" i="23"/>
  <c r="M43" i="23"/>
  <c r="V61" i="23"/>
  <c r="I61" i="23"/>
  <c r="Z45" i="23"/>
  <c r="M45" i="23"/>
  <c r="Q47" i="23"/>
  <c r="D47" i="23"/>
  <c r="Q22" i="23"/>
  <c r="D22" i="23"/>
  <c r="Y43" i="23"/>
  <c r="L43" i="23"/>
  <c r="U61" i="23"/>
  <c r="H61" i="23"/>
  <c r="G58" i="28"/>
  <c r="L72" i="28"/>
  <c r="G33" i="28"/>
  <c r="F43" i="28"/>
  <c r="E31" i="1"/>
  <c r="E33" i="1"/>
  <c r="D49" i="1"/>
  <c r="U46" i="1"/>
  <c r="P33" i="1"/>
  <c r="F26" i="28" s="1"/>
  <c r="P34" i="1"/>
  <c r="F27" i="28" s="1"/>
  <c r="P35" i="1"/>
  <c r="F28" i="28" s="1"/>
  <c r="P32" i="1"/>
  <c r="F25" i="28" s="1"/>
  <c r="G25" i="28" l="1"/>
  <c r="D14" i="23"/>
  <c r="Q14" i="23"/>
  <c r="K94" i="46"/>
  <c r="J94" i="46"/>
  <c r="J129" i="46" s="1"/>
  <c r="G94" i="46"/>
  <c r="H94" i="46"/>
  <c r="I94" i="46"/>
  <c r="M94" i="46"/>
  <c r="F94" i="46"/>
  <c r="L94" i="46"/>
  <c r="L154" i="46" s="1"/>
  <c r="N91" i="46"/>
  <c r="N94" i="46" s="1"/>
  <c r="O91" i="46"/>
  <c r="F42" i="46"/>
  <c r="BI12" i="44"/>
  <c r="BJ8" i="44"/>
  <c r="BI7" i="44"/>
  <c r="Q16" i="23"/>
  <c r="D16" i="23"/>
  <c r="W61" i="23"/>
  <c r="J61" i="23"/>
  <c r="R47" i="23"/>
  <c r="E47" i="23"/>
  <c r="Q15" i="23"/>
  <c r="D15" i="23"/>
  <c r="Q17" i="23"/>
  <c r="D17" i="23"/>
  <c r="R22" i="23"/>
  <c r="E22" i="23"/>
  <c r="F42" i="32"/>
  <c r="D32" i="23"/>
  <c r="L94" i="32"/>
  <c r="L154" i="32" s="1"/>
  <c r="K94" i="32"/>
  <c r="F94" i="32"/>
  <c r="N91" i="32"/>
  <c r="N94" i="32" s="1"/>
  <c r="J94" i="32"/>
  <c r="J129" i="32" s="1"/>
  <c r="O91" i="32"/>
  <c r="I94" i="32"/>
  <c r="M94" i="32"/>
  <c r="G94" i="32"/>
  <c r="H94" i="32"/>
  <c r="Q32" i="23"/>
  <c r="F42" i="30"/>
  <c r="F94" i="30"/>
  <c r="G94" i="30"/>
  <c r="H94" i="30"/>
  <c r="I94" i="30"/>
  <c r="J94" i="30"/>
  <c r="J129" i="30" s="1"/>
  <c r="K94" i="30"/>
  <c r="L94" i="30"/>
  <c r="L154" i="30" s="1"/>
  <c r="M94" i="30"/>
  <c r="N91" i="30"/>
  <c r="N94" i="30" s="1"/>
  <c r="O91" i="30"/>
  <c r="I10" i="1"/>
  <c r="H95" i="28"/>
  <c r="L95" i="28"/>
  <c r="L155" i="28" s="1"/>
  <c r="M95" i="28"/>
  <c r="I95" i="28"/>
  <c r="F95" i="28"/>
  <c r="G95" i="28"/>
  <c r="J95" i="28"/>
  <c r="J130" i="28" s="1"/>
  <c r="K95" i="28"/>
  <c r="N92" i="28"/>
  <c r="N95" i="28" s="1"/>
  <c r="O92" i="28"/>
  <c r="H58" i="28"/>
  <c r="G28" i="28"/>
  <c r="G27" i="28"/>
  <c r="G26" i="28"/>
  <c r="M72" i="28"/>
  <c r="F29" i="28"/>
  <c r="G24" i="28"/>
  <c r="H33" i="28"/>
  <c r="G43" i="28"/>
  <c r="H25" i="28" l="1"/>
  <c r="R14" i="23"/>
  <c r="E14" i="23"/>
  <c r="F90" i="46"/>
  <c r="G90" i="46" s="1"/>
  <c r="H90" i="46" s="1"/>
  <c r="I90" i="46" s="1"/>
  <c r="J90" i="46" s="1"/>
  <c r="K90" i="46" s="1"/>
  <c r="L90" i="46" s="1"/>
  <c r="M90" i="46" s="1"/>
  <c r="N90" i="46" s="1"/>
  <c r="O90" i="46" s="1"/>
  <c r="O94" i="46"/>
  <c r="O179" i="46" s="1"/>
  <c r="G42" i="46"/>
  <c r="F28" i="46"/>
  <c r="BJ12" i="44"/>
  <c r="BK8" i="44"/>
  <c r="BJ7" i="44"/>
  <c r="X61" i="23"/>
  <c r="K61" i="23"/>
  <c r="S47" i="23"/>
  <c r="F47" i="23"/>
  <c r="G42" i="32"/>
  <c r="E32" i="23"/>
  <c r="S22" i="23"/>
  <c r="F22" i="23"/>
  <c r="R17" i="23"/>
  <c r="E17" i="23"/>
  <c r="F28" i="32"/>
  <c r="D18" i="23"/>
  <c r="R15" i="23"/>
  <c r="E15" i="23"/>
  <c r="R16" i="23"/>
  <c r="E16" i="23"/>
  <c r="F90" i="32"/>
  <c r="G90" i="32" s="1"/>
  <c r="H90" i="32" s="1"/>
  <c r="I90" i="32" s="1"/>
  <c r="J90" i="32" s="1"/>
  <c r="K90" i="32" s="1"/>
  <c r="L90" i="32" s="1"/>
  <c r="M90" i="32" s="1"/>
  <c r="N90" i="32" s="1"/>
  <c r="O90" i="32" s="1"/>
  <c r="O94" i="32"/>
  <c r="O179" i="32" s="1"/>
  <c r="E53" i="1"/>
  <c r="R32" i="23"/>
  <c r="G42" i="30"/>
  <c r="Q18" i="23"/>
  <c r="F28" i="30"/>
  <c r="F91" i="28"/>
  <c r="E52" i="1"/>
  <c r="O94" i="30"/>
  <c r="O179" i="30" s="1"/>
  <c r="F90" i="30"/>
  <c r="G90" i="30" s="1"/>
  <c r="H90" i="30" s="1"/>
  <c r="I90" i="30" s="1"/>
  <c r="J90" i="30" s="1"/>
  <c r="K90" i="30" s="1"/>
  <c r="L90" i="30" s="1"/>
  <c r="M90" i="30" s="1"/>
  <c r="N90" i="30" s="1"/>
  <c r="O90" i="30" s="1"/>
  <c r="H28" i="28"/>
  <c r="H26" i="28"/>
  <c r="O95" i="28"/>
  <c r="O180" i="28" s="1"/>
  <c r="I58" i="28"/>
  <c r="H27" i="28"/>
  <c r="N72" i="28"/>
  <c r="I33" i="28"/>
  <c r="H43" i="28"/>
  <c r="H24" i="28"/>
  <c r="G29" i="28"/>
  <c r="V42" i="1"/>
  <c r="P13" i="1"/>
  <c r="V20" i="1"/>
  <c r="F53" i="28" s="1"/>
  <c r="O35" i="1"/>
  <c r="P21" i="1"/>
  <c r="F20" i="28" s="1"/>
  <c r="E20" i="28" s="1"/>
  <c r="I25" i="28" l="1"/>
  <c r="F14" i="23"/>
  <c r="S14" i="23"/>
  <c r="C10" i="23"/>
  <c r="P10" i="23"/>
  <c r="E22" i="28"/>
  <c r="H42" i="46"/>
  <c r="G28" i="46"/>
  <c r="BK12" i="44"/>
  <c r="BK7" i="44"/>
  <c r="BL8" i="44"/>
  <c r="G91" i="28"/>
  <c r="H91" i="28" s="1"/>
  <c r="Y61" i="23"/>
  <c r="L61" i="23"/>
  <c r="Q42" i="23"/>
  <c r="D42" i="23"/>
  <c r="Q10" i="23"/>
  <c r="D10" i="23"/>
  <c r="T47" i="23"/>
  <c r="G47" i="23"/>
  <c r="E54" i="1"/>
  <c r="H42" i="32"/>
  <c r="F32" i="23"/>
  <c r="T22" i="23"/>
  <c r="G22" i="23"/>
  <c r="S16" i="23"/>
  <c r="F16" i="23"/>
  <c r="S17" i="23"/>
  <c r="F17" i="23"/>
  <c r="G28" i="32"/>
  <c r="E18" i="23"/>
  <c r="S15" i="23"/>
  <c r="F15" i="23"/>
  <c r="R18" i="23"/>
  <c r="G28" i="30"/>
  <c r="S32" i="23"/>
  <c r="H42" i="30"/>
  <c r="I28" i="28"/>
  <c r="I26" i="28"/>
  <c r="J26" i="28" s="1"/>
  <c r="I27" i="28"/>
  <c r="J58" i="28"/>
  <c r="O72" i="28"/>
  <c r="I24" i="28"/>
  <c r="H29" i="28"/>
  <c r="G53" i="28"/>
  <c r="J33" i="28"/>
  <c r="I43" i="28"/>
  <c r="G20" i="28"/>
  <c r="F22" i="28"/>
  <c r="V43" i="1"/>
  <c r="V22" i="1"/>
  <c r="F55" i="28" s="1"/>
  <c r="V51" i="1"/>
  <c r="F75" i="28" s="1"/>
  <c r="O34" i="1"/>
  <c r="V49" i="1"/>
  <c r="F73" i="28" s="1"/>
  <c r="V50" i="1"/>
  <c r="F74" i="28" s="1"/>
  <c r="O32" i="1"/>
  <c r="O33" i="1"/>
  <c r="J25" i="28" l="1"/>
  <c r="T14" i="23"/>
  <c r="G14" i="23"/>
  <c r="E22" i="32"/>
  <c r="E78" i="32" s="1"/>
  <c r="E80" i="32" s="1"/>
  <c r="C12" i="23"/>
  <c r="P12" i="23"/>
  <c r="E22" i="30"/>
  <c r="E78" i="30" s="1"/>
  <c r="E80" i="30" s="1"/>
  <c r="E22" i="46"/>
  <c r="E78" i="46" s="1"/>
  <c r="E80" i="46" s="1"/>
  <c r="E79" i="28"/>
  <c r="I42" i="46"/>
  <c r="H28" i="46"/>
  <c r="F22" i="46"/>
  <c r="BL12" i="44"/>
  <c r="BL7" i="44"/>
  <c r="BM8" i="44"/>
  <c r="Z61" i="23"/>
  <c r="M61" i="23"/>
  <c r="Q62" i="23"/>
  <c r="D62" i="23"/>
  <c r="Q63" i="23"/>
  <c r="D63" i="23"/>
  <c r="R42" i="23"/>
  <c r="E42" i="23"/>
  <c r="U47" i="23"/>
  <c r="H47" i="23"/>
  <c r="Q64" i="23"/>
  <c r="D64" i="23"/>
  <c r="Q44" i="23"/>
  <c r="D44" i="23"/>
  <c r="I42" i="32"/>
  <c r="G32" i="23"/>
  <c r="U22" i="23"/>
  <c r="H22" i="23"/>
  <c r="H28" i="32"/>
  <c r="F18" i="23"/>
  <c r="T16" i="23"/>
  <c r="G16" i="23"/>
  <c r="T17" i="23"/>
  <c r="G17" i="23"/>
  <c r="U15" i="23"/>
  <c r="H15" i="23"/>
  <c r="T15" i="23"/>
  <c r="G15" i="23"/>
  <c r="J27" i="28"/>
  <c r="F22" i="32"/>
  <c r="D12" i="23"/>
  <c r="R10" i="23"/>
  <c r="E10" i="23"/>
  <c r="S18" i="23"/>
  <c r="H28" i="30"/>
  <c r="T32" i="23"/>
  <c r="I42" i="30"/>
  <c r="J28" i="28"/>
  <c r="Q12" i="23"/>
  <c r="F22" i="30"/>
  <c r="I91" i="28"/>
  <c r="K58" i="28"/>
  <c r="G75" i="28"/>
  <c r="G55" i="28"/>
  <c r="G74" i="28"/>
  <c r="G73" i="28"/>
  <c r="K26" i="28"/>
  <c r="K33" i="28"/>
  <c r="J43" i="28"/>
  <c r="H53" i="28"/>
  <c r="F59" i="28"/>
  <c r="H20" i="28"/>
  <c r="G22" i="28"/>
  <c r="J24" i="28"/>
  <c r="I29" i="28"/>
  <c r="V45" i="1"/>
  <c r="V46" i="1" s="1"/>
  <c r="U22" i="1"/>
  <c r="K25" i="28" l="1"/>
  <c r="U14" i="23"/>
  <c r="H14" i="23"/>
  <c r="E88" i="30"/>
  <c r="E81" i="30"/>
  <c r="P68" i="23"/>
  <c r="C68" i="23"/>
  <c r="E81" i="28"/>
  <c r="E88" i="32"/>
  <c r="E81" i="32"/>
  <c r="E81" i="46"/>
  <c r="E88" i="46"/>
  <c r="F58" i="46"/>
  <c r="J42" i="46"/>
  <c r="I28" i="46"/>
  <c r="G22" i="46"/>
  <c r="BM12" i="44"/>
  <c r="BN8" i="44"/>
  <c r="BM7" i="44"/>
  <c r="R62" i="23"/>
  <c r="E62" i="23"/>
  <c r="V47" i="23"/>
  <c r="I47" i="23"/>
  <c r="F58" i="32"/>
  <c r="D48" i="23"/>
  <c r="S42" i="23"/>
  <c r="F42" i="23"/>
  <c r="R63" i="23"/>
  <c r="E63" i="23"/>
  <c r="R44" i="23"/>
  <c r="E44" i="23"/>
  <c r="R64" i="23"/>
  <c r="E64" i="23"/>
  <c r="J42" i="32"/>
  <c r="H32" i="23"/>
  <c r="V22" i="23"/>
  <c r="I22" i="23"/>
  <c r="U17" i="23"/>
  <c r="H17" i="23"/>
  <c r="U16" i="23"/>
  <c r="H16" i="23"/>
  <c r="K28" i="28"/>
  <c r="L28" i="28" s="1"/>
  <c r="I28" i="32"/>
  <c r="G18" i="23"/>
  <c r="K27" i="28"/>
  <c r="L27" i="28" s="1"/>
  <c r="V15" i="23"/>
  <c r="I15" i="23"/>
  <c r="G22" i="32"/>
  <c r="E12" i="23"/>
  <c r="S10" i="23"/>
  <c r="F10" i="23"/>
  <c r="Q48" i="23"/>
  <c r="F58" i="30"/>
  <c r="U32" i="23"/>
  <c r="J42" i="30"/>
  <c r="R12" i="23"/>
  <c r="G22" i="30"/>
  <c r="T18" i="23"/>
  <c r="I28" i="30"/>
  <c r="F71" i="28"/>
  <c r="F77" i="28" s="1"/>
  <c r="H55" i="28"/>
  <c r="H75" i="28"/>
  <c r="H74" i="28"/>
  <c r="J91" i="28"/>
  <c r="L58" i="28"/>
  <c r="G59" i="28"/>
  <c r="H73" i="28"/>
  <c r="L26" i="28"/>
  <c r="I53" i="28"/>
  <c r="J29" i="28"/>
  <c r="K24" i="28"/>
  <c r="I20" i="28"/>
  <c r="H22" i="28"/>
  <c r="L33" i="28"/>
  <c r="K43" i="28"/>
  <c r="G71" i="28" l="1"/>
  <c r="E60" i="23" s="1"/>
  <c r="L25" i="28"/>
  <c r="V14" i="23"/>
  <c r="I14" i="23"/>
  <c r="E89" i="28"/>
  <c r="E30" i="1" s="1"/>
  <c r="E82" i="28"/>
  <c r="F76" i="46"/>
  <c r="F78" i="46" s="1"/>
  <c r="F80" i="46" s="1"/>
  <c r="F88" i="46" s="1"/>
  <c r="G58" i="46"/>
  <c r="K42" i="46"/>
  <c r="J28" i="46"/>
  <c r="H22" i="46"/>
  <c r="BN7" i="44"/>
  <c r="BO8" i="44"/>
  <c r="G58" i="32"/>
  <c r="E48" i="23"/>
  <c r="Q60" i="23"/>
  <c r="D60" i="23"/>
  <c r="S63" i="23"/>
  <c r="F63" i="23"/>
  <c r="G42" i="23"/>
  <c r="T42" i="23"/>
  <c r="W47" i="23"/>
  <c r="J47" i="23"/>
  <c r="S64" i="23"/>
  <c r="F64" i="23"/>
  <c r="S62" i="23"/>
  <c r="F62" i="23"/>
  <c r="S44" i="23"/>
  <c r="F44" i="23"/>
  <c r="F76" i="32"/>
  <c r="F78" i="32" s="1"/>
  <c r="F80" i="32" s="1"/>
  <c r="F101" i="32" s="1"/>
  <c r="D66" i="23"/>
  <c r="W22" i="23"/>
  <c r="J22" i="23"/>
  <c r="K42" i="32"/>
  <c r="I32" i="23"/>
  <c r="V17" i="23"/>
  <c r="I17" i="23"/>
  <c r="W15" i="23"/>
  <c r="J15" i="23"/>
  <c r="W17" i="23"/>
  <c r="J17" i="23"/>
  <c r="W16" i="23"/>
  <c r="J16" i="23"/>
  <c r="V16" i="23"/>
  <c r="I16" i="23"/>
  <c r="J28" i="32"/>
  <c r="H18" i="23"/>
  <c r="H22" i="32"/>
  <c r="F12" i="23"/>
  <c r="T10" i="23"/>
  <c r="G10" i="23"/>
  <c r="S12" i="23"/>
  <c r="H22" i="30"/>
  <c r="I55" i="28"/>
  <c r="J55" i="28" s="1"/>
  <c r="V32" i="23"/>
  <c r="K42" i="30"/>
  <c r="R48" i="23"/>
  <c r="G58" i="30"/>
  <c r="U18" i="23"/>
  <c r="J28" i="30"/>
  <c r="I74" i="28"/>
  <c r="Q66" i="23"/>
  <c r="F76" i="30"/>
  <c r="H59" i="28"/>
  <c r="I75" i="28"/>
  <c r="K91" i="28"/>
  <c r="M58" i="28"/>
  <c r="I73" i="28"/>
  <c r="M28" i="28"/>
  <c r="M26" i="28"/>
  <c r="M27" i="28"/>
  <c r="F79" i="28"/>
  <c r="J20" i="28"/>
  <c r="I22" i="28"/>
  <c r="L24" i="28"/>
  <c r="K29" i="28"/>
  <c r="J53" i="28"/>
  <c r="G77" i="28"/>
  <c r="H71" i="28"/>
  <c r="M33" i="28"/>
  <c r="L43" i="28"/>
  <c r="R60" i="23" l="1"/>
  <c r="M25" i="28"/>
  <c r="J14" i="23"/>
  <c r="W14" i="23"/>
  <c r="I59" i="28"/>
  <c r="I58" i="30" s="1"/>
  <c r="F117" i="46"/>
  <c r="F119" i="46" s="1"/>
  <c r="F120" i="46" s="1"/>
  <c r="F142" i="46"/>
  <c r="F144" i="46" s="1"/>
  <c r="F145" i="46" s="1"/>
  <c r="F167" i="46"/>
  <c r="F169" i="46" s="1"/>
  <c r="F170" i="46" s="1"/>
  <c r="F98" i="46"/>
  <c r="F92" i="46"/>
  <c r="F128" i="46" s="1"/>
  <c r="F131" i="46" s="1"/>
  <c r="F97" i="46"/>
  <c r="F96" i="46"/>
  <c r="F99" i="46" s="1"/>
  <c r="F102" i="46"/>
  <c r="F104" i="46" s="1"/>
  <c r="F101" i="46"/>
  <c r="F81" i="46"/>
  <c r="G76" i="46"/>
  <c r="G78" i="46" s="1"/>
  <c r="G80" i="46" s="1"/>
  <c r="G81" i="46" s="1"/>
  <c r="H58" i="46"/>
  <c r="L42" i="46"/>
  <c r="K28" i="46"/>
  <c r="I22" i="46"/>
  <c r="BO11" i="44"/>
  <c r="BO12" i="44"/>
  <c r="BP8" i="44"/>
  <c r="BO7" i="44"/>
  <c r="BO20" i="44" s="1"/>
  <c r="F88" i="32"/>
  <c r="F98" i="32" s="1"/>
  <c r="F102" i="32"/>
  <c r="F105" i="32" s="1"/>
  <c r="S60" i="23"/>
  <c r="F60" i="23"/>
  <c r="T63" i="23"/>
  <c r="G63" i="23"/>
  <c r="T44" i="23"/>
  <c r="G44" i="23"/>
  <c r="G76" i="32"/>
  <c r="G78" i="32" s="1"/>
  <c r="G80" i="32" s="1"/>
  <c r="G96" i="32" s="1"/>
  <c r="G99" i="32" s="1"/>
  <c r="E66" i="23"/>
  <c r="T62" i="23"/>
  <c r="G62" i="23"/>
  <c r="T64" i="23"/>
  <c r="G64" i="23"/>
  <c r="F81" i="32"/>
  <c r="U44" i="23"/>
  <c r="H44" i="23"/>
  <c r="F96" i="32"/>
  <c r="F99" i="32" s="1"/>
  <c r="H42" i="23"/>
  <c r="U42" i="23"/>
  <c r="X47" i="23"/>
  <c r="K47" i="23"/>
  <c r="H58" i="32"/>
  <c r="F48" i="23"/>
  <c r="X22" i="23"/>
  <c r="K22" i="23"/>
  <c r="L42" i="32"/>
  <c r="J32" i="23"/>
  <c r="K28" i="32"/>
  <c r="I18" i="23"/>
  <c r="X15" i="23"/>
  <c r="K15" i="23"/>
  <c r="X17" i="23"/>
  <c r="K17" i="23"/>
  <c r="X16" i="23"/>
  <c r="K16" i="23"/>
  <c r="I22" i="32"/>
  <c r="G12" i="23"/>
  <c r="U10" i="23"/>
  <c r="H10" i="23"/>
  <c r="Q68" i="23"/>
  <c r="D68" i="23"/>
  <c r="V18" i="23"/>
  <c r="K28" i="30"/>
  <c r="W32" i="23"/>
  <c r="L42" i="30"/>
  <c r="T12" i="23"/>
  <c r="I22" i="30"/>
  <c r="J74" i="28"/>
  <c r="K74" i="28" s="1"/>
  <c r="S48" i="23"/>
  <c r="H58" i="30"/>
  <c r="R66" i="23"/>
  <c r="G76" i="30"/>
  <c r="F78" i="30"/>
  <c r="F80" i="30" s="1"/>
  <c r="J75" i="28"/>
  <c r="F81" i="28"/>
  <c r="E57" i="1" s="1"/>
  <c r="L91" i="28"/>
  <c r="J73" i="28"/>
  <c r="N58" i="28"/>
  <c r="K55" i="28"/>
  <c r="N27" i="28"/>
  <c r="N26" i="28"/>
  <c r="N28" i="28"/>
  <c r="I71" i="28"/>
  <c r="H77" i="28"/>
  <c r="G79" i="28"/>
  <c r="L29" i="28"/>
  <c r="M24" i="28"/>
  <c r="N33" i="28"/>
  <c r="M43" i="28"/>
  <c r="J59" i="28"/>
  <c r="K53" i="28"/>
  <c r="K20" i="28"/>
  <c r="J22" i="28"/>
  <c r="E22" i="1"/>
  <c r="N25" i="28" l="1"/>
  <c r="X14" i="23"/>
  <c r="K14" i="23"/>
  <c r="G48" i="23"/>
  <c r="T48" i="23"/>
  <c r="I58" i="46"/>
  <c r="I58" i="32"/>
  <c r="G102" i="46"/>
  <c r="F178" i="46"/>
  <c r="F181" i="46" s="1"/>
  <c r="F182" i="46" s="1"/>
  <c r="G96" i="46"/>
  <c r="G99" i="46" s="1"/>
  <c r="G101" i="46"/>
  <c r="F153" i="46"/>
  <c r="F156" i="46" s="1"/>
  <c r="F157" i="46" s="1"/>
  <c r="G88" i="46"/>
  <c r="G142" i="46" s="1"/>
  <c r="G144" i="46" s="1"/>
  <c r="G145" i="46" s="1"/>
  <c r="F105" i="46"/>
  <c r="H76" i="46"/>
  <c r="H78" i="46" s="1"/>
  <c r="H80" i="46" s="1"/>
  <c r="J58" i="46"/>
  <c r="M42" i="46"/>
  <c r="L28" i="46"/>
  <c r="J22" i="46"/>
  <c r="F132" i="46"/>
  <c r="BP11" i="44"/>
  <c r="BP12" i="44"/>
  <c r="F97" i="32"/>
  <c r="BO81" i="44"/>
  <c r="BO77" i="44"/>
  <c r="BQ8" i="44"/>
  <c r="BP7" i="44"/>
  <c r="BP20" i="44" s="1"/>
  <c r="BO13" i="44"/>
  <c r="G101" i="32"/>
  <c r="G102" i="32"/>
  <c r="G104" i="32" s="1"/>
  <c r="F104" i="32"/>
  <c r="F142" i="32"/>
  <c r="F144" i="32" s="1"/>
  <c r="F145" i="32" s="1"/>
  <c r="F92" i="32"/>
  <c r="F128" i="32" s="1"/>
  <c r="F131" i="32" s="1"/>
  <c r="F132" i="32" s="1"/>
  <c r="F117" i="32"/>
  <c r="F119" i="32" s="1"/>
  <c r="F120" i="32" s="1"/>
  <c r="F167" i="32"/>
  <c r="F169" i="32" s="1"/>
  <c r="F170" i="32" s="1"/>
  <c r="V63" i="23"/>
  <c r="I63" i="23"/>
  <c r="U64" i="23"/>
  <c r="H64" i="23"/>
  <c r="Y47" i="23"/>
  <c r="L47" i="23"/>
  <c r="U62" i="23"/>
  <c r="H62" i="23"/>
  <c r="U63" i="23"/>
  <c r="H63" i="23"/>
  <c r="H76" i="32"/>
  <c r="H78" i="32" s="1"/>
  <c r="H80" i="32" s="1"/>
  <c r="H102" i="32" s="1"/>
  <c r="F66" i="23"/>
  <c r="V42" i="23"/>
  <c r="I42" i="23"/>
  <c r="T60" i="23"/>
  <c r="G60" i="23"/>
  <c r="G88" i="32"/>
  <c r="G117" i="32" s="1"/>
  <c r="G119" i="32" s="1"/>
  <c r="G120" i="32" s="1"/>
  <c r="J58" i="32"/>
  <c r="H48" i="23"/>
  <c r="G81" i="32"/>
  <c r="V44" i="23"/>
  <c r="I44" i="23"/>
  <c r="Y22" i="23"/>
  <c r="L22" i="23"/>
  <c r="M42" i="32"/>
  <c r="K32" i="23"/>
  <c r="Y16" i="23"/>
  <c r="L16" i="23"/>
  <c r="Y17" i="23"/>
  <c r="L17" i="23"/>
  <c r="L28" i="32"/>
  <c r="J18" i="23"/>
  <c r="Y15" i="23"/>
  <c r="L15" i="23"/>
  <c r="J22" i="32"/>
  <c r="H12" i="23"/>
  <c r="V10" i="23"/>
  <c r="I10" i="23"/>
  <c r="F89" i="28"/>
  <c r="F98" i="28" s="1"/>
  <c r="R68" i="23"/>
  <c r="E68" i="23"/>
  <c r="F102" i="28"/>
  <c r="F97" i="28"/>
  <c r="F100" i="28" s="1"/>
  <c r="X32" i="23"/>
  <c r="M42" i="30"/>
  <c r="U48" i="23"/>
  <c r="J58" i="30"/>
  <c r="W18" i="23"/>
  <c r="L28" i="30"/>
  <c r="U12" i="23"/>
  <c r="J22" i="30"/>
  <c r="S66" i="23"/>
  <c r="H76" i="30"/>
  <c r="F101" i="30"/>
  <c r="F102" i="30"/>
  <c r="F88" i="30"/>
  <c r="F96" i="30"/>
  <c r="F99" i="30" s="1"/>
  <c r="F81" i="30"/>
  <c r="G78" i="30"/>
  <c r="G80" i="30" s="1"/>
  <c r="K75" i="28"/>
  <c r="F103" i="28"/>
  <c r="F105" i="28" s="1"/>
  <c r="F82" i="28"/>
  <c r="G81" i="28"/>
  <c r="G103" i="28" s="1"/>
  <c r="K73" i="28"/>
  <c r="M91" i="28"/>
  <c r="O58" i="28"/>
  <c r="L74" i="28"/>
  <c r="L55" i="28"/>
  <c r="O28" i="28"/>
  <c r="O26" i="28"/>
  <c r="O27" i="28"/>
  <c r="N43" i="28"/>
  <c r="O33" i="28"/>
  <c r="H79" i="28"/>
  <c r="J71" i="28"/>
  <c r="I77" i="28"/>
  <c r="K59" i="28"/>
  <c r="L53" i="28"/>
  <c r="M29" i="28"/>
  <c r="N24" i="28"/>
  <c r="L20" i="28"/>
  <c r="K22" i="28"/>
  <c r="J51" i="1"/>
  <c r="E36" i="1"/>
  <c r="I16" i="1" s="1"/>
  <c r="O25" i="28" l="1"/>
  <c r="Y14" i="23"/>
  <c r="L14" i="23"/>
  <c r="G97" i="46"/>
  <c r="G104" i="46"/>
  <c r="G105" i="46"/>
  <c r="G98" i="46"/>
  <c r="G92" i="46"/>
  <c r="G178" i="46" s="1"/>
  <c r="G181" i="46" s="1"/>
  <c r="G182" i="46" s="1"/>
  <c r="H88" i="46"/>
  <c r="H97" i="46" s="1"/>
  <c r="H96" i="46"/>
  <c r="H99" i="46" s="1"/>
  <c r="H102" i="46"/>
  <c r="H81" i="46"/>
  <c r="H101" i="46"/>
  <c r="G117" i="46"/>
  <c r="G119" i="46" s="1"/>
  <c r="G120" i="46" s="1"/>
  <c r="I76" i="46"/>
  <c r="I78" i="46" s="1"/>
  <c r="I80" i="46" s="1"/>
  <c r="G167" i="46"/>
  <c r="G169" i="46" s="1"/>
  <c r="G170" i="46" s="1"/>
  <c r="K58" i="46"/>
  <c r="N42" i="46"/>
  <c r="M28" i="46"/>
  <c r="K22" i="46"/>
  <c r="I20" i="44"/>
  <c r="G20" i="44"/>
  <c r="H20" i="44"/>
  <c r="J20" i="44"/>
  <c r="K20" i="44"/>
  <c r="L20" i="44"/>
  <c r="M20" i="44"/>
  <c r="N20" i="44"/>
  <c r="O20" i="44"/>
  <c r="P20" i="44"/>
  <c r="Q20" i="44"/>
  <c r="R20" i="44"/>
  <c r="S11" i="44"/>
  <c r="S13" i="44" s="1"/>
  <c r="T11" i="44"/>
  <c r="T13" i="44" s="1"/>
  <c r="U11" i="44"/>
  <c r="U13" i="44" s="1"/>
  <c r="V11" i="44"/>
  <c r="V13" i="44" s="1"/>
  <c r="W11" i="44"/>
  <c r="W13" i="44" s="1"/>
  <c r="X11" i="44"/>
  <c r="X13" i="44" s="1"/>
  <c r="Y11" i="44"/>
  <c r="Y13" i="44" s="1"/>
  <c r="Z11" i="44"/>
  <c r="Z13" i="44" s="1"/>
  <c r="AA11" i="44"/>
  <c r="AA13" i="44" s="1"/>
  <c r="AB11" i="44"/>
  <c r="AB13" i="44" s="1"/>
  <c r="AC11" i="44"/>
  <c r="AC13" i="44" s="1"/>
  <c r="AD11" i="44"/>
  <c r="AD13" i="44" s="1"/>
  <c r="H11" i="44"/>
  <c r="H13" i="44" s="1"/>
  <c r="I11" i="44"/>
  <c r="I13" i="44" s="1"/>
  <c r="G11" i="44"/>
  <c r="G13" i="44" s="1"/>
  <c r="J11" i="44"/>
  <c r="J13" i="44" s="1"/>
  <c r="K11" i="44"/>
  <c r="K13" i="44" s="1"/>
  <c r="L11" i="44"/>
  <c r="L13" i="44" s="1"/>
  <c r="M11" i="44"/>
  <c r="M13" i="44" s="1"/>
  <c r="N11" i="44"/>
  <c r="N13" i="44" s="1"/>
  <c r="O11" i="44"/>
  <c r="O13" i="44" s="1"/>
  <c r="P11" i="44"/>
  <c r="P13" i="44" s="1"/>
  <c r="Q11" i="44"/>
  <c r="Q13" i="44" s="1"/>
  <c r="R11" i="44"/>
  <c r="R13" i="44" s="1"/>
  <c r="BQ11" i="44"/>
  <c r="BQ12" i="44"/>
  <c r="G105" i="32"/>
  <c r="F168" i="28"/>
  <c r="F170" i="28" s="1"/>
  <c r="F171" i="28" s="1"/>
  <c r="F143" i="28"/>
  <c r="F145" i="28" s="1"/>
  <c r="F146" i="28" s="1"/>
  <c r="F178" i="32"/>
  <c r="F181" i="32" s="1"/>
  <c r="F182" i="32" s="1"/>
  <c r="F153" i="32"/>
  <c r="F156" i="32" s="1"/>
  <c r="F157" i="32" s="1"/>
  <c r="G97" i="32"/>
  <c r="BP81" i="44"/>
  <c r="BP77" i="44"/>
  <c r="BR8" i="44"/>
  <c r="BQ7" i="44"/>
  <c r="BQ20" i="44" s="1"/>
  <c r="BO79" i="44"/>
  <c r="BO108" i="44" s="1"/>
  <c r="BO78" i="44"/>
  <c r="BP13" i="44"/>
  <c r="H96" i="32"/>
  <c r="H99" i="32" s="1"/>
  <c r="G167" i="32"/>
  <c r="G169" i="32" s="1"/>
  <c r="G170" i="32" s="1"/>
  <c r="G92" i="32"/>
  <c r="G128" i="32" s="1"/>
  <c r="G131" i="32" s="1"/>
  <c r="G132" i="32" s="1"/>
  <c r="F99" i="28"/>
  <c r="G98" i="32"/>
  <c r="F118" i="28"/>
  <c r="F120" i="28" s="1"/>
  <c r="F121" i="28" s="1"/>
  <c r="G142" i="32"/>
  <c r="G144" i="32" s="1"/>
  <c r="G145" i="32" s="1"/>
  <c r="F93" i="28"/>
  <c r="F179" i="28" s="1"/>
  <c r="F182" i="28" s="1"/>
  <c r="F183" i="28" s="1"/>
  <c r="H81" i="32"/>
  <c r="U60" i="23"/>
  <c r="H60" i="23"/>
  <c r="W44" i="23"/>
  <c r="J44" i="23"/>
  <c r="V62" i="23"/>
  <c r="I62" i="23"/>
  <c r="V64" i="23"/>
  <c r="I64" i="23"/>
  <c r="H88" i="32"/>
  <c r="H98" i="32" s="1"/>
  <c r="W63" i="23"/>
  <c r="J63" i="23"/>
  <c r="F106" i="28"/>
  <c r="H101" i="32"/>
  <c r="I76" i="32"/>
  <c r="I78" i="32" s="1"/>
  <c r="I80" i="32" s="1"/>
  <c r="I96" i="32" s="1"/>
  <c r="I99" i="32" s="1"/>
  <c r="G66" i="23"/>
  <c r="W42" i="23"/>
  <c r="J42" i="23"/>
  <c r="Z47" i="23"/>
  <c r="M47" i="23"/>
  <c r="K58" i="32"/>
  <c r="I48" i="23"/>
  <c r="Z22" i="23"/>
  <c r="M22" i="23"/>
  <c r="N42" i="32"/>
  <c r="L32" i="23"/>
  <c r="M28" i="32"/>
  <c r="K18" i="23"/>
  <c r="Z16" i="23"/>
  <c r="M16" i="23"/>
  <c r="Z15" i="23"/>
  <c r="M15" i="23"/>
  <c r="Z17" i="23"/>
  <c r="M17" i="23"/>
  <c r="W10" i="23"/>
  <c r="J10" i="23"/>
  <c r="K22" i="32"/>
  <c r="I12" i="23"/>
  <c r="S68" i="23"/>
  <c r="F68" i="23"/>
  <c r="H105" i="32"/>
  <c r="H104" i="32"/>
  <c r="G89" i="28"/>
  <c r="G99" i="28" s="1"/>
  <c r="G102" i="28"/>
  <c r="G82" i="28"/>
  <c r="G97" i="28"/>
  <c r="G100" i="28" s="1"/>
  <c r="Y32" i="23"/>
  <c r="N42" i="30"/>
  <c r="V12" i="23"/>
  <c r="K22" i="30"/>
  <c r="V48" i="23"/>
  <c r="K58" i="30"/>
  <c r="T66" i="23"/>
  <c r="I76" i="30"/>
  <c r="X18" i="23"/>
  <c r="M28" i="30"/>
  <c r="F105" i="30"/>
  <c r="F104" i="30"/>
  <c r="L75" i="28"/>
  <c r="M75" i="28" s="1"/>
  <c r="G81" i="30"/>
  <c r="G102" i="30"/>
  <c r="G101" i="30"/>
  <c r="G88" i="30"/>
  <c r="G96" i="30"/>
  <c r="G99" i="30" s="1"/>
  <c r="F97" i="30"/>
  <c r="F142" i="30"/>
  <c r="F144" i="30" s="1"/>
  <c r="F145" i="30" s="1"/>
  <c r="F98" i="30"/>
  <c r="F92" i="30"/>
  <c r="F117" i="30"/>
  <c r="F119" i="30" s="1"/>
  <c r="F120" i="30" s="1"/>
  <c r="F167" i="30"/>
  <c r="F169" i="30" s="1"/>
  <c r="F170" i="30" s="1"/>
  <c r="H78" i="30"/>
  <c r="H80" i="30" s="1"/>
  <c r="L73" i="28"/>
  <c r="H81" i="28"/>
  <c r="H103" i="28" s="1"/>
  <c r="N91" i="28"/>
  <c r="M74" i="28"/>
  <c r="M55" i="28"/>
  <c r="O43" i="28"/>
  <c r="O24" i="28"/>
  <c r="N29" i="28"/>
  <c r="L59" i="28"/>
  <c r="M53" i="28"/>
  <c r="G106" i="28"/>
  <c r="G105" i="28"/>
  <c r="I79" i="28"/>
  <c r="L22" i="28"/>
  <c r="M20" i="28"/>
  <c r="J77" i="28"/>
  <c r="K71" i="28"/>
  <c r="I17" i="1"/>
  <c r="Z14" i="23" l="1"/>
  <c r="M14" i="23"/>
  <c r="G153" i="46"/>
  <c r="G156" i="46" s="1"/>
  <c r="G157" i="46" s="1"/>
  <c r="G128" i="46"/>
  <c r="G131" i="46" s="1"/>
  <c r="G132" i="46" s="1"/>
  <c r="I81" i="46"/>
  <c r="I102" i="46"/>
  <c r="I88" i="46"/>
  <c r="I96" i="46"/>
  <c r="I99" i="46" s="1"/>
  <c r="I101" i="46"/>
  <c r="H105" i="46"/>
  <c r="H104" i="46"/>
  <c r="J76" i="46"/>
  <c r="J78" i="46" s="1"/>
  <c r="J80" i="46" s="1"/>
  <c r="H142" i="46"/>
  <c r="H144" i="46" s="1"/>
  <c r="H145" i="46" s="1"/>
  <c r="H92" i="46"/>
  <c r="H167" i="46"/>
  <c r="H169" i="46" s="1"/>
  <c r="H170" i="46" s="1"/>
  <c r="H117" i="46"/>
  <c r="H119" i="46" s="1"/>
  <c r="H120" i="46" s="1"/>
  <c r="H98" i="46"/>
  <c r="L58" i="46"/>
  <c r="O42" i="46"/>
  <c r="N28" i="46"/>
  <c r="L22" i="46"/>
  <c r="M73" i="28"/>
  <c r="X62" i="23" s="1"/>
  <c r="S20" i="44"/>
  <c r="T20" i="44"/>
  <c r="U20" i="44"/>
  <c r="V20" i="44"/>
  <c r="W20" i="44"/>
  <c r="X20" i="44"/>
  <c r="Y20" i="44"/>
  <c r="Z20" i="44"/>
  <c r="AA20" i="44"/>
  <c r="AB20" i="44"/>
  <c r="AC20" i="44"/>
  <c r="AD20" i="44"/>
  <c r="BR11" i="44"/>
  <c r="BR12" i="44"/>
  <c r="G98" i="28"/>
  <c r="G168" i="28"/>
  <c r="G170" i="28" s="1"/>
  <c r="G171" i="28" s="1"/>
  <c r="G143" i="28"/>
  <c r="G145" i="28" s="1"/>
  <c r="G146" i="28" s="1"/>
  <c r="G118" i="28"/>
  <c r="G120" i="28" s="1"/>
  <c r="G121" i="28" s="1"/>
  <c r="G93" i="28"/>
  <c r="G179" i="28" s="1"/>
  <c r="G182" i="28" s="1"/>
  <c r="G183" i="28" s="1"/>
  <c r="I77" i="44"/>
  <c r="I81" i="44"/>
  <c r="L81" i="44"/>
  <c r="L77" i="44"/>
  <c r="R81" i="44"/>
  <c r="R77" i="44"/>
  <c r="P81" i="44"/>
  <c r="P77" i="44"/>
  <c r="K81" i="44"/>
  <c r="K77" i="44"/>
  <c r="J77" i="44"/>
  <c r="J81" i="44"/>
  <c r="N81" i="44"/>
  <c r="N77" i="44"/>
  <c r="H81" i="44"/>
  <c r="H77" i="44"/>
  <c r="Q81" i="44"/>
  <c r="Q77" i="44"/>
  <c r="O81" i="44"/>
  <c r="O77" i="44"/>
  <c r="M81" i="44"/>
  <c r="M77" i="44"/>
  <c r="G81" i="44"/>
  <c r="G77" i="44"/>
  <c r="BQ13" i="44"/>
  <c r="BS8" i="44"/>
  <c r="BR7" i="44"/>
  <c r="BR20" i="44" s="1"/>
  <c r="BP79" i="44"/>
  <c r="BP108" i="44" s="1"/>
  <c r="BP78" i="44"/>
  <c r="BO199" i="44"/>
  <c r="BO168" i="44"/>
  <c r="BO176" i="44" s="1"/>
  <c r="BO178" i="44" s="1"/>
  <c r="BO136" i="44"/>
  <c r="BO144" i="44" s="1"/>
  <c r="BO146" i="44" s="1"/>
  <c r="BO88" i="44"/>
  <c r="BO114" i="44"/>
  <c r="BO116" i="44" s="1"/>
  <c r="BQ77" i="44"/>
  <c r="BQ81" i="44"/>
  <c r="H142" i="32"/>
  <c r="H144" i="32" s="1"/>
  <c r="H145" i="32" s="1"/>
  <c r="H117" i="32"/>
  <c r="H119" i="32" s="1"/>
  <c r="H120" i="32" s="1"/>
  <c r="H167" i="32"/>
  <c r="H169" i="32" s="1"/>
  <c r="H170" i="32" s="1"/>
  <c r="I102" i="32"/>
  <c r="I105" i="32" s="1"/>
  <c r="G178" i="32"/>
  <c r="G181" i="32" s="1"/>
  <c r="G182" i="32" s="1"/>
  <c r="G153" i="32"/>
  <c r="G156" i="32" s="1"/>
  <c r="G157" i="32" s="1"/>
  <c r="H92" i="32"/>
  <c r="H178" i="32" s="1"/>
  <c r="H181" i="32" s="1"/>
  <c r="H182" i="32" s="1"/>
  <c r="F154" i="28"/>
  <c r="F157" i="28" s="1"/>
  <c r="F158" i="28" s="1"/>
  <c r="I88" i="32"/>
  <c r="I142" i="32" s="1"/>
  <c r="I144" i="32" s="1"/>
  <c r="I145" i="32" s="1"/>
  <c r="H97" i="32"/>
  <c r="F129" i="28"/>
  <c r="F132" i="28" s="1"/>
  <c r="F133" i="28" s="1"/>
  <c r="I101" i="32"/>
  <c r="X64" i="23"/>
  <c r="K64" i="23"/>
  <c r="W64" i="23"/>
  <c r="J64" i="23"/>
  <c r="X42" i="23"/>
  <c r="K42" i="23"/>
  <c r="W62" i="23"/>
  <c r="J62" i="23"/>
  <c r="L58" i="32"/>
  <c r="J48" i="23"/>
  <c r="X44" i="23"/>
  <c r="K44" i="23"/>
  <c r="I81" i="32"/>
  <c r="X63" i="23"/>
  <c r="K63" i="23"/>
  <c r="V60" i="23"/>
  <c r="I60" i="23"/>
  <c r="J76" i="32"/>
  <c r="J78" i="32" s="1"/>
  <c r="J80" i="32" s="1"/>
  <c r="J126" i="32" s="1"/>
  <c r="BN12" i="44" s="1"/>
  <c r="H66" i="23"/>
  <c r="O42" i="32"/>
  <c r="M32" i="23"/>
  <c r="N28" i="32"/>
  <c r="L18" i="23"/>
  <c r="X10" i="23"/>
  <c r="K10" i="23"/>
  <c r="L22" i="32"/>
  <c r="J12" i="23"/>
  <c r="T68" i="23"/>
  <c r="G68" i="23"/>
  <c r="Z32" i="23"/>
  <c r="O42" i="30"/>
  <c r="U66" i="23"/>
  <c r="J76" i="30"/>
  <c r="W12" i="23"/>
  <c r="L22" i="30"/>
  <c r="W48" i="23"/>
  <c r="L58" i="30"/>
  <c r="Y18" i="23"/>
  <c r="N28" i="30"/>
  <c r="G105" i="30"/>
  <c r="G104" i="30"/>
  <c r="I78" i="30"/>
  <c r="I80" i="30" s="1"/>
  <c r="G97" i="30"/>
  <c r="G92" i="30"/>
  <c r="G167" i="30"/>
  <c r="G169" i="30" s="1"/>
  <c r="G170" i="30" s="1"/>
  <c r="G117" i="30"/>
  <c r="G119" i="30" s="1"/>
  <c r="G120" i="30" s="1"/>
  <c r="G98" i="30"/>
  <c r="G142" i="30"/>
  <c r="G144" i="30" s="1"/>
  <c r="G145" i="30" s="1"/>
  <c r="H102" i="30"/>
  <c r="H88" i="30"/>
  <c r="H96" i="30"/>
  <c r="H99" i="30" s="1"/>
  <c r="H101" i="30"/>
  <c r="H81" i="30"/>
  <c r="H89" i="28"/>
  <c r="H118" i="28" s="1"/>
  <c r="H120" i="28" s="1"/>
  <c r="H121" i="28" s="1"/>
  <c r="F178" i="30"/>
  <c r="F181" i="30" s="1"/>
  <c r="F182" i="30" s="1"/>
  <c r="F128" i="30"/>
  <c r="F131" i="30" s="1"/>
  <c r="F132" i="30" s="1"/>
  <c r="F153" i="30"/>
  <c r="F156" i="30" s="1"/>
  <c r="F157" i="30" s="1"/>
  <c r="H82" i="28"/>
  <c r="H102" i="28"/>
  <c r="H97" i="28"/>
  <c r="H100" i="28" s="1"/>
  <c r="I81" i="28"/>
  <c r="I103" i="28" s="1"/>
  <c r="O91" i="28"/>
  <c r="O29" i="28"/>
  <c r="N74" i="28"/>
  <c r="N75" i="28"/>
  <c r="N55" i="28"/>
  <c r="J79" i="28"/>
  <c r="H106" i="28"/>
  <c r="H105" i="28"/>
  <c r="K77" i="28"/>
  <c r="L71" i="28"/>
  <c r="N20" i="28"/>
  <c r="M22" i="28"/>
  <c r="M59" i="28"/>
  <c r="N53" i="28"/>
  <c r="I12" i="1"/>
  <c r="I11" i="1" s="1"/>
  <c r="N73" i="28" l="1"/>
  <c r="K62" i="23"/>
  <c r="I104" i="32"/>
  <c r="G106" i="46"/>
  <c r="H106" i="46"/>
  <c r="E130" i="32"/>
  <c r="E131" i="32" s="1"/>
  <c r="E130" i="46"/>
  <c r="E131" i="46" s="1"/>
  <c r="E180" i="46"/>
  <c r="E181" i="46" s="1"/>
  <c r="E155" i="46"/>
  <c r="E156" i="46" s="1"/>
  <c r="F103" i="46"/>
  <c r="G103" i="46"/>
  <c r="F106" i="46"/>
  <c r="H103" i="46"/>
  <c r="I142" i="46"/>
  <c r="I144" i="46" s="1"/>
  <c r="I145" i="46" s="1"/>
  <c r="I117" i="46"/>
  <c r="I119" i="46" s="1"/>
  <c r="I120" i="46" s="1"/>
  <c r="I98" i="46"/>
  <c r="I92" i="46"/>
  <c r="I167" i="46"/>
  <c r="I169" i="46" s="1"/>
  <c r="I170" i="46" s="1"/>
  <c r="I97" i="46"/>
  <c r="K76" i="46"/>
  <c r="K78" i="46" s="1"/>
  <c r="K80" i="46" s="1"/>
  <c r="K88" i="46" s="1"/>
  <c r="H153" i="46"/>
  <c r="H156" i="46" s="1"/>
  <c r="H157" i="46" s="1"/>
  <c r="H178" i="46"/>
  <c r="H181" i="46" s="1"/>
  <c r="H182" i="46" s="1"/>
  <c r="H128" i="46"/>
  <c r="H131" i="46" s="1"/>
  <c r="H132" i="46" s="1"/>
  <c r="I103" i="46"/>
  <c r="I104" i="46"/>
  <c r="I105" i="46"/>
  <c r="I106" i="46" s="1"/>
  <c r="J88" i="46"/>
  <c r="J81" i="46"/>
  <c r="J101" i="46"/>
  <c r="J126" i="46"/>
  <c r="J127" i="46" s="1"/>
  <c r="J102" i="46"/>
  <c r="J96" i="46"/>
  <c r="J99" i="46" s="1"/>
  <c r="J115" i="46"/>
  <c r="J116" i="46" s="1"/>
  <c r="M58" i="46"/>
  <c r="O28" i="46"/>
  <c r="M22" i="46"/>
  <c r="G129" i="28"/>
  <c r="G132" i="28" s="1"/>
  <c r="G133" i="28" s="1"/>
  <c r="G154" i="28"/>
  <c r="G157" i="28" s="1"/>
  <c r="G158" i="28" s="1"/>
  <c r="AE11" i="44"/>
  <c r="AE13" i="44" s="1"/>
  <c r="AF11" i="44"/>
  <c r="AF13" i="44" s="1"/>
  <c r="AG11" i="44"/>
  <c r="AG13" i="44" s="1"/>
  <c r="AH11" i="44"/>
  <c r="AH13" i="44" s="1"/>
  <c r="AI11" i="44"/>
  <c r="AI13" i="44" s="1"/>
  <c r="AJ11" i="44"/>
  <c r="AJ13" i="44" s="1"/>
  <c r="AK11" i="44"/>
  <c r="AK13" i="44" s="1"/>
  <c r="AL11" i="44"/>
  <c r="AL13" i="44" s="1"/>
  <c r="AM11" i="44"/>
  <c r="AM13" i="44" s="1"/>
  <c r="AN11" i="44"/>
  <c r="AN13" i="44" s="1"/>
  <c r="AO11" i="44"/>
  <c r="AO13" i="44" s="1"/>
  <c r="AP11" i="44"/>
  <c r="AP13" i="44" s="1"/>
  <c r="BS12" i="44"/>
  <c r="BS11" i="44"/>
  <c r="S81" i="44"/>
  <c r="S77" i="44"/>
  <c r="X77" i="44"/>
  <c r="X81" i="44"/>
  <c r="L79" i="44"/>
  <c r="L108" i="44" s="1"/>
  <c r="L114" i="44" s="1"/>
  <c r="L116" i="44" s="1"/>
  <c r="L78" i="44"/>
  <c r="AC81" i="44"/>
  <c r="AC77" i="44"/>
  <c r="V81" i="44"/>
  <c r="V77" i="44"/>
  <c r="M79" i="44"/>
  <c r="M108" i="44" s="1"/>
  <c r="M114" i="44" s="1"/>
  <c r="M116" i="44" s="1"/>
  <c r="M78" i="44"/>
  <c r="H79" i="44"/>
  <c r="H108" i="44" s="1"/>
  <c r="H114" i="44" s="1"/>
  <c r="H116" i="44" s="1"/>
  <c r="H78" i="44"/>
  <c r="AA77" i="44"/>
  <c r="AA81" i="44"/>
  <c r="W81" i="44"/>
  <c r="W77" i="44"/>
  <c r="J79" i="44"/>
  <c r="J108" i="44" s="1"/>
  <c r="J114" i="44" s="1"/>
  <c r="J116" i="44" s="1"/>
  <c r="J78" i="44"/>
  <c r="U81" i="44"/>
  <c r="U77" i="44"/>
  <c r="P79" i="44"/>
  <c r="P108" i="44" s="1"/>
  <c r="P114" i="44" s="1"/>
  <c r="P116" i="44" s="1"/>
  <c r="P78" i="44"/>
  <c r="O78" i="44"/>
  <c r="O79" i="44"/>
  <c r="O108" i="44" s="1"/>
  <c r="O114" i="44" s="1"/>
  <c r="O116" i="44" s="1"/>
  <c r="N78" i="44"/>
  <c r="N79" i="44"/>
  <c r="N108" i="44" s="1"/>
  <c r="N114" i="44" s="1"/>
  <c r="N116" i="44" s="1"/>
  <c r="K79" i="44"/>
  <c r="K108" i="44" s="1"/>
  <c r="K114" i="44" s="1"/>
  <c r="K116" i="44" s="1"/>
  <c r="K78" i="44"/>
  <c r="AB81" i="44"/>
  <c r="AB77" i="44"/>
  <c r="I78" i="44"/>
  <c r="I79" i="44"/>
  <c r="I108" i="44" s="1"/>
  <c r="I114" i="44" s="1"/>
  <c r="I116" i="44" s="1"/>
  <c r="Y81" i="44"/>
  <c r="Y77" i="44"/>
  <c r="G78" i="44"/>
  <c r="G79" i="44"/>
  <c r="G108" i="44" s="1"/>
  <c r="T77" i="44"/>
  <c r="T81" i="44"/>
  <c r="R79" i="44"/>
  <c r="R108" i="44" s="1"/>
  <c r="R114" i="44" s="1"/>
  <c r="R116" i="44" s="1"/>
  <c r="R78" i="44"/>
  <c r="Q79" i="44"/>
  <c r="Q108" i="44" s="1"/>
  <c r="Q114" i="44" s="1"/>
  <c r="Q116" i="44" s="1"/>
  <c r="Q78" i="44"/>
  <c r="AD81" i="44"/>
  <c r="AD77" i="44"/>
  <c r="Z77" i="44"/>
  <c r="Z81" i="44"/>
  <c r="BR13" i="44"/>
  <c r="BQ78" i="44"/>
  <c r="BQ79" i="44"/>
  <c r="BQ108" i="44" s="1"/>
  <c r="BS7" i="44"/>
  <c r="BS20" i="44" s="1"/>
  <c r="BT8" i="44"/>
  <c r="BP199" i="44"/>
  <c r="BP168" i="44"/>
  <c r="BP176" i="44" s="1"/>
  <c r="BP178" i="44" s="1"/>
  <c r="BP136" i="44"/>
  <c r="BP144" i="44" s="1"/>
  <c r="BP146" i="44" s="1"/>
  <c r="BP88" i="44"/>
  <c r="BO94" i="44"/>
  <c r="BO96" i="44" s="1"/>
  <c r="BP114" i="44"/>
  <c r="BP116" i="44" s="1"/>
  <c r="BR77" i="44"/>
  <c r="BR81" i="44"/>
  <c r="H153" i="32"/>
  <c r="H156" i="32" s="1"/>
  <c r="H157" i="32" s="1"/>
  <c r="H128" i="32"/>
  <c r="H131" i="32" s="1"/>
  <c r="H132" i="32" s="1"/>
  <c r="I167" i="32"/>
  <c r="I169" i="32" s="1"/>
  <c r="I170" i="32" s="1"/>
  <c r="I92" i="32"/>
  <c r="I178" i="32" s="1"/>
  <c r="I181" i="32" s="1"/>
  <c r="I182" i="32" s="1"/>
  <c r="I98" i="32"/>
  <c r="I117" i="32"/>
  <c r="I119" i="32" s="1"/>
  <c r="I120" i="32" s="1"/>
  <c r="J115" i="32"/>
  <c r="J116" i="32" s="1"/>
  <c r="I97" i="32"/>
  <c r="J88" i="32"/>
  <c r="J117" i="32" s="1"/>
  <c r="J101" i="32"/>
  <c r="J81" i="32"/>
  <c r="J96" i="32"/>
  <c r="J99" i="32" s="1"/>
  <c r="Y44" i="23"/>
  <c r="L44" i="23"/>
  <c r="W60" i="23"/>
  <c r="J60" i="23"/>
  <c r="Y64" i="23"/>
  <c r="L64" i="23"/>
  <c r="Y62" i="23"/>
  <c r="L62" i="23"/>
  <c r="J102" i="32"/>
  <c r="J103" i="32" s="1"/>
  <c r="M58" i="32"/>
  <c r="K48" i="23"/>
  <c r="K76" i="32"/>
  <c r="K78" i="32" s="1"/>
  <c r="K80" i="32" s="1"/>
  <c r="K81" i="32" s="1"/>
  <c r="I66" i="23"/>
  <c r="Y42" i="23"/>
  <c r="L42" i="23"/>
  <c r="Y63" i="23"/>
  <c r="L63" i="23"/>
  <c r="H93" i="28"/>
  <c r="H179" i="28" s="1"/>
  <c r="H182" i="28" s="1"/>
  <c r="H183" i="28" s="1"/>
  <c r="H99" i="28"/>
  <c r="H168" i="28"/>
  <c r="H170" i="28" s="1"/>
  <c r="H171" i="28" s="1"/>
  <c r="H98" i="28"/>
  <c r="H143" i="28"/>
  <c r="H145" i="28" s="1"/>
  <c r="H146" i="28" s="1"/>
  <c r="O28" i="32"/>
  <c r="M18" i="23"/>
  <c r="M22" i="32"/>
  <c r="K12" i="23"/>
  <c r="Y10" i="23"/>
  <c r="L10" i="23"/>
  <c r="U68" i="23"/>
  <c r="H68" i="23"/>
  <c r="E155" i="32"/>
  <c r="E156" i="32" s="1"/>
  <c r="E180" i="32"/>
  <c r="E181" i="32" s="1"/>
  <c r="F103" i="32"/>
  <c r="F106" i="32"/>
  <c r="G103" i="32"/>
  <c r="H103" i="32"/>
  <c r="G106" i="32"/>
  <c r="I106" i="32"/>
  <c r="J127" i="32"/>
  <c r="I103" i="32"/>
  <c r="H106" i="32"/>
  <c r="I102" i="28"/>
  <c r="X48" i="23"/>
  <c r="M58" i="30"/>
  <c r="X12" i="23"/>
  <c r="M22" i="30"/>
  <c r="V66" i="23"/>
  <c r="K76" i="30"/>
  <c r="Z18" i="23"/>
  <c r="O28" i="30"/>
  <c r="H104" i="30"/>
  <c r="H105" i="30"/>
  <c r="H106" i="30" s="1"/>
  <c r="G103" i="30"/>
  <c r="G106" i="30"/>
  <c r="H117" i="30"/>
  <c r="H119" i="30" s="1"/>
  <c r="H120" i="30" s="1"/>
  <c r="H97" i="30"/>
  <c r="H142" i="30"/>
  <c r="H144" i="30" s="1"/>
  <c r="H145" i="30" s="1"/>
  <c r="H98" i="30"/>
  <c r="H167" i="30"/>
  <c r="H169" i="30" s="1"/>
  <c r="H170" i="30" s="1"/>
  <c r="H92" i="30"/>
  <c r="G178" i="30"/>
  <c r="G181" i="30" s="1"/>
  <c r="G182" i="30" s="1"/>
  <c r="G153" i="30"/>
  <c r="G156" i="30" s="1"/>
  <c r="G157" i="30" s="1"/>
  <c r="G128" i="30"/>
  <c r="G131" i="30" s="1"/>
  <c r="G132" i="30" s="1"/>
  <c r="H103" i="30"/>
  <c r="I101" i="30"/>
  <c r="I96" i="30"/>
  <c r="I99" i="30" s="1"/>
  <c r="I81" i="30"/>
  <c r="I88" i="30"/>
  <c r="I102" i="30"/>
  <c r="E155" i="30"/>
  <c r="E156" i="30" s="1"/>
  <c r="E180" i="30"/>
  <c r="E181" i="30" s="1"/>
  <c r="E130" i="30"/>
  <c r="E131" i="30" s="1"/>
  <c r="F13" i="44" s="1"/>
  <c r="F103" i="30"/>
  <c r="I82" i="28"/>
  <c r="I97" i="28"/>
  <c r="I100" i="28" s="1"/>
  <c r="I89" i="28"/>
  <c r="I99" i="28" s="1"/>
  <c r="F106" i="30"/>
  <c r="J78" i="30"/>
  <c r="J80" i="30" s="1"/>
  <c r="O20" i="28"/>
  <c r="J81" i="28"/>
  <c r="J82" i="28" s="1"/>
  <c r="O75" i="28"/>
  <c r="O73" i="28"/>
  <c r="O74" i="28"/>
  <c r="O55" i="28"/>
  <c r="H104" i="28"/>
  <c r="K79" i="28"/>
  <c r="N59" i="28"/>
  <c r="O53" i="28"/>
  <c r="N22" i="28"/>
  <c r="L77" i="28"/>
  <c r="M71" i="28"/>
  <c r="E156" i="28"/>
  <c r="E157" i="28" s="1"/>
  <c r="E131" i="28"/>
  <c r="E181" i="28"/>
  <c r="E182" i="28" s="1"/>
  <c r="F104" i="28"/>
  <c r="F107" i="28"/>
  <c r="G104" i="28"/>
  <c r="H107" i="28"/>
  <c r="I105" i="28"/>
  <c r="I106" i="28"/>
  <c r="I107" i="28" s="1"/>
  <c r="I104" i="28"/>
  <c r="G107" i="28"/>
  <c r="E44" i="1"/>
  <c r="E43" i="1"/>
  <c r="J16" i="1"/>
  <c r="E23" i="1"/>
  <c r="E24" i="1" s="1"/>
  <c r="E48" i="1"/>
  <c r="J15" i="1"/>
  <c r="K167" i="46" l="1"/>
  <c r="K169" i="46" s="1"/>
  <c r="K170" i="46" s="1"/>
  <c r="K98" i="46"/>
  <c r="K142" i="46"/>
  <c r="K144" i="46" s="1"/>
  <c r="K145" i="46" s="1"/>
  <c r="K97" i="46"/>
  <c r="K92" i="46"/>
  <c r="K178" i="46" s="1"/>
  <c r="K181" i="46" s="1"/>
  <c r="K182" i="46" s="1"/>
  <c r="K101" i="46"/>
  <c r="J105" i="46"/>
  <c r="J106" i="46" s="1"/>
  <c r="J104" i="46"/>
  <c r="J103" i="46"/>
  <c r="J92" i="46"/>
  <c r="J117" i="46"/>
  <c r="J119" i="46" s="1"/>
  <c r="J120" i="46" s="1"/>
  <c r="J142" i="46"/>
  <c r="J144" i="46" s="1"/>
  <c r="J145" i="46" s="1"/>
  <c r="J98" i="46"/>
  <c r="J97" i="46"/>
  <c r="J167" i="46"/>
  <c r="J169" i="46" s="1"/>
  <c r="J170" i="46" s="1"/>
  <c r="L76" i="46"/>
  <c r="L78" i="46" s="1"/>
  <c r="L80" i="46" s="1"/>
  <c r="K102" i="46"/>
  <c r="K81" i="46"/>
  <c r="K96" i="46"/>
  <c r="K99" i="46" s="1"/>
  <c r="I178" i="46"/>
  <c r="I181" i="46" s="1"/>
  <c r="I182" i="46" s="1"/>
  <c r="I128" i="46"/>
  <c r="I131" i="46" s="1"/>
  <c r="I132" i="46" s="1"/>
  <c r="I153" i="46"/>
  <c r="I156" i="46" s="1"/>
  <c r="I157" i="46" s="1"/>
  <c r="N58" i="46"/>
  <c r="N22" i="46"/>
  <c r="AQ11" i="44"/>
  <c r="AQ13" i="44" s="1"/>
  <c r="AR11" i="44"/>
  <c r="AR13" i="44" s="1"/>
  <c r="AS11" i="44"/>
  <c r="AS13" i="44" s="1"/>
  <c r="AT11" i="44"/>
  <c r="AT13" i="44" s="1"/>
  <c r="AU11" i="44"/>
  <c r="AU13" i="44" s="1"/>
  <c r="AV11" i="44"/>
  <c r="AV13" i="44" s="1"/>
  <c r="AW11" i="44"/>
  <c r="AW13" i="44" s="1"/>
  <c r="AX11" i="44"/>
  <c r="AX13" i="44" s="1"/>
  <c r="AY11" i="44"/>
  <c r="AY13" i="44" s="1"/>
  <c r="AZ11" i="44"/>
  <c r="AZ13" i="44" s="1"/>
  <c r="BA11" i="44"/>
  <c r="BA13" i="44" s="1"/>
  <c r="BB11" i="44"/>
  <c r="BB13" i="44" s="1"/>
  <c r="AE20" i="44"/>
  <c r="AF20" i="44"/>
  <c r="AG20" i="44"/>
  <c r="AH20" i="44"/>
  <c r="AI20" i="44"/>
  <c r="AJ20" i="44"/>
  <c r="AK20" i="44"/>
  <c r="AL20" i="44"/>
  <c r="AM20" i="44"/>
  <c r="AN20" i="44"/>
  <c r="AO20" i="44"/>
  <c r="AP20" i="44"/>
  <c r="F20" i="44"/>
  <c r="Y21" i="44" s="1"/>
  <c r="BT11" i="44"/>
  <c r="BT12" i="44"/>
  <c r="I153" i="32"/>
  <c r="I156" i="32" s="1"/>
  <c r="I157" i="32" s="1"/>
  <c r="O22" i="28"/>
  <c r="H154" i="28"/>
  <c r="H157" i="28" s="1"/>
  <c r="H158" i="28" s="1"/>
  <c r="I128" i="32"/>
  <c r="I131" i="32" s="1"/>
  <c r="I132" i="32" s="1"/>
  <c r="H129" i="28"/>
  <c r="H132" i="28" s="1"/>
  <c r="H133" i="28" s="1"/>
  <c r="J97" i="32"/>
  <c r="J167" i="32"/>
  <c r="J169" i="32" s="1"/>
  <c r="J170" i="32" s="1"/>
  <c r="T79" i="44"/>
  <c r="T108" i="44" s="1"/>
  <c r="T114" i="44" s="1"/>
  <c r="T116" i="44" s="1"/>
  <c r="T78" i="44"/>
  <c r="O168" i="44"/>
  <c r="O176" i="44" s="1"/>
  <c r="O178" i="44" s="1"/>
  <c r="O199" i="44"/>
  <c r="O136" i="44"/>
  <c r="O144" i="44" s="1"/>
  <c r="O146" i="44" s="1"/>
  <c r="O88" i="44"/>
  <c r="P136" i="44"/>
  <c r="P144" i="44" s="1"/>
  <c r="P146" i="44" s="1"/>
  <c r="P199" i="44"/>
  <c r="P168" i="44"/>
  <c r="P176" i="44" s="1"/>
  <c r="P178" i="44" s="1"/>
  <c r="P88" i="44"/>
  <c r="I199" i="44"/>
  <c r="I168" i="44"/>
  <c r="I176" i="44" s="1"/>
  <c r="I178" i="44" s="1"/>
  <c r="I136" i="44"/>
  <c r="I144" i="44" s="1"/>
  <c r="I146" i="44" s="1"/>
  <c r="I88" i="44"/>
  <c r="Q199" i="44"/>
  <c r="Q168" i="44"/>
  <c r="Q176" i="44" s="1"/>
  <c r="Q178" i="44" s="1"/>
  <c r="Q136" i="44"/>
  <c r="Q144" i="44" s="1"/>
  <c r="Q146" i="44" s="1"/>
  <c r="Q88" i="44"/>
  <c r="AB78" i="44"/>
  <c r="AB79" i="44"/>
  <c r="AB108" i="44" s="1"/>
  <c r="AB114" i="44" s="1"/>
  <c r="AB116" i="44" s="1"/>
  <c r="AA79" i="44"/>
  <c r="AA108" i="44" s="1"/>
  <c r="AA114" i="44" s="1"/>
  <c r="AA116" i="44" s="1"/>
  <c r="AA78" i="44"/>
  <c r="L168" i="44"/>
  <c r="L176" i="44" s="1"/>
  <c r="L178" i="44" s="1"/>
  <c r="L88" i="44"/>
  <c r="L94" i="44" s="1"/>
  <c r="L96" i="44" s="1"/>
  <c r="L136" i="44"/>
  <c r="L144" i="44" s="1"/>
  <c r="L146" i="44" s="1"/>
  <c r="L199" i="44"/>
  <c r="U79" i="44"/>
  <c r="U108" i="44" s="1"/>
  <c r="U114" i="44" s="1"/>
  <c r="U116" i="44" s="1"/>
  <c r="U78" i="44"/>
  <c r="V79" i="44"/>
  <c r="V108" i="44" s="1"/>
  <c r="V114" i="44" s="1"/>
  <c r="V116" i="44" s="1"/>
  <c r="V78" i="44"/>
  <c r="G114" i="44"/>
  <c r="K136" i="44"/>
  <c r="K144" i="44" s="1"/>
  <c r="K146" i="44" s="1"/>
  <c r="K199" i="44"/>
  <c r="K168" i="44"/>
  <c r="K176" i="44" s="1"/>
  <c r="K178" i="44" s="1"/>
  <c r="K88" i="44"/>
  <c r="H199" i="44"/>
  <c r="H168" i="44"/>
  <c r="H176" i="44" s="1"/>
  <c r="H178" i="44" s="1"/>
  <c r="H136" i="44"/>
  <c r="H144" i="44" s="1"/>
  <c r="H146" i="44" s="1"/>
  <c r="H88" i="44"/>
  <c r="G199" i="44"/>
  <c r="G168" i="44"/>
  <c r="G88" i="44"/>
  <c r="G136" i="44"/>
  <c r="Y78" i="44"/>
  <c r="Y79" i="44"/>
  <c r="Y108" i="44" s="1"/>
  <c r="Y114" i="44" s="1"/>
  <c r="Y116" i="44" s="1"/>
  <c r="J136" i="44"/>
  <c r="J144" i="44" s="1"/>
  <c r="J146" i="44" s="1"/>
  <c r="J88" i="44"/>
  <c r="J199" i="44"/>
  <c r="J168" i="44"/>
  <c r="J176" i="44" s="1"/>
  <c r="J178" i="44" s="1"/>
  <c r="AC78" i="44"/>
  <c r="AC79" i="44"/>
  <c r="AC108" i="44" s="1"/>
  <c r="AC114" i="44" s="1"/>
  <c r="AC116" i="44" s="1"/>
  <c r="X79" i="44"/>
  <c r="X108" i="44" s="1"/>
  <c r="X114" i="44" s="1"/>
  <c r="X116" i="44" s="1"/>
  <c r="X78" i="44"/>
  <c r="Z79" i="44"/>
  <c r="Z108" i="44" s="1"/>
  <c r="Z114" i="44" s="1"/>
  <c r="Z116" i="44" s="1"/>
  <c r="Z78" i="44"/>
  <c r="R199" i="44"/>
  <c r="R168" i="44"/>
  <c r="R176" i="44" s="1"/>
  <c r="R178" i="44" s="1"/>
  <c r="R136" i="44"/>
  <c r="R144" i="44" s="1"/>
  <c r="R146" i="44" s="1"/>
  <c r="R88" i="44"/>
  <c r="M168" i="44"/>
  <c r="M176" i="44" s="1"/>
  <c r="M178" i="44" s="1"/>
  <c r="M136" i="44"/>
  <c r="M144" i="44" s="1"/>
  <c r="M146" i="44" s="1"/>
  <c r="M88" i="44"/>
  <c r="M199" i="44"/>
  <c r="S79" i="44"/>
  <c r="S108" i="44" s="1"/>
  <c r="S114" i="44" s="1"/>
  <c r="S116" i="44" s="1"/>
  <c r="S78" i="44"/>
  <c r="AD78" i="44"/>
  <c r="AD79" i="44"/>
  <c r="AD108" i="44" s="1"/>
  <c r="AD114" i="44" s="1"/>
  <c r="AD116" i="44" s="1"/>
  <c r="N199" i="44"/>
  <c r="N168" i="44"/>
  <c r="N176" i="44" s="1"/>
  <c r="N178" i="44" s="1"/>
  <c r="N88" i="44"/>
  <c r="N136" i="44"/>
  <c r="N144" i="44" s="1"/>
  <c r="N146" i="44" s="1"/>
  <c r="W78" i="44"/>
  <c r="W79" i="44"/>
  <c r="W108" i="44" s="1"/>
  <c r="W114" i="44" s="1"/>
  <c r="W116" i="44" s="1"/>
  <c r="J142" i="32"/>
  <c r="J144" i="32" s="1"/>
  <c r="J145" i="32" s="1"/>
  <c r="J92" i="32"/>
  <c r="J178" i="32" s="1"/>
  <c r="J181" i="32" s="1"/>
  <c r="J182" i="32" s="1"/>
  <c r="J98" i="32"/>
  <c r="K102" i="32"/>
  <c r="K104" i="32" s="1"/>
  <c r="K96" i="32"/>
  <c r="K99" i="32" s="1"/>
  <c r="K88" i="32"/>
  <c r="K142" i="32" s="1"/>
  <c r="K144" i="32" s="1"/>
  <c r="K145" i="32" s="1"/>
  <c r="BU8" i="44"/>
  <c r="BT7" i="44"/>
  <c r="BT20" i="44" s="1"/>
  <c r="BS81" i="44"/>
  <c r="BS77" i="44"/>
  <c r="BQ114" i="44"/>
  <c r="BQ116" i="44" s="1"/>
  <c r="BP94" i="44"/>
  <c r="BP96" i="44" s="1"/>
  <c r="BS13" i="44"/>
  <c r="BQ199" i="44"/>
  <c r="BQ168" i="44"/>
  <c r="BQ176" i="44" s="1"/>
  <c r="BQ178" i="44" s="1"/>
  <c r="BQ136" i="44"/>
  <c r="BQ144" i="44" s="1"/>
  <c r="BQ146" i="44" s="1"/>
  <c r="BQ88" i="44"/>
  <c r="BR78" i="44"/>
  <c r="BR79" i="44"/>
  <c r="BR108" i="44" s="1"/>
  <c r="E132" i="28"/>
  <c r="J105" i="32"/>
  <c r="J106" i="32" s="1"/>
  <c r="J104" i="32"/>
  <c r="Z62" i="23"/>
  <c r="M62" i="23"/>
  <c r="L76" i="32"/>
  <c r="L78" i="32" s="1"/>
  <c r="L80" i="32" s="1"/>
  <c r="L101" i="32" s="1"/>
  <c r="J66" i="23"/>
  <c r="Z64" i="23"/>
  <c r="M64" i="23"/>
  <c r="X60" i="23"/>
  <c r="K60" i="23"/>
  <c r="Z44" i="23"/>
  <c r="M44" i="23"/>
  <c r="K101" i="32"/>
  <c r="Z42" i="23"/>
  <c r="M42" i="23"/>
  <c r="N58" i="32"/>
  <c r="L48" i="23"/>
  <c r="Z63" i="23"/>
  <c r="M63" i="23"/>
  <c r="O22" i="32"/>
  <c r="M12" i="23"/>
  <c r="Z10" i="23"/>
  <c r="M10" i="23"/>
  <c r="N22" i="32"/>
  <c r="L12" i="23"/>
  <c r="V68" i="23"/>
  <c r="I68" i="23"/>
  <c r="J119" i="32"/>
  <c r="AA21" i="1" s="1"/>
  <c r="E123" i="32"/>
  <c r="I118" i="28"/>
  <c r="I120" i="28" s="1"/>
  <c r="I121" i="28" s="1"/>
  <c r="I98" i="28"/>
  <c r="I143" i="28"/>
  <c r="I145" i="28" s="1"/>
  <c r="I146" i="28" s="1"/>
  <c r="I93" i="28"/>
  <c r="I154" i="28" s="1"/>
  <c r="I157" i="28" s="1"/>
  <c r="I158" i="28" s="1"/>
  <c r="I168" i="28"/>
  <c r="I170" i="28" s="1"/>
  <c r="I171" i="28" s="1"/>
  <c r="J127" i="28"/>
  <c r="J128" i="28" s="1"/>
  <c r="Y12" i="23"/>
  <c r="N22" i="30"/>
  <c r="Y48" i="23"/>
  <c r="N58" i="30"/>
  <c r="Z12" i="23"/>
  <c r="O22" i="30"/>
  <c r="W66" i="23"/>
  <c r="L76" i="30"/>
  <c r="I104" i="30"/>
  <c r="I105" i="30"/>
  <c r="I106" i="30" s="1"/>
  <c r="I103" i="30"/>
  <c r="I92" i="30"/>
  <c r="I117" i="30"/>
  <c r="I119" i="30" s="1"/>
  <c r="I120" i="30" s="1"/>
  <c r="I97" i="30"/>
  <c r="I142" i="30"/>
  <c r="I144" i="30" s="1"/>
  <c r="I145" i="30" s="1"/>
  <c r="I98" i="30"/>
  <c r="I167" i="30"/>
  <c r="I169" i="30" s="1"/>
  <c r="I170" i="30" s="1"/>
  <c r="K78" i="30"/>
  <c r="K80" i="30" s="1"/>
  <c r="H128" i="30"/>
  <c r="H131" i="30" s="1"/>
  <c r="H132" i="30" s="1"/>
  <c r="H178" i="30"/>
  <c r="H181" i="30" s="1"/>
  <c r="H182" i="30" s="1"/>
  <c r="H153" i="30"/>
  <c r="H156" i="30" s="1"/>
  <c r="H157" i="30" s="1"/>
  <c r="J102" i="28"/>
  <c r="J88" i="30"/>
  <c r="J96" i="30"/>
  <c r="J99" i="30" s="1"/>
  <c r="J102" i="30"/>
  <c r="J126" i="30"/>
  <c r="J101" i="30"/>
  <c r="J81" i="30"/>
  <c r="J115" i="30"/>
  <c r="J97" i="28"/>
  <c r="J100" i="28" s="1"/>
  <c r="J116" i="28"/>
  <c r="J117" i="28" s="1"/>
  <c r="J89" i="28"/>
  <c r="J98" i="28" s="1"/>
  <c r="J103" i="28"/>
  <c r="J106" i="28" s="1"/>
  <c r="J107" i="28" s="1"/>
  <c r="K81" i="28"/>
  <c r="K103" i="28" s="1"/>
  <c r="K104" i="28" s="1"/>
  <c r="O59" i="28"/>
  <c r="L79" i="28"/>
  <c r="N71" i="28"/>
  <c r="M77" i="28"/>
  <c r="J10" i="1"/>
  <c r="J17" i="1"/>
  <c r="J11" i="1"/>
  <c r="N6" i="2"/>
  <c r="D13" i="33" l="1"/>
  <c r="AA20" i="1"/>
  <c r="E122" i="46"/>
  <c r="AA26" i="1" s="1"/>
  <c r="AA28" i="1"/>
  <c r="K153" i="46"/>
  <c r="K156" i="46" s="1"/>
  <c r="K157" i="46" s="1"/>
  <c r="E123" i="46"/>
  <c r="AA27" i="1" s="1"/>
  <c r="J178" i="46"/>
  <c r="J181" i="46" s="1"/>
  <c r="J182" i="46" s="1"/>
  <c r="J128" i="46"/>
  <c r="J153" i="46"/>
  <c r="J156" i="46" s="1"/>
  <c r="J157" i="46" s="1"/>
  <c r="M76" i="46"/>
  <c r="M78" i="46" s="1"/>
  <c r="M80" i="46" s="1"/>
  <c r="L151" i="46"/>
  <c r="L152" i="46" s="1"/>
  <c r="L140" i="46"/>
  <c r="L141" i="46" s="1"/>
  <c r="L101" i="46"/>
  <c r="L88" i="46"/>
  <c r="L96" i="46"/>
  <c r="L99" i="46" s="1"/>
  <c r="L81" i="46"/>
  <c r="L102" i="46"/>
  <c r="K104" i="46"/>
  <c r="K105" i="46"/>
  <c r="K106" i="46" s="1"/>
  <c r="K103" i="46"/>
  <c r="O58" i="46"/>
  <c r="O22" i="46"/>
  <c r="K105" i="32"/>
  <c r="K106" i="32" s="1"/>
  <c r="AQ20" i="44"/>
  <c r="AQ77" i="44" s="1"/>
  <c r="AR20" i="44"/>
  <c r="AR77" i="44" s="1"/>
  <c r="AS20" i="44"/>
  <c r="AS77" i="44" s="1"/>
  <c r="AT20" i="44"/>
  <c r="AT81" i="44" s="1"/>
  <c r="AU20" i="44"/>
  <c r="AU77" i="44" s="1"/>
  <c r="AV20" i="44"/>
  <c r="AV77" i="44" s="1"/>
  <c r="AW20" i="44"/>
  <c r="AW77" i="44" s="1"/>
  <c r="AX20" i="44"/>
  <c r="AX81" i="44" s="1"/>
  <c r="AY20" i="44"/>
  <c r="AY81" i="44" s="1"/>
  <c r="AZ20" i="44"/>
  <c r="AZ81" i="44" s="1"/>
  <c r="BA20" i="44"/>
  <c r="BA77" i="44" s="1"/>
  <c r="BB20" i="44"/>
  <c r="BB81" i="44" s="1"/>
  <c r="K21" i="44"/>
  <c r="AB21" i="44"/>
  <c r="F77" i="44"/>
  <c r="F78" i="44" s="1"/>
  <c r="I21" i="44"/>
  <c r="W21" i="44"/>
  <c r="V21" i="44"/>
  <c r="P21" i="44"/>
  <c r="AC21" i="44"/>
  <c r="J21" i="44"/>
  <c r="H21" i="44"/>
  <c r="Z21" i="44"/>
  <c r="O21" i="44"/>
  <c r="S21" i="44"/>
  <c r="N21" i="44"/>
  <c r="T21" i="44"/>
  <c r="U21" i="44"/>
  <c r="L21" i="44"/>
  <c r="Q21" i="44"/>
  <c r="R21" i="44"/>
  <c r="M21" i="44"/>
  <c r="F21" i="44"/>
  <c r="F81" i="44"/>
  <c r="AA21" i="44"/>
  <c r="G21" i="44"/>
  <c r="X21" i="44"/>
  <c r="AD21" i="44"/>
  <c r="BU11" i="44"/>
  <c r="BU12" i="44"/>
  <c r="J128" i="32"/>
  <c r="J131" i="32" s="1"/>
  <c r="J153" i="32"/>
  <c r="J156" i="32" s="1"/>
  <c r="J157" i="32" s="1"/>
  <c r="K98" i="32"/>
  <c r="K167" i="32"/>
  <c r="K169" i="32" s="1"/>
  <c r="K170" i="32" s="1"/>
  <c r="K103" i="32"/>
  <c r="K97" i="32"/>
  <c r="K92" i="32"/>
  <c r="K153" i="32" s="1"/>
  <c r="K156" i="32" s="1"/>
  <c r="K157" i="32" s="1"/>
  <c r="AD88" i="44"/>
  <c r="AD94" i="44" s="1"/>
  <c r="AD96" i="44" s="1"/>
  <c r="AD199" i="44"/>
  <c r="AD136" i="44"/>
  <c r="AD144" i="44" s="1"/>
  <c r="AD146" i="44" s="1"/>
  <c r="AD168" i="44"/>
  <c r="AD176" i="44" s="1"/>
  <c r="AD178" i="44" s="1"/>
  <c r="O94" i="44"/>
  <c r="O96" i="44" s="1"/>
  <c r="AK77" i="44"/>
  <c r="AK81" i="44"/>
  <c r="AL81" i="44"/>
  <c r="AL77" i="44"/>
  <c r="H94" i="44"/>
  <c r="H96" i="44" s="1"/>
  <c r="V136" i="44"/>
  <c r="V144" i="44" s="1"/>
  <c r="V146" i="44" s="1"/>
  <c r="V199" i="44"/>
  <c r="V168" i="44"/>
  <c r="V176" i="44" s="1"/>
  <c r="V178" i="44" s="1"/>
  <c r="V88" i="44"/>
  <c r="W136" i="44"/>
  <c r="W144" i="44" s="1"/>
  <c r="W146" i="44" s="1"/>
  <c r="W199" i="44"/>
  <c r="W168" i="44"/>
  <c r="W176" i="44" s="1"/>
  <c r="W178" i="44" s="1"/>
  <c r="W88" i="44"/>
  <c r="AG81" i="44"/>
  <c r="AG77" i="44"/>
  <c r="AI77" i="44"/>
  <c r="AI81" i="44"/>
  <c r="M94" i="44"/>
  <c r="M96" i="44" s="1"/>
  <c r="Z88" i="44"/>
  <c r="Z199" i="44"/>
  <c r="Z168" i="44"/>
  <c r="Z176" i="44" s="1"/>
  <c r="Z178" i="44" s="1"/>
  <c r="Z136" i="44"/>
  <c r="Z144" i="44" s="1"/>
  <c r="Z146" i="44" s="1"/>
  <c r="J94" i="44"/>
  <c r="J96" i="44" s="1"/>
  <c r="AB168" i="44"/>
  <c r="AB176" i="44" s="1"/>
  <c r="AB178" i="44" s="1"/>
  <c r="AB136" i="44"/>
  <c r="AB144" i="44" s="1"/>
  <c r="AB146" i="44" s="1"/>
  <c r="AB88" i="44"/>
  <c r="AB199" i="44"/>
  <c r="G176" i="44"/>
  <c r="AJ77" i="44"/>
  <c r="AJ81" i="44"/>
  <c r="AE81" i="44"/>
  <c r="AE77" i="44"/>
  <c r="AF21" i="44"/>
  <c r="AE21" i="44"/>
  <c r="AN21" i="44"/>
  <c r="AM21" i="44"/>
  <c r="AO21" i="44"/>
  <c r="AP21" i="44"/>
  <c r="AG21" i="44"/>
  <c r="AJ21" i="44"/>
  <c r="AL21" i="44"/>
  <c r="AH21" i="44"/>
  <c r="AK21" i="44"/>
  <c r="AI21" i="44"/>
  <c r="U136" i="44"/>
  <c r="U144" i="44" s="1"/>
  <c r="U146" i="44" s="1"/>
  <c r="U88" i="44"/>
  <c r="U199" i="44"/>
  <c r="U168" i="44"/>
  <c r="U176" i="44" s="1"/>
  <c r="U178" i="44" s="1"/>
  <c r="Q94" i="44"/>
  <c r="Q96" i="44" s="1"/>
  <c r="I94" i="44"/>
  <c r="I96" i="44" s="1"/>
  <c r="D14" i="33"/>
  <c r="J120" i="32"/>
  <c r="N94" i="44"/>
  <c r="N96" i="44" s="1"/>
  <c r="AP81" i="44"/>
  <c r="AP77" i="44"/>
  <c r="AM81" i="44"/>
  <c r="AM77" i="44"/>
  <c r="X168" i="44"/>
  <c r="X176" i="44" s="1"/>
  <c r="X178" i="44" s="1"/>
  <c r="X88" i="44"/>
  <c r="X199" i="44"/>
  <c r="X136" i="44"/>
  <c r="X144" i="44" s="1"/>
  <c r="X146" i="44" s="1"/>
  <c r="G116" i="44"/>
  <c r="P94" i="44"/>
  <c r="P96" i="44" s="1"/>
  <c r="T199" i="44"/>
  <c r="T168" i="44"/>
  <c r="T176" i="44" s="1"/>
  <c r="T178" i="44" s="1"/>
  <c r="T136" i="44"/>
  <c r="T144" i="44" s="1"/>
  <c r="T146" i="44" s="1"/>
  <c r="T88" i="44"/>
  <c r="AN77" i="44"/>
  <c r="AN81" i="44"/>
  <c r="S168" i="44"/>
  <c r="S176" i="44" s="1"/>
  <c r="S178" i="44" s="1"/>
  <c r="S136" i="44"/>
  <c r="S144" i="44" s="1"/>
  <c r="S146" i="44" s="1"/>
  <c r="S88" i="44"/>
  <c r="S199" i="44"/>
  <c r="Y136" i="44"/>
  <c r="Y144" i="44" s="1"/>
  <c r="Y146" i="44" s="1"/>
  <c r="Y88" i="44"/>
  <c r="Y199" i="44"/>
  <c r="Y168" i="44"/>
  <c r="Y176" i="44" s="1"/>
  <c r="Y178" i="44" s="1"/>
  <c r="AO81" i="44"/>
  <c r="AO77" i="44"/>
  <c r="AH81" i="44"/>
  <c r="AH77" i="44"/>
  <c r="R94" i="44"/>
  <c r="R96" i="44" s="1"/>
  <c r="G144" i="44"/>
  <c r="K94" i="44"/>
  <c r="K96" i="44" s="1"/>
  <c r="AF81" i="44"/>
  <c r="AF77" i="44"/>
  <c r="AC136" i="44"/>
  <c r="AC144" i="44" s="1"/>
  <c r="AC146" i="44" s="1"/>
  <c r="AC168" i="44"/>
  <c r="AC176" i="44" s="1"/>
  <c r="AC178" i="44" s="1"/>
  <c r="AC88" i="44"/>
  <c r="AC199" i="44"/>
  <c r="G94" i="44"/>
  <c r="AA168" i="44"/>
  <c r="AA176" i="44" s="1"/>
  <c r="AA178" i="44" s="1"/>
  <c r="AA88" i="44"/>
  <c r="AA199" i="44"/>
  <c r="AA136" i="44"/>
  <c r="AA144" i="44" s="1"/>
  <c r="AA146" i="44" s="1"/>
  <c r="BR199" i="44"/>
  <c r="BR168" i="44"/>
  <c r="BR176" i="44" s="1"/>
  <c r="BR178" i="44" s="1"/>
  <c r="BR136" i="44"/>
  <c r="BR144" i="44" s="1"/>
  <c r="BR146" i="44" s="1"/>
  <c r="BR88" i="44"/>
  <c r="BS78" i="44"/>
  <c r="BS79" i="44"/>
  <c r="BS108" i="44" s="1"/>
  <c r="BT81" i="44"/>
  <c r="BT77" i="44"/>
  <c r="BV8" i="44"/>
  <c r="BU7" i="44"/>
  <c r="BU20" i="44" s="1"/>
  <c r="BQ94" i="44"/>
  <c r="BQ96" i="44" s="1"/>
  <c r="BT13" i="44"/>
  <c r="BR114" i="44"/>
  <c r="BR116" i="44" s="1"/>
  <c r="E122" i="32"/>
  <c r="L88" i="32"/>
  <c r="L98" i="32" s="1"/>
  <c r="L151" i="32"/>
  <c r="L152" i="32" s="1"/>
  <c r="L102" i="32"/>
  <c r="L103" i="32" s="1"/>
  <c r="L140" i="32"/>
  <c r="L141" i="32" s="1"/>
  <c r="L81" i="32"/>
  <c r="L96" i="32"/>
  <c r="L99" i="32" s="1"/>
  <c r="M76" i="32"/>
  <c r="M78" i="32" s="1"/>
  <c r="M80" i="32" s="1"/>
  <c r="M88" i="32" s="1"/>
  <c r="K66" i="23"/>
  <c r="O58" i="32"/>
  <c r="M48" i="23"/>
  <c r="Y60" i="23"/>
  <c r="L60" i="23"/>
  <c r="W68" i="23"/>
  <c r="J68" i="23"/>
  <c r="I179" i="28"/>
  <c r="I182" i="28" s="1"/>
  <c r="I183" i="28" s="1"/>
  <c r="I129" i="28"/>
  <c r="I132" i="28" s="1"/>
  <c r="I133" i="28" s="1"/>
  <c r="J105" i="28"/>
  <c r="J104" i="28"/>
  <c r="X66" i="23"/>
  <c r="M76" i="30"/>
  <c r="Z48" i="23"/>
  <c r="O58" i="30"/>
  <c r="J105" i="30"/>
  <c r="J106" i="30" s="1"/>
  <c r="J104" i="30"/>
  <c r="J97" i="30"/>
  <c r="J142" i="30"/>
  <c r="J144" i="30" s="1"/>
  <c r="J145" i="30" s="1"/>
  <c r="J98" i="30"/>
  <c r="J167" i="30"/>
  <c r="J169" i="30" s="1"/>
  <c r="J170" i="30" s="1"/>
  <c r="J117" i="30"/>
  <c r="J92" i="30"/>
  <c r="J116" i="30"/>
  <c r="K101" i="30"/>
  <c r="K96" i="30"/>
  <c r="K99" i="30" s="1"/>
  <c r="K88" i="30"/>
  <c r="K81" i="30"/>
  <c r="K102" i="30"/>
  <c r="I153" i="30"/>
  <c r="I156" i="30" s="1"/>
  <c r="I157" i="30" s="1"/>
  <c r="I128" i="30"/>
  <c r="I131" i="30" s="1"/>
  <c r="I132" i="30" s="1"/>
  <c r="I178" i="30"/>
  <c r="I181" i="30" s="1"/>
  <c r="I182" i="30" s="1"/>
  <c r="L78" i="30"/>
  <c r="L80" i="30" s="1"/>
  <c r="J127" i="30"/>
  <c r="J103" i="30"/>
  <c r="K89" i="28"/>
  <c r="K143" i="28" s="1"/>
  <c r="K145" i="28" s="1"/>
  <c r="K146" i="28" s="1"/>
  <c r="K102" i="28"/>
  <c r="J118" i="28"/>
  <c r="K97" i="28"/>
  <c r="K100" i="28" s="1"/>
  <c r="J99" i="28"/>
  <c r="J93" i="28"/>
  <c r="J179" i="28" s="1"/>
  <c r="J182" i="28" s="1"/>
  <c r="J183" i="28" s="1"/>
  <c r="J168" i="28"/>
  <c r="J170" i="28" s="1"/>
  <c r="J171" i="28" s="1"/>
  <c r="J143" i="28"/>
  <c r="J145" i="28" s="1"/>
  <c r="J146" i="28" s="1"/>
  <c r="K82" i="28"/>
  <c r="L81" i="28"/>
  <c r="L152" i="28" s="1"/>
  <c r="L153" i="28" s="1"/>
  <c r="K106" i="28"/>
  <c r="K107" i="28" s="1"/>
  <c r="K105" i="28"/>
  <c r="M79" i="28"/>
  <c r="N77" i="28"/>
  <c r="O71" i="28"/>
  <c r="J12" i="1"/>
  <c r="D12" i="33" l="1"/>
  <c r="AA19" i="1"/>
  <c r="J132" i="32"/>
  <c r="BC20" i="44" s="1"/>
  <c r="AB21" i="1"/>
  <c r="E135" i="32"/>
  <c r="N76" i="46"/>
  <c r="N78" i="46" s="1"/>
  <c r="N80" i="46" s="1"/>
  <c r="L97" i="46"/>
  <c r="L142" i="46"/>
  <c r="E148" i="46" s="1"/>
  <c r="L92" i="46"/>
  <c r="L167" i="46"/>
  <c r="L169" i="46" s="1"/>
  <c r="L170" i="46" s="1"/>
  <c r="L98" i="46"/>
  <c r="M96" i="46"/>
  <c r="M99" i="46" s="1"/>
  <c r="M81" i="46"/>
  <c r="M102" i="46"/>
  <c r="M101" i="46"/>
  <c r="M88" i="46"/>
  <c r="L103" i="46"/>
  <c r="L105" i="46"/>
  <c r="L106" i="46" s="1"/>
  <c r="L104" i="46"/>
  <c r="E135" i="46"/>
  <c r="AB27" i="1" s="1"/>
  <c r="J131" i="46"/>
  <c r="AB28" i="1" s="1"/>
  <c r="AY77" i="44"/>
  <c r="AY78" i="44" s="1"/>
  <c r="AU81" i="44"/>
  <c r="AV81" i="44"/>
  <c r="AZ77" i="44"/>
  <c r="AZ79" i="44" s="1"/>
  <c r="AZ108" i="44" s="1"/>
  <c r="AZ114" i="44" s="1"/>
  <c r="AZ116" i="44" s="1"/>
  <c r="K178" i="32"/>
  <c r="K181" i="32" s="1"/>
  <c r="K182" i="32" s="1"/>
  <c r="BA81" i="44"/>
  <c r="AW81" i="44"/>
  <c r="BC11" i="44"/>
  <c r="BC13" i="44" s="1"/>
  <c r="BD11" i="44"/>
  <c r="BD13" i="44" s="1"/>
  <c r="BE11" i="44"/>
  <c r="BE13" i="44" s="1"/>
  <c r="BF11" i="44"/>
  <c r="BF13" i="44" s="1"/>
  <c r="BG11" i="44"/>
  <c r="BG13" i="44" s="1"/>
  <c r="BH11" i="44"/>
  <c r="BH13" i="44" s="1"/>
  <c r="BI11" i="44"/>
  <c r="BI13" i="44" s="1"/>
  <c r="BJ11" i="44"/>
  <c r="BJ13" i="44" s="1"/>
  <c r="BK11" i="44"/>
  <c r="BK13" i="44" s="1"/>
  <c r="BL11" i="44"/>
  <c r="BL13" i="44" s="1"/>
  <c r="BM11" i="44"/>
  <c r="BM13" i="44" s="1"/>
  <c r="BN11" i="44"/>
  <c r="BN13" i="44" s="1"/>
  <c r="F79" i="44"/>
  <c r="F108" i="44" s="1"/>
  <c r="F114" i="44" s="1"/>
  <c r="F116" i="44" s="1"/>
  <c r="F118" i="44" s="1"/>
  <c r="G115" i="44" s="1"/>
  <c r="BV12" i="44"/>
  <c r="BV11" i="44"/>
  <c r="AS81" i="44"/>
  <c r="AQ81" i="44"/>
  <c r="AQ21" i="44"/>
  <c r="AS21" i="44"/>
  <c r="AX77" i="44"/>
  <c r="AX79" i="44" s="1"/>
  <c r="AX108" i="44" s="1"/>
  <c r="AX114" i="44" s="1"/>
  <c r="AX116" i="44" s="1"/>
  <c r="F88" i="44"/>
  <c r="F199" i="44"/>
  <c r="F136" i="44"/>
  <c r="F168" i="44"/>
  <c r="AR21" i="44"/>
  <c r="AR81" i="44"/>
  <c r="AV21" i="44"/>
  <c r="BB77" i="44"/>
  <c r="BB78" i="44" s="1"/>
  <c r="BB21" i="44"/>
  <c r="AX21" i="44"/>
  <c r="AT77" i="44"/>
  <c r="AT79" i="44" s="1"/>
  <c r="AT108" i="44" s="1"/>
  <c r="AT114" i="44" s="1"/>
  <c r="AT116" i="44" s="1"/>
  <c r="AW21" i="44"/>
  <c r="AT21" i="44"/>
  <c r="AY21" i="44"/>
  <c r="AZ21" i="44"/>
  <c r="BA21" i="44"/>
  <c r="AU21" i="44"/>
  <c r="L104" i="32"/>
  <c r="AR79" i="44"/>
  <c r="AR108" i="44" s="1"/>
  <c r="AR114" i="44" s="1"/>
  <c r="AR116" i="44" s="1"/>
  <c r="AR78" i="44"/>
  <c r="AN78" i="44"/>
  <c r="AN79" i="44"/>
  <c r="AN108" i="44" s="1"/>
  <c r="AN114" i="44" s="1"/>
  <c r="AN116" i="44" s="1"/>
  <c r="AJ78" i="44"/>
  <c r="AJ79" i="44"/>
  <c r="AJ108" i="44" s="1"/>
  <c r="AJ114" i="44" s="1"/>
  <c r="AJ116" i="44" s="1"/>
  <c r="Y94" i="44"/>
  <c r="Y96" i="44" s="1"/>
  <c r="AM78" i="44"/>
  <c r="AM79" i="44"/>
  <c r="AM108" i="44" s="1"/>
  <c r="AM114" i="44" s="1"/>
  <c r="AM116" i="44" s="1"/>
  <c r="U94" i="44"/>
  <c r="U96" i="44" s="1"/>
  <c r="AK78" i="44"/>
  <c r="AK79" i="44"/>
  <c r="AK108" i="44" s="1"/>
  <c r="AK114" i="44" s="1"/>
  <c r="AK116" i="44" s="1"/>
  <c r="AF78" i="44"/>
  <c r="AF79" i="44"/>
  <c r="AF108" i="44" s="1"/>
  <c r="AF114" i="44" s="1"/>
  <c r="AF116" i="44" s="1"/>
  <c r="AW79" i="44"/>
  <c r="AW108" i="44" s="1"/>
  <c r="AW114" i="44" s="1"/>
  <c r="AW116" i="44" s="1"/>
  <c r="AW78" i="44"/>
  <c r="AU79" i="44"/>
  <c r="AU108" i="44" s="1"/>
  <c r="AU114" i="44" s="1"/>
  <c r="AU116" i="44" s="1"/>
  <c r="AU78" i="44"/>
  <c r="AA94" i="44"/>
  <c r="AA96" i="44" s="1"/>
  <c r="AO78" i="44"/>
  <c r="AO79" i="44"/>
  <c r="AO108" i="44" s="1"/>
  <c r="AO114" i="44" s="1"/>
  <c r="AO116" i="44" s="1"/>
  <c r="T94" i="44"/>
  <c r="T96" i="44" s="1"/>
  <c r="AP79" i="44"/>
  <c r="AP108" i="44" s="1"/>
  <c r="AP114" i="44" s="1"/>
  <c r="AP116" i="44" s="1"/>
  <c r="AP78" i="44"/>
  <c r="G178" i="44"/>
  <c r="AI79" i="44"/>
  <c r="AI108" i="44" s="1"/>
  <c r="AI114" i="44" s="1"/>
  <c r="AI116" i="44" s="1"/>
  <c r="AI78" i="44"/>
  <c r="G146" i="44"/>
  <c r="S94" i="44"/>
  <c r="S96" i="44" s="1"/>
  <c r="AG78" i="44"/>
  <c r="AG79" i="44"/>
  <c r="AG108" i="44" s="1"/>
  <c r="AG114" i="44" s="1"/>
  <c r="AG116" i="44" s="1"/>
  <c r="AV79" i="44"/>
  <c r="AV108" i="44" s="1"/>
  <c r="AV114" i="44" s="1"/>
  <c r="AV116" i="44" s="1"/>
  <c r="AV78" i="44"/>
  <c r="L105" i="32"/>
  <c r="L106" i="32" s="1"/>
  <c r="BA78" i="44"/>
  <c r="BA79" i="44"/>
  <c r="BA108" i="44" s="1"/>
  <c r="BA114" i="44" s="1"/>
  <c r="BA116" i="44" s="1"/>
  <c r="G96" i="44"/>
  <c r="AE78" i="44"/>
  <c r="AE79" i="44"/>
  <c r="AE108" i="44" s="1"/>
  <c r="AE114" i="44" s="1"/>
  <c r="AB94" i="44"/>
  <c r="AB96" i="44" s="1"/>
  <c r="AL79" i="44"/>
  <c r="AL108" i="44" s="1"/>
  <c r="AL114" i="44" s="1"/>
  <c r="AL116" i="44" s="1"/>
  <c r="AL78" i="44"/>
  <c r="AS78" i="44"/>
  <c r="AS79" i="44"/>
  <c r="AS108" i="44" s="1"/>
  <c r="AS114" i="44" s="1"/>
  <c r="AS116" i="44" s="1"/>
  <c r="AQ78" i="44"/>
  <c r="AQ79" i="44"/>
  <c r="AQ108" i="44" s="1"/>
  <c r="AQ114" i="44" s="1"/>
  <c r="AQ116" i="44" s="1"/>
  <c r="W94" i="44"/>
  <c r="W96" i="44" s="1"/>
  <c r="V94" i="44"/>
  <c r="V96" i="44" s="1"/>
  <c r="AC94" i="44"/>
  <c r="AC96" i="44" s="1"/>
  <c r="AH78" i="44"/>
  <c r="AH79" i="44"/>
  <c r="AH108" i="44" s="1"/>
  <c r="AH114" i="44" s="1"/>
  <c r="AH116" i="44" s="1"/>
  <c r="X94" i="44"/>
  <c r="X96" i="44" s="1"/>
  <c r="Z94" i="44"/>
  <c r="Z96" i="44" s="1"/>
  <c r="L97" i="32"/>
  <c r="L167" i="32"/>
  <c r="L169" i="32" s="1"/>
  <c r="L170" i="32" s="1"/>
  <c r="L142" i="32"/>
  <c r="E148" i="32" s="1"/>
  <c r="L92" i="32"/>
  <c r="L178" i="32" s="1"/>
  <c r="L181" i="32" s="1"/>
  <c r="L182" i="32" s="1"/>
  <c r="BU13" i="44"/>
  <c r="BW8" i="44"/>
  <c r="BV7" i="44"/>
  <c r="BV20" i="44" s="1"/>
  <c r="BT78" i="44"/>
  <c r="BT79" i="44"/>
  <c r="BT108" i="44" s="1"/>
  <c r="BS168" i="44"/>
  <c r="BS176" i="44" s="1"/>
  <c r="BS178" i="44" s="1"/>
  <c r="BS199" i="44"/>
  <c r="BS136" i="44"/>
  <c r="BS144" i="44" s="1"/>
  <c r="BS146" i="44" s="1"/>
  <c r="BS88" i="44"/>
  <c r="BR94" i="44"/>
  <c r="BR96" i="44" s="1"/>
  <c r="BU81" i="44"/>
  <c r="BU77" i="44"/>
  <c r="BS114" i="44"/>
  <c r="BS116" i="44" s="1"/>
  <c r="M81" i="32"/>
  <c r="M96" i="32"/>
  <c r="M99" i="32" s="1"/>
  <c r="M101" i="32"/>
  <c r="M102" i="32"/>
  <c r="M104" i="32" s="1"/>
  <c r="N76" i="32"/>
  <c r="N78" i="32" s="1"/>
  <c r="N80" i="32" s="1"/>
  <c r="N101" i="32" s="1"/>
  <c r="L66" i="23"/>
  <c r="Z60" i="23"/>
  <c r="M60" i="23"/>
  <c r="X68" i="23"/>
  <c r="K68" i="23"/>
  <c r="E14" i="33"/>
  <c r="E134" i="32"/>
  <c r="M92" i="32"/>
  <c r="M178" i="32" s="1"/>
  <c r="M181" i="32" s="1"/>
  <c r="M182" i="32" s="1"/>
  <c r="M97" i="32"/>
  <c r="M167" i="32"/>
  <c r="M169" i="32" s="1"/>
  <c r="M170" i="32" s="1"/>
  <c r="M98" i="32"/>
  <c r="Y66" i="23"/>
  <c r="N76" i="30"/>
  <c r="K105" i="30"/>
  <c r="K106" i="30" s="1"/>
  <c r="K104" i="30"/>
  <c r="E123" i="30"/>
  <c r="M78" i="30"/>
  <c r="M80" i="30" s="1"/>
  <c r="K142" i="30"/>
  <c r="K144" i="30" s="1"/>
  <c r="K145" i="30" s="1"/>
  <c r="K98" i="30"/>
  <c r="K167" i="30"/>
  <c r="K169" i="30" s="1"/>
  <c r="K170" i="30" s="1"/>
  <c r="K97" i="30"/>
  <c r="K92" i="30"/>
  <c r="J153" i="30"/>
  <c r="J156" i="30" s="1"/>
  <c r="J157" i="30" s="1"/>
  <c r="J128" i="30"/>
  <c r="J178" i="30"/>
  <c r="J181" i="30" s="1"/>
  <c r="J182" i="30" s="1"/>
  <c r="L88" i="30"/>
  <c r="L81" i="30"/>
  <c r="L102" i="30"/>
  <c r="L96" i="30"/>
  <c r="L99" i="30" s="1"/>
  <c r="L101" i="30"/>
  <c r="L140" i="30"/>
  <c r="L151" i="30"/>
  <c r="J154" i="28"/>
  <c r="J157" i="28" s="1"/>
  <c r="J158" i="28" s="1"/>
  <c r="K103" i="30"/>
  <c r="J119" i="30"/>
  <c r="K93" i="28"/>
  <c r="K154" i="28" s="1"/>
  <c r="K157" i="28" s="1"/>
  <c r="K158" i="28" s="1"/>
  <c r="K168" i="28"/>
  <c r="K170" i="28" s="1"/>
  <c r="K171" i="28" s="1"/>
  <c r="K98" i="28"/>
  <c r="K99" i="28"/>
  <c r="J129" i="28"/>
  <c r="E124" i="28"/>
  <c r="J120" i="28"/>
  <c r="L141" i="28"/>
  <c r="L142" i="28" s="1"/>
  <c r="L102" i="28"/>
  <c r="L97" i="28"/>
  <c r="L100" i="28" s="1"/>
  <c r="L82" i="28"/>
  <c r="L89" i="28"/>
  <c r="L143" i="28" s="1"/>
  <c r="M81" i="28"/>
  <c r="M97" i="28" s="1"/>
  <c r="M100" i="28" s="1"/>
  <c r="L103" i="28"/>
  <c r="L105" i="28" s="1"/>
  <c r="O77" i="28"/>
  <c r="N79" i="28"/>
  <c r="U13" i="1"/>
  <c r="BM20" i="44" l="1"/>
  <c r="BM81" i="44" s="1"/>
  <c r="BI20" i="44"/>
  <c r="BI77" i="44" s="1"/>
  <c r="BE20" i="44"/>
  <c r="BE77" i="44" s="1"/>
  <c r="BJ20" i="44"/>
  <c r="BJ81" i="44" s="1"/>
  <c r="BH20" i="44"/>
  <c r="BH77" i="44" s="1"/>
  <c r="BG20" i="44"/>
  <c r="BG81" i="44" s="1"/>
  <c r="BN20" i="44"/>
  <c r="BN77" i="44" s="1"/>
  <c r="BF20" i="44"/>
  <c r="BL20" i="44"/>
  <c r="BL77" i="44" s="1"/>
  <c r="BD20" i="44"/>
  <c r="BD77" i="44" s="1"/>
  <c r="BK20" i="44"/>
  <c r="E13" i="33"/>
  <c r="AB20" i="1"/>
  <c r="E12" i="33"/>
  <c r="AB19" i="1"/>
  <c r="J120" i="30"/>
  <c r="AA14" i="1"/>
  <c r="D6" i="33"/>
  <c r="AA13" i="1"/>
  <c r="L153" i="32"/>
  <c r="L156" i="32" s="1"/>
  <c r="L144" i="46"/>
  <c r="L145" i="46" s="1"/>
  <c r="E134" i="46"/>
  <c r="AB26" i="1" s="1"/>
  <c r="J132" i="46"/>
  <c r="O76" i="46"/>
  <c r="O78" i="46" s="1"/>
  <c r="O80" i="46" s="1"/>
  <c r="M103" i="46"/>
  <c r="M104" i="46"/>
  <c r="M105" i="46"/>
  <c r="M106" i="46" s="1"/>
  <c r="L178" i="46"/>
  <c r="L181" i="46" s="1"/>
  <c r="L182" i="46" s="1"/>
  <c r="L153" i="46"/>
  <c r="N102" i="46"/>
  <c r="N81" i="46"/>
  <c r="N101" i="46"/>
  <c r="N88" i="46"/>
  <c r="N96" i="46"/>
  <c r="N99" i="46" s="1"/>
  <c r="M98" i="46"/>
  <c r="M167" i="46"/>
  <c r="M169" i="46" s="1"/>
  <c r="M170" i="46" s="1"/>
  <c r="M92" i="46"/>
  <c r="M178" i="46" s="1"/>
  <c r="M181" i="46" s="1"/>
  <c r="M182" i="46" s="1"/>
  <c r="M97" i="46"/>
  <c r="F111" i="44"/>
  <c r="G107" i="44" s="1"/>
  <c r="G109" i="44" s="1"/>
  <c r="G121" i="44" s="1"/>
  <c r="G123" i="44" s="1"/>
  <c r="G127" i="44" s="1"/>
  <c r="G60" i="44" s="1"/>
  <c r="AZ78" i="44"/>
  <c r="AZ168" i="44" s="1"/>
  <c r="AZ176" i="44" s="1"/>
  <c r="AZ178" i="44" s="1"/>
  <c r="AY79" i="44"/>
  <c r="AY108" i="44" s="1"/>
  <c r="AY114" i="44" s="1"/>
  <c r="AY116" i="44" s="1"/>
  <c r="BW12" i="44"/>
  <c r="BW11" i="44"/>
  <c r="AX78" i="44"/>
  <c r="AX88" i="44" s="1"/>
  <c r="AX94" i="44" s="1"/>
  <c r="AX96" i="44" s="1"/>
  <c r="AT78" i="44"/>
  <c r="AT199" i="44" s="1"/>
  <c r="F121" i="44"/>
  <c r="F123" i="44" s="1"/>
  <c r="F127" i="44" s="1"/>
  <c r="F60" i="44" s="1"/>
  <c r="D36" i="45" s="1"/>
  <c r="F176" i="44"/>
  <c r="F178" i="44" s="1"/>
  <c r="F140" i="44"/>
  <c r="G135" i="44" s="1"/>
  <c r="G137" i="44" s="1"/>
  <c r="F144" i="44"/>
  <c r="F146" i="44" s="1"/>
  <c r="F152" i="44" s="1"/>
  <c r="F154" i="44" s="1"/>
  <c r="F91" i="44"/>
  <c r="G87" i="44" s="1"/>
  <c r="F94" i="44"/>
  <c r="F96" i="44" s="1"/>
  <c r="F98" i="44" s="1"/>
  <c r="G95" i="44" s="1"/>
  <c r="BB79" i="44"/>
  <c r="BB108" i="44" s="1"/>
  <c r="BB114" i="44" s="1"/>
  <c r="BB116" i="44" s="1"/>
  <c r="E123" i="28"/>
  <c r="J121" i="28"/>
  <c r="L144" i="32"/>
  <c r="AV199" i="44"/>
  <c r="AV168" i="44"/>
  <c r="AV176" i="44" s="1"/>
  <c r="AV178" i="44" s="1"/>
  <c r="AV136" i="44"/>
  <c r="AV144" i="44" s="1"/>
  <c r="AV146" i="44" s="1"/>
  <c r="AV88" i="44"/>
  <c r="AV94" i="44" s="1"/>
  <c r="AV96" i="44" s="1"/>
  <c r="AW168" i="44"/>
  <c r="AW176" i="44" s="1"/>
  <c r="AW178" i="44" s="1"/>
  <c r="AW136" i="44"/>
  <c r="AW144" i="44" s="1"/>
  <c r="AW146" i="44" s="1"/>
  <c r="AW88" i="44"/>
  <c r="AW94" i="44" s="1"/>
  <c r="AW96" i="44" s="1"/>
  <c r="AW199" i="44"/>
  <c r="AH199" i="44"/>
  <c r="AH168" i="44"/>
  <c r="AH176" i="44" s="1"/>
  <c r="AH178" i="44" s="1"/>
  <c r="AH136" i="44"/>
  <c r="AH144" i="44" s="1"/>
  <c r="AH146" i="44" s="1"/>
  <c r="AH88" i="44"/>
  <c r="AP168" i="44"/>
  <c r="AP176" i="44" s="1"/>
  <c r="AP178" i="44" s="1"/>
  <c r="AP199" i="44"/>
  <c r="AP136" i="44"/>
  <c r="AP144" i="44" s="1"/>
  <c r="AP146" i="44" s="1"/>
  <c r="AP88" i="44"/>
  <c r="AP94" i="44" s="1"/>
  <c r="AP96" i="44" s="1"/>
  <c r="AK136" i="44"/>
  <c r="AK144" i="44" s="1"/>
  <c r="AK146" i="44" s="1"/>
  <c r="AK199" i="44"/>
  <c r="AK168" i="44"/>
  <c r="AK176" i="44" s="1"/>
  <c r="AK178" i="44" s="1"/>
  <c r="AK88" i="44"/>
  <c r="AK94" i="44" s="1"/>
  <c r="AK96" i="44" s="1"/>
  <c r="AM136" i="44"/>
  <c r="AM144" i="44" s="1"/>
  <c r="AM146" i="44" s="1"/>
  <c r="AM199" i="44"/>
  <c r="AM168" i="44"/>
  <c r="AM176" i="44" s="1"/>
  <c r="AM178" i="44" s="1"/>
  <c r="AM88" i="44"/>
  <c r="AM94" i="44" s="1"/>
  <c r="AM96" i="44" s="1"/>
  <c r="AG199" i="44"/>
  <c r="AG88" i="44"/>
  <c r="AG168" i="44"/>
  <c r="AG176" i="44" s="1"/>
  <c r="AG178" i="44" s="1"/>
  <c r="AG136" i="44"/>
  <c r="AG144" i="44" s="1"/>
  <c r="AG146" i="44" s="1"/>
  <c r="AI168" i="44"/>
  <c r="AI176" i="44" s="1"/>
  <c r="AI178" i="44" s="1"/>
  <c r="AI199" i="44"/>
  <c r="AI136" i="44"/>
  <c r="AI144" i="44" s="1"/>
  <c r="AI146" i="44" s="1"/>
  <c r="AI88" i="44"/>
  <c r="BM77" i="44"/>
  <c r="AJ168" i="44"/>
  <c r="AJ176" i="44" s="1"/>
  <c r="AJ178" i="44" s="1"/>
  <c r="AJ136" i="44"/>
  <c r="AJ144" i="44" s="1"/>
  <c r="AJ146" i="44" s="1"/>
  <c r="AJ199" i="44"/>
  <c r="AJ88" i="44"/>
  <c r="AJ94" i="44" s="1"/>
  <c r="AJ96" i="44" s="1"/>
  <c r="AQ136" i="44"/>
  <c r="AQ144" i="44" s="1"/>
  <c r="AQ146" i="44" s="1"/>
  <c r="AQ88" i="44"/>
  <c r="AQ94" i="44" s="1"/>
  <c r="AQ96" i="44" s="1"/>
  <c r="AQ168" i="44"/>
  <c r="AQ176" i="44" s="1"/>
  <c r="AQ178" i="44" s="1"/>
  <c r="AQ199" i="44"/>
  <c r="AU136" i="44"/>
  <c r="AU144" i="44" s="1"/>
  <c r="AU146" i="44" s="1"/>
  <c r="AU88" i="44"/>
  <c r="AU94" i="44" s="1"/>
  <c r="AU96" i="44" s="1"/>
  <c r="AU168" i="44"/>
  <c r="AU176" i="44" s="1"/>
  <c r="AU178" i="44" s="1"/>
  <c r="AU199" i="44"/>
  <c r="AF88" i="44"/>
  <c r="AF168" i="44"/>
  <c r="AF176" i="44" s="1"/>
  <c r="AF178" i="44" s="1"/>
  <c r="AF199" i="44"/>
  <c r="AF136" i="44"/>
  <c r="AF144" i="44" s="1"/>
  <c r="AF146" i="44" s="1"/>
  <c r="BI81" i="44"/>
  <c r="BB88" i="44"/>
  <c r="BB94" i="44" s="1"/>
  <c r="BB96" i="44" s="1"/>
  <c r="BB199" i="44"/>
  <c r="BB136" i="44"/>
  <c r="BB144" i="44" s="1"/>
  <c r="BB146" i="44" s="1"/>
  <c r="BB168" i="44"/>
  <c r="BB176" i="44" s="1"/>
  <c r="BB178" i="44" s="1"/>
  <c r="AE116" i="44"/>
  <c r="AY136" i="44"/>
  <c r="AY144" i="44" s="1"/>
  <c r="AY146" i="44" s="1"/>
  <c r="AY199" i="44"/>
  <c r="AY88" i="44"/>
  <c r="AY94" i="44" s="1"/>
  <c r="AY96" i="44" s="1"/>
  <c r="AY168" i="44"/>
  <c r="AY176" i="44" s="1"/>
  <c r="AY178" i="44" s="1"/>
  <c r="AN199" i="44"/>
  <c r="AN168" i="44"/>
  <c r="AN176" i="44" s="1"/>
  <c r="AN178" i="44" s="1"/>
  <c r="AN136" i="44"/>
  <c r="AN144" i="44" s="1"/>
  <c r="AN146" i="44" s="1"/>
  <c r="AN88" i="44"/>
  <c r="AN94" i="44" s="1"/>
  <c r="AN96" i="44" s="1"/>
  <c r="AS136" i="44"/>
  <c r="AS144" i="44" s="1"/>
  <c r="AS146" i="44" s="1"/>
  <c r="AS199" i="44"/>
  <c r="AS168" i="44"/>
  <c r="AS176" i="44" s="1"/>
  <c r="AS178" i="44" s="1"/>
  <c r="AS88" i="44"/>
  <c r="AS94" i="44" s="1"/>
  <c r="AS96" i="44" s="1"/>
  <c r="AE88" i="44"/>
  <c r="AE136" i="44"/>
  <c r="AE199" i="44"/>
  <c r="AE168" i="44"/>
  <c r="BA168" i="44"/>
  <c r="BA176" i="44" s="1"/>
  <c r="BA178" i="44" s="1"/>
  <c r="BA136" i="44"/>
  <c r="BA144" i="44" s="1"/>
  <c r="BA146" i="44" s="1"/>
  <c r="BA199" i="44"/>
  <c r="BA88" i="44"/>
  <c r="BA94" i="44" s="1"/>
  <c r="BA96" i="44" s="1"/>
  <c r="AR199" i="44"/>
  <c r="AR168" i="44"/>
  <c r="AR176" i="44" s="1"/>
  <c r="AR178" i="44" s="1"/>
  <c r="AR136" i="44"/>
  <c r="AR144" i="44" s="1"/>
  <c r="AR146" i="44" s="1"/>
  <c r="AR88" i="44"/>
  <c r="AR94" i="44" s="1"/>
  <c r="AR96" i="44" s="1"/>
  <c r="AL136" i="44"/>
  <c r="AL144" i="44" s="1"/>
  <c r="AL146" i="44" s="1"/>
  <c r="AL88" i="44"/>
  <c r="AL94" i="44" s="1"/>
  <c r="AL96" i="44" s="1"/>
  <c r="AL199" i="44"/>
  <c r="AL168" i="44"/>
  <c r="AL176" i="44" s="1"/>
  <c r="AL178" i="44" s="1"/>
  <c r="AO88" i="44"/>
  <c r="AO94" i="44" s="1"/>
  <c r="AO96" i="44" s="1"/>
  <c r="AO199" i="44"/>
  <c r="AO168" i="44"/>
  <c r="AO176" i="44" s="1"/>
  <c r="AO178" i="44" s="1"/>
  <c r="AO136" i="44"/>
  <c r="AO144" i="44" s="1"/>
  <c r="AO146" i="44" s="1"/>
  <c r="BC81" i="44"/>
  <c r="BC77" i="44"/>
  <c r="BC21" i="44"/>
  <c r="BU79" i="44"/>
  <c r="BU108" i="44" s="1"/>
  <c r="BU78" i="44"/>
  <c r="BT199" i="44"/>
  <c r="BT168" i="44"/>
  <c r="BT176" i="44" s="1"/>
  <c r="BT178" i="44" s="1"/>
  <c r="BT136" i="44"/>
  <c r="BT144" i="44" s="1"/>
  <c r="BT146" i="44" s="1"/>
  <c r="BT88" i="44"/>
  <c r="BV81" i="44"/>
  <c r="BV77" i="44"/>
  <c r="BS94" i="44"/>
  <c r="BS96" i="44" s="1"/>
  <c r="BX8" i="44"/>
  <c r="BW7" i="44"/>
  <c r="BW20" i="44" s="1"/>
  <c r="BV13" i="44"/>
  <c r="BT114" i="44"/>
  <c r="BT116" i="44" s="1"/>
  <c r="N88" i="32"/>
  <c r="N92" i="32" s="1"/>
  <c r="N178" i="32" s="1"/>
  <c r="N181" i="32" s="1"/>
  <c r="N182" i="32" s="1"/>
  <c r="N81" i="32"/>
  <c r="N96" i="32"/>
  <c r="N99" i="32" s="1"/>
  <c r="N102" i="32"/>
  <c r="N103" i="32" s="1"/>
  <c r="M105" i="32"/>
  <c r="M106" i="32" s="1"/>
  <c r="M103" i="32"/>
  <c r="O76" i="32"/>
  <c r="O78" i="32" s="1"/>
  <c r="O80" i="32" s="1"/>
  <c r="O88" i="32" s="1"/>
  <c r="M66" i="23"/>
  <c r="Y68" i="23"/>
  <c r="L68" i="23"/>
  <c r="E122" i="30"/>
  <c r="D7" i="33"/>
  <c r="K179" i="28"/>
  <c r="K182" i="28" s="1"/>
  <c r="K183" i="28" s="1"/>
  <c r="Z66" i="23"/>
  <c r="O76" i="30"/>
  <c r="O78" i="30" s="1"/>
  <c r="O80" i="30" s="1"/>
  <c r="L105" i="30"/>
  <c r="L106" i="30" s="1"/>
  <c r="L104" i="30"/>
  <c r="N78" i="30"/>
  <c r="N80" i="30" s="1"/>
  <c r="L103" i="30"/>
  <c r="J131" i="30"/>
  <c r="E135" i="30"/>
  <c r="M88" i="30"/>
  <c r="M96" i="30"/>
  <c r="M99" i="30" s="1"/>
  <c r="M81" i="30"/>
  <c r="M102" i="30"/>
  <c r="M101" i="30"/>
  <c r="L142" i="30"/>
  <c r="L167" i="30"/>
  <c r="L169" i="30" s="1"/>
  <c r="L170" i="30" s="1"/>
  <c r="L97" i="30"/>
  <c r="L98" i="30"/>
  <c r="L92" i="30"/>
  <c r="L141" i="30"/>
  <c r="K153" i="30"/>
  <c r="K156" i="30" s="1"/>
  <c r="K157" i="30" s="1"/>
  <c r="K178" i="30"/>
  <c r="K181" i="30" s="1"/>
  <c r="K182" i="30" s="1"/>
  <c r="L152" i="30"/>
  <c r="M82" i="28"/>
  <c r="E149" i="28"/>
  <c r="J132" i="28"/>
  <c r="E136" i="28"/>
  <c r="L145" i="28"/>
  <c r="L99" i="28"/>
  <c r="M102" i="28"/>
  <c r="M89" i="28"/>
  <c r="M168" i="28" s="1"/>
  <c r="M170" i="28" s="1"/>
  <c r="M171" i="28" s="1"/>
  <c r="L93" i="28"/>
  <c r="L179" i="28" s="1"/>
  <c r="L182" i="28" s="1"/>
  <c r="L183" i="28" s="1"/>
  <c r="M103" i="28"/>
  <c r="M104" i="28" s="1"/>
  <c r="L98" i="28"/>
  <c r="L168" i="28"/>
  <c r="L170" i="28" s="1"/>
  <c r="L171" i="28" s="1"/>
  <c r="L104" i="28"/>
  <c r="L106" i="28"/>
  <c r="L107" i="28" s="1"/>
  <c r="N81" i="28"/>
  <c r="N103" i="28" s="1"/>
  <c r="O79" i="28"/>
  <c r="U14" i="1"/>
  <c r="E160" i="32" l="1"/>
  <c r="BE81" i="44"/>
  <c r="BJ21" i="44"/>
  <c r="BH81" i="44"/>
  <c r="BN81" i="44"/>
  <c r="BD21" i="44"/>
  <c r="BD81" i="44"/>
  <c r="BG77" i="44"/>
  <c r="BG79" i="44" s="1"/>
  <c r="BG108" i="44" s="1"/>
  <c r="BG114" i="44" s="1"/>
  <c r="BG116" i="44" s="1"/>
  <c r="BG21" i="44"/>
  <c r="BE21" i="44"/>
  <c r="BT21" i="44"/>
  <c r="BK21" i="44"/>
  <c r="BK77" i="44"/>
  <c r="BK79" i="44" s="1"/>
  <c r="BK108" i="44" s="1"/>
  <c r="BK114" i="44" s="1"/>
  <c r="BK116" i="44" s="1"/>
  <c r="BL21" i="44"/>
  <c r="BP21" i="44"/>
  <c r="BK81" i="44"/>
  <c r="BF21" i="44"/>
  <c r="BN21" i="44"/>
  <c r="BR21" i="44"/>
  <c r="BF77" i="44"/>
  <c r="BF78" i="44" s="1"/>
  <c r="BI21" i="44"/>
  <c r="BF81" i="44"/>
  <c r="BH21" i="44"/>
  <c r="BS21" i="44"/>
  <c r="BO21" i="44"/>
  <c r="BJ77" i="44"/>
  <c r="BJ78" i="44" s="1"/>
  <c r="BM21" i="44"/>
  <c r="BV21" i="44"/>
  <c r="BQ21" i="44"/>
  <c r="BL81" i="44"/>
  <c r="BU21" i="44"/>
  <c r="E147" i="46"/>
  <c r="E6" i="33"/>
  <c r="AB13" i="1"/>
  <c r="J132" i="30"/>
  <c r="AB14" i="1"/>
  <c r="D5" i="33"/>
  <c r="AA12" i="1"/>
  <c r="N97" i="46"/>
  <c r="N167" i="46"/>
  <c r="N169" i="46" s="1"/>
  <c r="N170" i="46" s="1"/>
  <c r="N98" i="46"/>
  <c r="N92" i="46"/>
  <c r="N178" i="46" s="1"/>
  <c r="N181" i="46" s="1"/>
  <c r="N182" i="46" s="1"/>
  <c r="L156" i="46"/>
  <c r="E160" i="46"/>
  <c r="O96" i="46"/>
  <c r="O99" i="46" s="1"/>
  <c r="O81" i="46"/>
  <c r="O101" i="46"/>
  <c r="O102" i="46"/>
  <c r="O176" i="46"/>
  <c r="O165" i="46"/>
  <c r="O88" i="46"/>
  <c r="N103" i="46"/>
  <c r="N104" i="46"/>
  <c r="N105" i="46"/>
  <c r="N106" i="46" s="1"/>
  <c r="BW13" i="44"/>
  <c r="AZ136" i="44"/>
  <c r="AZ144" i="44" s="1"/>
  <c r="AZ146" i="44" s="1"/>
  <c r="AZ199" i="44"/>
  <c r="AZ88" i="44"/>
  <c r="AZ94" i="44" s="1"/>
  <c r="AZ96" i="44" s="1"/>
  <c r="AX168" i="44"/>
  <c r="AX176" i="44" s="1"/>
  <c r="AX178" i="44" s="1"/>
  <c r="BX11" i="44"/>
  <c r="BX12" i="44"/>
  <c r="AT168" i="44"/>
  <c r="AT176" i="44" s="1"/>
  <c r="AT178" i="44" s="1"/>
  <c r="AT88" i="44"/>
  <c r="AT94" i="44" s="1"/>
  <c r="AT96" i="44" s="1"/>
  <c r="AT136" i="44"/>
  <c r="AT144" i="44" s="1"/>
  <c r="AT146" i="44" s="1"/>
  <c r="AX136" i="44"/>
  <c r="AX144" i="44" s="1"/>
  <c r="AX146" i="44" s="1"/>
  <c r="AX199" i="44"/>
  <c r="E159" i="32"/>
  <c r="L157" i="32"/>
  <c r="E147" i="32"/>
  <c r="L145" i="32"/>
  <c r="E148" i="28"/>
  <c r="L146" i="28"/>
  <c r="G110" i="44"/>
  <c r="F101" i="44"/>
  <c r="F103" i="44" s="1"/>
  <c r="F126" i="44" s="1"/>
  <c r="F45" i="44" s="1"/>
  <c r="N97" i="32"/>
  <c r="G89" i="44"/>
  <c r="G90" i="44" s="1"/>
  <c r="G97" i="44" s="1"/>
  <c r="G98" i="44" s="1"/>
  <c r="H95" i="44" s="1"/>
  <c r="F157" i="44"/>
  <c r="F171" i="44"/>
  <c r="F148" i="44"/>
  <c r="F149" i="44" s="1"/>
  <c r="G145" i="44" s="1"/>
  <c r="E135" i="28"/>
  <c r="J133" i="28"/>
  <c r="AF94" i="44"/>
  <c r="AF96" i="44" s="1"/>
  <c r="BM79" i="44"/>
  <c r="BM108" i="44" s="1"/>
  <c r="BM114" i="44" s="1"/>
  <c r="BM116" i="44" s="1"/>
  <c r="BM78" i="44"/>
  <c r="AG94" i="44"/>
  <c r="AG96" i="44" s="1"/>
  <c r="BH79" i="44"/>
  <c r="BH108" i="44" s="1"/>
  <c r="BH114" i="44" s="1"/>
  <c r="BH116" i="44" s="1"/>
  <c r="BH78" i="44"/>
  <c r="AE176" i="44"/>
  <c r="BE79" i="44"/>
  <c r="BE108" i="44" s="1"/>
  <c r="BE114" i="44" s="1"/>
  <c r="BE116" i="44" s="1"/>
  <c r="BE78" i="44"/>
  <c r="AH94" i="44"/>
  <c r="AH96" i="44" s="1"/>
  <c r="BL79" i="44"/>
  <c r="BL108" i="44" s="1"/>
  <c r="BL114" i="44" s="1"/>
  <c r="BL116" i="44" s="1"/>
  <c r="BL78" i="44"/>
  <c r="AI94" i="44"/>
  <c r="AI96" i="44" s="1"/>
  <c r="BD79" i="44"/>
  <c r="BD108" i="44" s="1"/>
  <c r="BD114" i="44" s="1"/>
  <c r="BD116" i="44" s="1"/>
  <c r="BD78" i="44"/>
  <c r="AE144" i="44"/>
  <c r="BI78" i="44"/>
  <c r="BI79" i="44"/>
  <c r="BI108" i="44" s="1"/>
  <c r="BI114" i="44" s="1"/>
  <c r="BI116" i="44" s="1"/>
  <c r="N167" i="32"/>
  <c r="N169" i="32" s="1"/>
  <c r="N170" i="32" s="1"/>
  <c r="AE94" i="44"/>
  <c r="BN78" i="44"/>
  <c r="BN79" i="44"/>
  <c r="BN108" i="44" s="1"/>
  <c r="BN114" i="44" s="1"/>
  <c r="BN116" i="44" s="1"/>
  <c r="BC79" i="44"/>
  <c r="BC108" i="44" s="1"/>
  <c r="BC114" i="44" s="1"/>
  <c r="BC78" i="44"/>
  <c r="N98" i="32"/>
  <c r="N105" i="32"/>
  <c r="N106" i="32" s="1"/>
  <c r="N104" i="32"/>
  <c r="BY8" i="44"/>
  <c r="BX7" i="44"/>
  <c r="BX20" i="44" s="1"/>
  <c r="BV79" i="44"/>
  <c r="BV108" i="44" s="1"/>
  <c r="BV78" i="44"/>
  <c r="BU199" i="44"/>
  <c r="BU168" i="44"/>
  <c r="BU176" i="44" s="1"/>
  <c r="BU178" i="44" s="1"/>
  <c r="BU136" i="44"/>
  <c r="BU144" i="44" s="1"/>
  <c r="BU146" i="44" s="1"/>
  <c r="BU88" i="44"/>
  <c r="BU114" i="44"/>
  <c r="BU116" i="44" s="1"/>
  <c r="BW81" i="44"/>
  <c r="BW77" i="44"/>
  <c r="BW21" i="44"/>
  <c r="BT94" i="44"/>
  <c r="BT96" i="44" s="1"/>
  <c r="O96" i="32"/>
  <c r="O99" i="32" s="1"/>
  <c r="O101" i="32"/>
  <c r="O176" i="32"/>
  <c r="O102" i="32"/>
  <c r="O104" i="32" s="1"/>
  <c r="O165" i="32"/>
  <c r="O166" i="32" s="1"/>
  <c r="O81" i="32"/>
  <c r="Z68" i="23"/>
  <c r="M68" i="23"/>
  <c r="O98" i="32"/>
  <c r="O97" i="32"/>
  <c r="O92" i="32"/>
  <c r="O178" i="32" s="1"/>
  <c r="O167" i="32"/>
  <c r="E134" i="30"/>
  <c r="E7" i="33"/>
  <c r="N82" i="28"/>
  <c r="N102" i="28"/>
  <c r="N97" i="28"/>
  <c r="N100" i="28" s="1"/>
  <c r="M105" i="30"/>
  <c r="M106" i="30" s="1"/>
  <c r="M104" i="30"/>
  <c r="L144" i="30"/>
  <c r="N89" i="28"/>
  <c r="N93" i="28" s="1"/>
  <c r="N179" i="28" s="1"/>
  <c r="N182" i="28" s="1"/>
  <c r="N183" i="28" s="1"/>
  <c r="E148" i="30"/>
  <c r="N101" i="30"/>
  <c r="N102" i="30"/>
  <c r="N88" i="30"/>
  <c r="N96" i="30"/>
  <c r="N99" i="30" s="1"/>
  <c r="N81" i="30"/>
  <c r="O101" i="30"/>
  <c r="O81" i="30"/>
  <c r="O176" i="30"/>
  <c r="O96" i="30"/>
  <c r="O99" i="30" s="1"/>
  <c r="O102" i="30"/>
  <c r="O165" i="30"/>
  <c r="O88" i="30"/>
  <c r="L178" i="30"/>
  <c r="L181" i="30" s="1"/>
  <c r="L182" i="30" s="1"/>
  <c r="L153" i="30"/>
  <c r="L156" i="30" s="1"/>
  <c r="M103" i="30"/>
  <c r="M98" i="30"/>
  <c r="M92" i="30"/>
  <c r="M178" i="30" s="1"/>
  <c r="M181" i="30" s="1"/>
  <c r="M182" i="30" s="1"/>
  <c r="M167" i="30"/>
  <c r="M169" i="30" s="1"/>
  <c r="M170" i="30" s="1"/>
  <c r="M97" i="30"/>
  <c r="M105" i="28"/>
  <c r="M93" i="28"/>
  <c r="M179" i="28" s="1"/>
  <c r="M182" i="28" s="1"/>
  <c r="M183" i="28" s="1"/>
  <c r="M98" i="28"/>
  <c r="M106" i="28"/>
  <c r="M107" i="28" s="1"/>
  <c r="L154" i="28"/>
  <c r="L157" i="28" s="1"/>
  <c r="M99" i="28"/>
  <c r="O81" i="28"/>
  <c r="N104" i="28"/>
  <c r="N106" i="28"/>
  <c r="N107" i="28" s="1"/>
  <c r="N105" i="28"/>
  <c r="BG78" i="44" l="1"/>
  <c r="BG88" i="44" s="1"/>
  <c r="BG94" i="44" s="1"/>
  <c r="BG96" i="44" s="1"/>
  <c r="BK78" i="44"/>
  <c r="BK199" i="44" s="1"/>
  <c r="BJ79" i="44"/>
  <c r="BJ108" i="44" s="1"/>
  <c r="BJ114" i="44" s="1"/>
  <c r="BJ116" i="44" s="1"/>
  <c r="BF79" i="44"/>
  <c r="BF108" i="44" s="1"/>
  <c r="BF114" i="44" s="1"/>
  <c r="BF116" i="44" s="1"/>
  <c r="E5" i="33"/>
  <c r="AB12" i="1"/>
  <c r="O103" i="46"/>
  <c r="O105" i="46"/>
  <c r="O106" i="46" s="1"/>
  <c r="O104" i="46"/>
  <c r="O92" i="46"/>
  <c r="O178" i="46" s="1"/>
  <c r="O98" i="46"/>
  <c r="O167" i="46"/>
  <c r="O97" i="46"/>
  <c r="E159" i="46"/>
  <c r="L157" i="46"/>
  <c r="O177" i="46"/>
  <c r="O166" i="46"/>
  <c r="BY12" i="44"/>
  <c r="BY11" i="44"/>
  <c r="G101" i="44"/>
  <c r="G103" i="44" s="1"/>
  <c r="G126" i="44" s="1"/>
  <c r="E147" i="30"/>
  <c r="L145" i="30"/>
  <c r="E159" i="30"/>
  <c r="L157" i="30"/>
  <c r="E160" i="28"/>
  <c r="L158" i="28"/>
  <c r="G91" i="44"/>
  <c r="H87" i="44" s="1"/>
  <c r="G117" i="44"/>
  <c r="G118" i="44" s="1"/>
  <c r="H115" i="44" s="1"/>
  <c r="G111" i="44"/>
  <c r="H107" i="44" s="1"/>
  <c r="F180" i="44"/>
  <c r="F173" i="44"/>
  <c r="G167" i="44" s="1"/>
  <c r="G169" i="44" s="1"/>
  <c r="F158" i="44"/>
  <c r="F61" i="44" s="1"/>
  <c r="F159" i="44"/>
  <c r="F62" i="44" s="1"/>
  <c r="D38" i="45" s="1"/>
  <c r="F46" i="44"/>
  <c r="D22" i="45" s="1"/>
  <c r="D21" i="45"/>
  <c r="BC88" i="44"/>
  <c r="BC94" i="44" s="1"/>
  <c r="BC96" i="44" s="1"/>
  <c r="BC199" i="44"/>
  <c r="BC136" i="44"/>
  <c r="BC168" i="44"/>
  <c r="AE96" i="44"/>
  <c r="BD199" i="44"/>
  <c r="BD136" i="44"/>
  <c r="BD144" i="44" s="1"/>
  <c r="BD146" i="44" s="1"/>
  <c r="BD168" i="44"/>
  <c r="BD176" i="44" s="1"/>
  <c r="BD178" i="44" s="1"/>
  <c r="BD88" i="44"/>
  <c r="BD94" i="44" s="1"/>
  <c r="BD96" i="44" s="1"/>
  <c r="BJ199" i="44"/>
  <c r="BJ168" i="44"/>
  <c r="BJ176" i="44" s="1"/>
  <c r="BJ178" i="44" s="1"/>
  <c r="BJ136" i="44"/>
  <c r="BJ144" i="44" s="1"/>
  <c r="BJ146" i="44" s="1"/>
  <c r="BJ88" i="44"/>
  <c r="BJ94" i="44" s="1"/>
  <c r="BJ96" i="44" s="1"/>
  <c r="BC116" i="44"/>
  <c r="BE88" i="44"/>
  <c r="BE94" i="44" s="1"/>
  <c r="BE96" i="44" s="1"/>
  <c r="BE168" i="44"/>
  <c r="BE176" i="44" s="1"/>
  <c r="BE178" i="44" s="1"/>
  <c r="BE199" i="44"/>
  <c r="BE136" i="44"/>
  <c r="BE144" i="44" s="1"/>
  <c r="BE146" i="44" s="1"/>
  <c r="BL199" i="44"/>
  <c r="BL168" i="44"/>
  <c r="BL176" i="44" s="1"/>
  <c r="BL178" i="44" s="1"/>
  <c r="BL136" i="44"/>
  <c r="BL144" i="44" s="1"/>
  <c r="BL146" i="44" s="1"/>
  <c r="BL88" i="44"/>
  <c r="BL94" i="44" s="1"/>
  <c r="BL96" i="44" s="1"/>
  <c r="AE178" i="44"/>
  <c r="E178" i="44" s="1"/>
  <c r="E176" i="44"/>
  <c r="BI168" i="44"/>
  <c r="BI176" i="44" s="1"/>
  <c r="BI178" i="44" s="1"/>
  <c r="BI199" i="44"/>
  <c r="BI136" i="44"/>
  <c r="BI144" i="44" s="1"/>
  <c r="BI146" i="44" s="1"/>
  <c r="BI88" i="44"/>
  <c r="BI94" i="44" s="1"/>
  <c r="BI96" i="44" s="1"/>
  <c r="BH199" i="44"/>
  <c r="BH136" i="44"/>
  <c r="BH144" i="44" s="1"/>
  <c r="BH146" i="44" s="1"/>
  <c r="BH88" i="44"/>
  <c r="BH94" i="44" s="1"/>
  <c r="BH96" i="44" s="1"/>
  <c r="BH168" i="44"/>
  <c r="BH176" i="44" s="1"/>
  <c r="BH178" i="44" s="1"/>
  <c r="BN199" i="44"/>
  <c r="BN136" i="44"/>
  <c r="BN144" i="44" s="1"/>
  <c r="BN146" i="44" s="1"/>
  <c r="BN168" i="44"/>
  <c r="BN176" i="44" s="1"/>
  <c r="BN178" i="44" s="1"/>
  <c r="BN88" i="44"/>
  <c r="BN94" i="44" s="1"/>
  <c r="BN96" i="44" s="1"/>
  <c r="BM136" i="44"/>
  <c r="BM144" i="44" s="1"/>
  <c r="BM146" i="44" s="1"/>
  <c r="BM88" i="44"/>
  <c r="BM94" i="44" s="1"/>
  <c r="BM96" i="44" s="1"/>
  <c r="BM168" i="44"/>
  <c r="BM176" i="44" s="1"/>
  <c r="BM178" i="44" s="1"/>
  <c r="BM199" i="44"/>
  <c r="BF168" i="44"/>
  <c r="BF176" i="44" s="1"/>
  <c r="BF178" i="44" s="1"/>
  <c r="BF199" i="44"/>
  <c r="BF88" i="44"/>
  <c r="BF94" i="44" s="1"/>
  <c r="BF96" i="44" s="1"/>
  <c r="BF136" i="44"/>
  <c r="BF144" i="44" s="1"/>
  <c r="BF146" i="44" s="1"/>
  <c r="AE146" i="44"/>
  <c r="O103" i="32"/>
  <c r="O105" i="32"/>
  <c r="O106" i="32" s="1"/>
  <c r="BU94" i="44"/>
  <c r="BU96" i="44" s="1"/>
  <c r="BX81" i="44"/>
  <c r="BX77" i="44"/>
  <c r="BX21" i="44"/>
  <c r="BX13" i="44"/>
  <c r="BV199" i="44"/>
  <c r="BV168" i="44"/>
  <c r="BV176" i="44" s="1"/>
  <c r="BV178" i="44" s="1"/>
  <c r="BV136" i="44"/>
  <c r="BV144" i="44" s="1"/>
  <c r="BV146" i="44" s="1"/>
  <c r="BV88" i="44"/>
  <c r="BZ8" i="44"/>
  <c r="BY7" i="44"/>
  <c r="BY20" i="44" s="1"/>
  <c r="BV114" i="44"/>
  <c r="BV116" i="44" s="1"/>
  <c r="BW79" i="44"/>
  <c r="BW108" i="44" s="1"/>
  <c r="BW78" i="44"/>
  <c r="O169" i="32"/>
  <c r="O177" i="32"/>
  <c r="E185" i="32" s="1"/>
  <c r="E173" i="32"/>
  <c r="N98" i="28"/>
  <c r="N168" i="28"/>
  <c r="N170" i="28" s="1"/>
  <c r="N171" i="28" s="1"/>
  <c r="N99" i="28"/>
  <c r="N105" i="30"/>
  <c r="N106" i="30" s="1"/>
  <c r="N104" i="30"/>
  <c r="O105" i="30"/>
  <c r="O106" i="30" s="1"/>
  <c r="O104" i="30"/>
  <c r="N167" i="30"/>
  <c r="N169" i="30" s="1"/>
  <c r="N170" i="30" s="1"/>
  <c r="N97" i="30"/>
  <c r="N98" i="30"/>
  <c r="N92" i="30"/>
  <c r="N178" i="30" s="1"/>
  <c r="N181" i="30" s="1"/>
  <c r="N182" i="30" s="1"/>
  <c r="N103" i="30"/>
  <c r="O167" i="30"/>
  <c r="O97" i="30"/>
  <c r="O98" i="30"/>
  <c r="O92" i="30"/>
  <c r="O178" i="30" s="1"/>
  <c r="O166" i="30"/>
  <c r="O177" i="30"/>
  <c r="O103" i="30"/>
  <c r="E160" i="30"/>
  <c r="E161" i="28"/>
  <c r="O103" i="28"/>
  <c r="O177" i="28"/>
  <c r="O166" i="28"/>
  <c r="O82" i="28"/>
  <c r="O89" i="28"/>
  <c r="O97" i="28"/>
  <c r="O100" i="28" s="1"/>
  <c r="O102" i="28"/>
  <c r="BK88" i="44" l="1"/>
  <c r="BK94" i="44" s="1"/>
  <c r="BK96" i="44" s="1"/>
  <c r="E96" i="44" s="1"/>
  <c r="BG136" i="44"/>
  <c r="BG144" i="44" s="1"/>
  <c r="BG146" i="44" s="1"/>
  <c r="BG199" i="44"/>
  <c r="BG168" i="44"/>
  <c r="BG176" i="44" s="1"/>
  <c r="BG178" i="44" s="1"/>
  <c r="BK168" i="44"/>
  <c r="BK176" i="44" s="1"/>
  <c r="BK178" i="44" s="1"/>
  <c r="BK136" i="44"/>
  <c r="BK144" i="44" s="1"/>
  <c r="BK146" i="44" s="1"/>
  <c r="E116" i="44"/>
  <c r="E114" i="44"/>
  <c r="E185" i="46"/>
  <c r="E173" i="46"/>
  <c r="O169" i="46"/>
  <c r="O181" i="46"/>
  <c r="BZ12" i="44"/>
  <c r="BZ11" i="44"/>
  <c r="G138" i="44"/>
  <c r="G170" i="44" s="1"/>
  <c r="E172" i="32"/>
  <c r="O170" i="32"/>
  <c r="H109" i="44"/>
  <c r="H110" i="44" s="1"/>
  <c r="H117" i="44" s="1"/>
  <c r="H118" i="44" s="1"/>
  <c r="I115" i="44" s="1"/>
  <c r="H89" i="44"/>
  <c r="H90" i="44" s="1"/>
  <c r="H97" i="44" s="1"/>
  <c r="H98" i="44" s="1"/>
  <c r="I95" i="44" s="1"/>
  <c r="D37" i="45"/>
  <c r="D45" i="45" s="1"/>
  <c r="F69" i="44"/>
  <c r="F185" i="44"/>
  <c r="F187" i="44" s="1"/>
  <c r="F181" i="44"/>
  <c r="F182" i="44" s="1"/>
  <c r="G177" i="44" s="1"/>
  <c r="G45" i="44"/>
  <c r="G128" i="44"/>
  <c r="G130" i="44" s="1"/>
  <c r="O181" i="32"/>
  <c r="E94" i="44"/>
  <c r="BC176" i="44"/>
  <c r="BC178" i="44" s="1"/>
  <c r="E168" i="44"/>
  <c r="BC144" i="44"/>
  <c r="E136" i="44"/>
  <c r="E199" i="44"/>
  <c r="BY77" i="44"/>
  <c r="BY81" i="44"/>
  <c r="BY21" i="44"/>
  <c r="CA8" i="44"/>
  <c r="BZ7" i="44"/>
  <c r="BZ20" i="44" s="1"/>
  <c r="BX79" i="44"/>
  <c r="BX108" i="44" s="1"/>
  <c r="BX78" i="44"/>
  <c r="BY13" i="44"/>
  <c r="BV94" i="44"/>
  <c r="BV96" i="44" s="1"/>
  <c r="BW199" i="44"/>
  <c r="BW168" i="44"/>
  <c r="BW176" i="44" s="1"/>
  <c r="BW178" i="44" s="1"/>
  <c r="BW136" i="44"/>
  <c r="BW144" i="44" s="1"/>
  <c r="BW146" i="44" s="1"/>
  <c r="BW88" i="44"/>
  <c r="BW114" i="44"/>
  <c r="BW116" i="44" s="1"/>
  <c r="O181" i="30"/>
  <c r="E173" i="30"/>
  <c r="O169" i="30"/>
  <c r="E185" i="30"/>
  <c r="O93" i="28"/>
  <c r="O179" i="28" s="1"/>
  <c r="O168" i="28"/>
  <c r="O99" i="28"/>
  <c r="O98" i="28"/>
  <c r="O167" i="28"/>
  <c r="O178" i="28"/>
  <c r="O105" i="28"/>
  <c r="O106" i="28"/>
  <c r="O107" i="28" s="1"/>
  <c r="O104" i="28"/>
  <c r="E184" i="46" l="1"/>
  <c r="O182" i="46"/>
  <c r="E172" i="46"/>
  <c r="O170" i="46"/>
  <c r="G139" i="44"/>
  <c r="G140" i="44" s="1"/>
  <c r="H135" i="44" s="1"/>
  <c r="H137" i="44" s="1"/>
  <c r="CA11" i="44"/>
  <c r="CA12" i="44"/>
  <c r="G147" i="44"/>
  <c r="G152" i="44" s="1"/>
  <c r="G154" i="44" s="1"/>
  <c r="G171" i="44" s="1"/>
  <c r="G180" i="44" s="1"/>
  <c r="E184" i="32"/>
  <c r="O182" i="32"/>
  <c r="E172" i="30"/>
  <c r="O170" i="30"/>
  <c r="E184" i="30"/>
  <c r="O182" i="30"/>
  <c r="H101" i="44"/>
  <c r="H103" i="44" s="1"/>
  <c r="H126" i="44" s="1"/>
  <c r="H91" i="44"/>
  <c r="I87" i="44" s="1"/>
  <c r="H121" i="44"/>
  <c r="H123" i="44" s="1"/>
  <c r="H127" i="44" s="1"/>
  <c r="H60" i="44" s="1"/>
  <c r="H111" i="44"/>
  <c r="I107" i="44" s="1"/>
  <c r="G201" i="44"/>
  <c r="G179" i="44"/>
  <c r="F190" i="44"/>
  <c r="F47" i="44" s="1"/>
  <c r="F203" i="44"/>
  <c r="F205" i="44" s="1"/>
  <c r="G198" i="44" s="1"/>
  <c r="G200" i="44" s="1"/>
  <c r="BC146" i="44"/>
  <c r="E146" i="44" s="1"/>
  <c r="E144" i="44"/>
  <c r="BZ13" i="44"/>
  <c r="BZ81" i="44"/>
  <c r="BZ77" i="44"/>
  <c r="BZ21" i="44"/>
  <c r="CB8" i="44"/>
  <c r="CA7" i="44"/>
  <c r="CA20" i="44" s="1"/>
  <c r="BW94" i="44"/>
  <c r="BW96" i="44" s="1"/>
  <c r="BX199" i="44"/>
  <c r="BX168" i="44"/>
  <c r="BX176" i="44" s="1"/>
  <c r="BX178" i="44" s="1"/>
  <c r="BX136" i="44"/>
  <c r="BX144" i="44" s="1"/>
  <c r="BX146" i="44" s="1"/>
  <c r="BX88" i="44"/>
  <c r="BX114" i="44"/>
  <c r="BX116" i="44" s="1"/>
  <c r="BY78" i="44"/>
  <c r="BY79" i="44"/>
  <c r="BY108" i="44" s="1"/>
  <c r="O170" i="28"/>
  <c r="E174" i="28"/>
  <c r="O182" i="28"/>
  <c r="E186" i="28"/>
  <c r="CA13" i="44" l="1"/>
  <c r="CB11" i="44"/>
  <c r="CB12" i="44"/>
  <c r="G202" i="44"/>
  <c r="G157" i="44"/>
  <c r="E173" i="28"/>
  <c r="O171" i="28"/>
  <c r="E185" i="28"/>
  <c r="O183" i="28"/>
  <c r="H138" i="44"/>
  <c r="H147" i="44" s="1"/>
  <c r="I109" i="44"/>
  <c r="I110" i="44" s="1"/>
  <c r="I117" i="44" s="1"/>
  <c r="I118" i="44" s="1"/>
  <c r="J115" i="44" s="1"/>
  <c r="H128" i="44"/>
  <c r="H130" i="44" s="1"/>
  <c r="H45" i="44"/>
  <c r="I89" i="44"/>
  <c r="I90" i="44" s="1"/>
  <c r="I97" i="44" s="1"/>
  <c r="I98" i="44" s="1"/>
  <c r="J95" i="44" s="1"/>
  <c r="D23" i="45"/>
  <c r="D26" i="45" s="1"/>
  <c r="F50" i="44"/>
  <c r="G185" i="44"/>
  <c r="BX94" i="44"/>
  <c r="BX96" i="44" s="1"/>
  <c r="BY114" i="44"/>
  <c r="BY116" i="44" s="1"/>
  <c r="BZ78" i="44"/>
  <c r="BZ79" i="44"/>
  <c r="BZ108" i="44" s="1"/>
  <c r="BY199" i="44"/>
  <c r="BY168" i="44"/>
  <c r="BY176" i="44" s="1"/>
  <c r="BY178" i="44" s="1"/>
  <c r="BY136" i="44"/>
  <c r="BY144" i="44" s="1"/>
  <c r="BY146" i="44" s="1"/>
  <c r="BY88" i="44"/>
  <c r="CA81" i="44"/>
  <c r="CA77" i="44"/>
  <c r="CA21" i="44"/>
  <c r="CC8" i="44"/>
  <c r="CB7" i="44"/>
  <c r="CB20" i="44" s="1"/>
  <c r="CB13" i="44" l="1"/>
  <c r="CC11" i="44"/>
  <c r="CC12" i="44"/>
  <c r="H170" i="44"/>
  <c r="H179" i="44" s="1"/>
  <c r="H139" i="44"/>
  <c r="H140" i="44" s="1"/>
  <c r="I135" i="44" s="1"/>
  <c r="I137" i="44" s="1"/>
  <c r="G158" i="44"/>
  <c r="G159" i="44"/>
  <c r="G62" i="44" s="1"/>
  <c r="G46" i="44"/>
  <c r="I101" i="44"/>
  <c r="I103" i="44" s="1"/>
  <c r="I111" i="44"/>
  <c r="J107" i="44" s="1"/>
  <c r="I91" i="44"/>
  <c r="J87" i="44" s="1"/>
  <c r="I121" i="44"/>
  <c r="I123" i="44" s="1"/>
  <c r="I127" i="44" s="1"/>
  <c r="I60" i="44" s="1"/>
  <c r="BY94" i="44"/>
  <c r="BY96" i="44" s="1"/>
  <c r="BZ199" i="44"/>
  <c r="BZ168" i="44"/>
  <c r="BZ176" i="44" s="1"/>
  <c r="BZ178" i="44" s="1"/>
  <c r="BZ136" i="44"/>
  <c r="BZ144" i="44" s="1"/>
  <c r="BZ146" i="44" s="1"/>
  <c r="BZ88" i="44"/>
  <c r="CB81" i="44"/>
  <c r="CB77" i="44"/>
  <c r="CB21" i="44"/>
  <c r="BZ114" i="44"/>
  <c r="BZ116" i="44" s="1"/>
  <c r="CD8" i="44"/>
  <c r="CC7" i="44"/>
  <c r="CC20" i="44" s="1"/>
  <c r="CA78" i="44"/>
  <c r="CA79" i="44"/>
  <c r="CA108" i="44" s="1"/>
  <c r="CD11" i="44" l="1"/>
  <c r="CD12" i="44"/>
  <c r="H201" i="44"/>
  <c r="G61" i="44"/>
  <c r="G160" i="44"/>
  <c r="J89" i="44"/>
  <c r="J90" i="44" s="1"/>
  <c r="J109" i="44"/>
  <c r="J110" i="44" s="1"/>
  <c r="J117" i="44" s="1"/>
  <c r="J118" i="44" s="1"/>
  <c r="K115" i="44" s="1"/>
  <c r="I138" i="44"/>
  <c r="I126" i="44"/>
  <c r="BZ94" i="44"/>
  <c r="BZ96" i="44" s="1"/>
  <c r="CA114" i="44"/>
  <c r="CA116" i="44" s="1"/>
  <c r="CD7" i="44"/>
  <c r="CD20" i="44" s="1"/>
  <c r="CE8" i="44"/>
  <c r="CC81" i="44"/>
  <c r="CC77" i="44"/>
  <c r="CC21" i="44"/>
  <c r="CC13" i="44"/>
  <c r="CB79" i="44"/>
  <c r="CB108" i="44" s="1"/>
  <c r="CB78" i="44"/>
  <c r="CA199" i="44"/>
  <c r="CA168" i="44"/>
  <c r="CA176" i="44" s="1"/>
  <c r="CA178" i="44" s="1"/>
  <c r="CA136" i="44"/>
  <c r="CA144" i="44" s="1"/>
  <c r="CA146" i="44" s="1"/>
  <c r="CA88" i="44"/>
  <c r="CD13" i="44" l="1"/>
  <c r="CE12" i="44"/>
  <c r="CE11" i="44"/>
  <c r="J121" i="44"/>
  <c r="J123" i="44" s="1"/>
  <c r="J127" i="44" s="1"/>
  <c r="J60" i="44" s="1"/>
  <c r="G162" i="44"/>
  <c r="G148" i="44"/>
  <c r="G149" i="44" s="1"/>
  <c r="H145" i="44" s="1"/>
  <c r="H152" i="44" s="1"/>
  <c r="H154" i="44" s="1"/>
  <c r="H157" i="44" s="1"/>
  <c r="J111" i="44"/>
  <c r="K107" i="44" s="1"/>
  <c r="K109" i="44" s="1"/>
  <c r="K110" i="44" s="1"/>
  <c r="K117" i="44" s="1"/>
  <c r="K118" i="44" s="1"/>
  <c r="L115" i="44" s="1"/>
  <c r="J91" i="44"/>
  <c r="K87" i="44" s="1"/>
  <c r="J97" i="44"/>
  <c r="J98" i="44" s="1"/>
  <c r="K95" i="44" s="1"/>
  <c r="I128" i="44"/>
  <c r="I130" i="44" s="1"/>
  <c r="I139" i="44" s="1"/>
  <c r="I140" i="44" s="1"/>
  <c r="J135" i="44" s="1"/>
  <c r="I45" i="44"/>
  <c r="I170" i="44"/>
  <c r="I147" i="44"/>
  <c r="J101" i="44"/>
  <c r="J103" i="44" s="1"/>
  <c r="CC79" i="44"/>
  <c r="CC108" i="44" s="1"/>
  <c r="CC78" i="44"/>
  <c r="CB199" i="44"/>
  <c r="CB168" i="44"/>
  <c r="CB176" i="44" s="1"/>
  <c r="CB178" i="44" s="1"/>
  <c r="CB136" i="44"/>
  <c r="CB144" i="44" s="1"/>
  <c r="CB146" i="44" s="1"/>
  <c r="CB88" i="44"/>
  <c r="CE7" i="44"/>
  <c r="CE20" i="44" s="1"/>
  <c r="CF8" i="44"/>
  <c r="CB114" i="44"/>
  <c r="CB116" i="44" s="1"/>
  <c r="CD81" i="44"/>
  <c r="CD77" i="44"/>
  <c r="CD21" i="44"/>
  <c r="CA94" i="44"/>
  <c r="CA96" i="44" s="1"/>
  <c r="CF11" i="44" l="1"/>
  <c r="CF12" i="44"/>
  <c r="H171" i="44"/>
  <c r="H180" i="44" s="1"/>
  <c r="G187" i="44"/>
  <c r="G172" i="44"/>
  <c r="G173" i="44" s="1"/>
  <c r="H167" i="44" s="1"/>
  <c r="H169" i="44" s="1"/>
  <c r="K111" i="44"/>
  <c r="L107" i="44" s="1"/>
  <c r="L109" i="44" s="1"/>
  <c r="L121" i="44" s="1"/>
  <c r="L123" i="44" s="1"/>
  <c r="L127" i="44" s="1"/>
  <c r="L60" i="44" s="1"/>
  <c r="I201" i="44"/>
  <c r="I179" i="44"/>
  <c r="J137" i="44"/>
  <c r="J138" i="44"/>
  <c r="J126" i="44"/>
  <c r="K121" i="44"/>
  <c r="K123" i="44" s="1"/>
  <c r="K127" i="44" s="1"/>
  <c r="K60" i="44" s="1"/>
  <c r="K89" i="44"/>
  <c r="K90" i="44" s="1"/>
  <c r="K97" i="44" s="1"/>
  <c r="K98" i="44" s="1"/>
  <c r="L95" i="44" s="1"/>
  <c r="H159" i="44"/>
  <c r="H62" i="44" s="1"/>
  <c r="H158" i="44"/>
  <c r="H61" i="44" s="1"/>
  <c r="H46" i="44"/>
  <c r="CE13" i="44"/>
  <c r="CB94" i="44"/>
  <c r="CB96" i="44" s="1"/>
  <c r="CD79" i="44"/>
  <c r="CD108" i="44" s="1"/>
  <c r="CD78" i="44"/>
  <c r="CC199" i="44"/>
  <c r="CC168" i="44"/>
  <c r="CC176" i="44" s="1"/>
  <c r="CC178" i="44" s="1"/>
  <c r="CC136" i="44"/>
  <c r="CC144" i="44" s="1"/>
  <c r="CC146" i="44" s="1"/>
  <c r="CC88" i="44"/>
  <c r="CC114" i="44"/>
  <c r="CC116" i="44" s="1"/>
  <c r="CG8" i="44"/>
  <c r="CF7" i="44"/>
  <c r="CF20" i="44" s="1"/>
  <c r="CE81" i="44"/>
  <c r="CE77" i="44"/>
  <c r="CE21" i="44"/>
  <c r="H202" i="44" l="1"/>
  <c r="CG11" i="44"/>
  <c r="CG12" i="44"/>
  <c r="G203" i="44"/>
  <c r="G190" i="44"/>
  <c r="K101" i="44"/>
  <c r="K103" i="44" s="1"/>
  <c r="K126" i="44" s="1"/>
  <c r="L110" i="44"/>
  <c r="L117" i="44" s="1"/>
  <c r="L118" i="44" s="1"/>
  <c r="M115" i="44" s="1"/>
  <c r="K91" i="44"/>
  <c r="L87" i="44" s="1"/>
  <c r="J147" i="44"/>
  <c r="J170" i="44"/>
  <c r="J45" i="44"/>
  <c r="J128" i="44"/>
  <c r="J130" i="44" s="1"/>
  <c r="J139" i="44" s="1"/>
  <c r="J140" i="44" s="1"/>
  <c r="K135" i="44" s="1"/>
  <c r="K137" i="44" s="1"/>
  <c r="H160" i="44"/>
  <c r="H162" i="44" s="1"/>
  <c r="CF13" i="44"/>
  <c r="CE79" i="44"/>
  <c r="CE108" i="44" s="1"/>
  <c r="CE78" i="44"/>
  <c r="CG7" i="44"/>
  <c r="CG20" i="44" s="1"/>
  <c r="CH8" i="44"/>
  <c r="CD199" i="44"/>
  <c r="CD168" i="44"/>
  <c r="CD176" i="44" s="1"/>
  <c r="CD178" i="44" s="1"/>
  <c r="CD136" i="44"/>
  <c r="CD144" i="44" s="1"/>
  <c r="CD146" i="44" s="1"/>
  <c r="CD88" i="44"/>
  <c r="CD114" i="44"/>
  <c r="CD116" i="44" s="1"/>
  <c r="CF81" i="44"/>
  <c r="CF77" i="44"/>
  <c r="CF21" i="44"/>
  <c r="CC94" i="44"/>
  <c r="CC96" i="44" s="1"/>
  <c r="CH11" i="44" l="1"/>
  <c r="CH12" i="44"/>
  <c r="K138" i="44"/>
  <c r="K147" i="44" s="1"/>
  <c r="L111" i="44"/>
  <c r="M107" i="44" s="1"/>
  <c r="M109" i="44" s="1"/>
  <c r="M110" i="44" s="1"/>
  <c r="M117" i="44" s="1"/>
  <c r="M118" i="44" s="1"/>
  <c r="N115" i="44" s="1"/>
  <c r="L89" i="44"/>
  <c r="L101" i="44" s="1"/>
  <c r="L103" i="44" s="1"/>
  <c r="L138" i="44" s="1"/>
  <c r="G47" i="44"/>
  <c r="G191" i="44"/>
  <c r="G192" i="44"/>
  <c r="G64" i="44" s="1"/>
  <c r="K45" i="44"/>
  <c r="K128" i="44"/>
  <c r="K130" i="44" s="1"/>
  <c r="J201" i="44"/>
  <c r="J179" i="44"/>
  <c r="H148" i="44"/>
  <c r="H149" i="44" s="1"/>
  <c r="I145" i="44" s="1"/>
  <c r="I152" i="44" s="1"/>
  <c r="I154" i="44" s="1"/>
  <c r="H172" i="44"/>
  <c r="H173" i="44" s="1"/>
  <c r="I167" i="44" s="1"/>
  <c r="CI8" i="44"/>
  <c r="CH7" i="44"/>
  <c r="CH20" i="44" s="1"/>
  <c r="CG81" i="44"/>
  <c r="CG77" i="44"/>
  <c r="CG21" i="44"/>
  <c r="CG13" i="44"/>
  <c r="CE199" i="44"/>
  <c r="CE168" i="44"/>
  <c r="CE176" i="44" s="1"/>
  <c r="CE178" i="44" s="1"/>
  <c r="CE136" i="44"/>
  <c r="CE144" i="44" s="1"/>
  <c r="CE146" i="44" s="1"/>
  <c r="CE88" i="44"/>
  <c r="CE114" i="44"/>
  <c r="CE116" i="44" s="1"/>
  <c r="CD94" i="44"/>
  <c r="CD96" i="44" s="1"/>
  <c r="CF79" i="44"/>
  <c r="CF108" i="44" s="1"/>
  <c r="CF78" i="44"/>
  <c r="CH13" i="44" l="1"/>
  <c r="K170" i="44"/>
  <c r="K201" i="44" s="1"/>
  <c r="CI12" i="44"/>
  <c r="CI11" i="44"/>
  <c r="K139" i="44"/>
  <c r="K140" i="44" s="1"/>
  <c r="L135" i="44" s="1"/>
  <c r="L137" i="44" s="1"/>
  <c r="L126" i="44"/>
  <c r="L128" i="44" s="1"/>
  <c r="L130" i="44" s="1"/>
  <c r="M121" i="44"/>
  <c r="M123" i="44" s="1"/>
  <c r="M127" i="44" s="1"/>
  <c r="M60" i="44" s="1"/>
  <c r="M111" i="44"/>
  <c r="N107" i="44" s="1"/>
  <c r="N109" i="44" s="1"/>
  <c r="N121" i="44" s="1"/>
  <c r="N123" i="44" s="1"/>
  <c r="N127" i="44" s="1"/>
  <c r="N60" i="44" s="1"/>
  <c r="G63" i="44"/>
  <c r="G193" i="44"/>
  <c r="L90" i="44"/>
  <c r="L147" i="44"/>
  <c r="L170" i="44"/>
  <c r="I171" i="44"/>
  <c r="I157" i="44"/>
  <c r="I169" i="44"/>
  <c r="CH81" i="44"/>
  <c r="CH77" i="44"/>
  <c r="CH21" i="44"/>
  <c r="CI7" i="44"/>
  <c r="CI20" i="44" s="1"/>
  <c r="CJ8" i="44"/>
  <c r="CE94" i="44"/>
  <c r="CE96" i="44" s="1"/>
  <c r="CG78" i="44"/>
  <c r="CG79" i="44"/>
  <c r="CG108" i="44" s="1"/>
  <c r="CF114" i="44"/>
  <c r="CF116" i="44" s="1"/>
  <c r="CF199" i="44"/>
  <c r="CF168" i="44"/>
  <c r="CF176" i="44" s="1"/>
  <c r="CF178" i="44" s="1"/>
  <c r="CF136" i="44"/>
  <c r="CF144" i="44" s="1"/>
  <c r="CF146" i="44" s="1"/>
  <c r="CF88" i="44"/>
  <c r="CI13" i="44" l="1"/>
  <c r="K179" i="44"/>
  <c r="L139" i="44"/>
  <c r="L140" i="44" s="1"/>
  <c r="M135" i="44" s="1"/>
  <c r="M137" i="44" s="1"/>
  <c r="CJ12" i="44"/>
  <c r="CJ11" i="44"/>
  <c r="L45" i="44"/>
  <c r="N110" i="44"/>
  <c r="N117" i="44" s="1"/>
  <c r="N118" i="44" s="1"/>
  <c r="O115" i="44" s="1"/>
  <c r="L97" i="44"/>
  <c r="L98" i="44" s="1"/>
  <c r="M95" i="44" s="1"/>
  <c r="L91" i="44"/>
  <c r="M87" i="44" s="1"/>
  <c r="M89" i="44" s="1"/>
  <c r="M90" i="44" s="1"/>
  <c r="M97" i="44" s="1"/>
  <c r="G195" i="44"/>
  <c r="G204" i="44" s="1"/>
  <c r="G181" i="44"/>
  <c r="G182" i="44" s="1"/>
  <c r="H177" i="44" s="1"/>
  <c r="H185" i="44" s="1"/>
  <c r="H187" i="44" s="1"/>
  <c r="L201" i="44"/>
  <c r="L179" i="44"/>
  <c r="I158" i="44"/>
  <c r="I61" i="44" s="1"/>
  <c r="I46" i="44"/>
  <c r="I159" i="44"/>
  <c r="I62" i="44" s="1"/>
  <c r="I180" i="44"/>
  <c r="I202" i="44"/>
  <c r="CH78" i="44"/>
  <c r="CH79" i="44"/>
  <c r="CH108" i="44" s="1"/>
  <c r="CF94" i="44"/>
  <c r="CF96" i="44" s="1"/>
  <c r="CK8" i="44"/>
  <c r="CJ7" i="44"/>
  <c r="CJ20" i="44" s="1"/>
  <c r="CI81" i="44"/>
  <c r="CI77" i="44"/>
  <c r="CI21" i="44"/>
  <c r="CG114" i="44"/>
  <c r="CG116" i="44" s="1"/>
  <c r="CG199" i="44"/>
  <c r="CG168" i="44"/>
  <c r="CG176" i="44" s="1"/>
  <c r="CG178" i="44" s="1"/>
  <c r="CG136" i="44"/>
  <c r="CG144" i="44" s="1"/>
  <c r="CG146" i="44" s="1"/>
  <c r="CG88" i="44"/>
  <c r="CK11" i="44" l="1"/>
  <c r="CK12" i="44"/>
  <c r="N111" i="44"/>
  <c r="O107" i="44" s="1"/>
  <c r="O109" i="44" s="1"/>
  <c r="O121" i="44" s="1"/>
  <c r="O123" i="44" s="1"/>
  <c r="O127" i="44" s="1"/>
  <c r="O60" i="44" s="1"/>
  <c r="M98" i="44"/>
  <c r="N95" i="44" s="1"/>
  <c r="M101" i="44"/>
  <c r="M103" i="44" s="1"/>
  <c r="M138" i="44" s="1"/>
  <c r="M91" i="44"/>
  <c r="N87" i="44" s="1"/>
  <c r="N89" i="44" s="1"/>
  <c r="N90" i="44" s="1"/>
  <c r="N97" i="44" s="1"/>
  <c r="H203" i="44"/>
  <c r="H190" i="44"/>
  <c r="G208" i="44"/>
  <c r="G205" i="44"/>
  <c r="H198" i="44" s="1"/>
  <c r="H200" i="44" s="1"/>
  <c r="I160" i="44"/>
  <c r="I148" i="44" s="1"/>
  <c r="I149" i="44" s="1"/>
  <c r="J145" i="44" s="1"/>
  <c r="J152" i="44" s="1"/>
  <c r="J154" i="44" s="1"/>
  <c r="CI78" i="44"/>
  <c r="CI79" i="44"/>
  <c r="CI108" i="44" s="1"/>
  <c r="CH114" i="44"/>
  <c r="CH116" i="44" s="1"/>
  <c r="CH168" i="44"/>
  <c r="CH176" i="44" s="1"/>
  <c r="CH178" i="44" s="1"/>
  <c r="CH199" i="44"/>
  <c r="CH136" i="44"/>
  <c r="CH144" i="44" s="1"/>
  <c r="CH146" i="44" s="1"/>
  <c r="CH88" i="44"/>
  <c r="CJ81" i="44"/>
  <c r="CJ77" i="44"/>
  <c r="CJ21" i="44"/>
  <c r="CJ13" i="44"/>
  <c r="CG94" i="44"/>
  <c r="CG96" i="44" s="1"/>
  <c r="CL8" i="44"/>
  <c r="CK7" i="44"/>
  <c r="CK20" i="44" s="1"/>
  <c r="N98" i="44" l="1"/>
  <c r="O95" i="44" s="1"/>
  <c r="CL11" i="44"/>
  <c r="CL12" i="44"/>
  <c r="O110" i="44"/>
  <c r="O117" i="44" s="1"/>
  <c r="O118" i="44" s="1"/>
  <c r="P115" i="44" s="1"/>
  <c r="M126" i="44"/>
  <c r="M128" i="44" s="1"/>
  <c r="M130" i="44" s="1"/>
  <c r="M139" i="44" s="1"/>
  <c r="M140" i="44" s="1"/>
  <c r="N135" i="44" s="1"/>
  <c r="N137" i="44" s="1"/>
  <c r="N101" i="44"/>
  <c r="N103" i="44" s="1"/>
  <c r="N126" i="44" s="1"/>
  <c r="N91" i="44"/>
  <c r="O87" i="44" s="1"/>
  <c r="O89" i="44" s="1"/>
  <c r="O90" i="44" s="1"/>
  <c r="O97" i="44" s="1"/>
  <c r="G210" i="44"/>
  <c r="G66" i="44" s="1"/>
  <c r="G48" i="44"/>
  <c r="G209" i="44"/>
  <c r="G65" i="44" s="1"/>
  <c r="H191" i="44"/>
  <c r="H47" i="44"/>
  <c r="H192" i="44"/>
  <c r="H64" i="44" s="1"/>
  <c r="M147" i="44"/>
  <c r="M170" i="44"/>
  <c r="I162" i="44"/>
  <c r="I172" i="44" s="1"/>
  <c r="I173" i="44" s="1"/>
  <c r="J167" i="44" s="1"/>
  <c r="J169" i="44" s="1"/>
  <c r="J171" i="44"/>
  <c r="J157" i="44"/>
  <c r="CH94" i="44"/>
  <c r="CH96" i="44" s="1"/>
  <c r="CI114" i="44"/>
  <c r="CI116" i="44" s="1"/>
  <c r="CM8" i="44"/>
  <c r="CL7" i="44"/>
  <c r="CL20" i="44" s="1"/>
  <c r="CI199" i="44"/>
  <c r="CI168" i="44"/>
  <c r="CI176" i="44" s="1"/>
  <c r="CI178" i="44" s="1"/>
  <c r="CI136" i="44"/>
  <c r="CI144" i="44" s="1"/>
  <c r="CI146" i="44" s="1"/>
  <c r="CI88" i="44"/>
  <c r="CK81" i="44"/>
  <c r="CK77" i="44"/>
  <c r="CK21" i="44"/>
  <c r="CJ79" i="44"/>
  <c r="CJ108" i="44" s="1"/>
  <c r="CJ78" i="44"/>
  <c r="CK13" i="44"/>
  <c r="O98" i="44" l="1"/>
  <c r="P95" i="44" s="1"/>
  <c r="CL13" i="44"/>
  <c r="M45" i="44"/>
  <c r="O111" i="44"/>
  <c r="P107" i="44" s="1"/>
  <c r="P109" i="44" s="1"/>
  <c r="P121" i="44" s="1"/>
  <c r="P123" i="44" s="1"/>
  <c r="P127" i="44" s="1"/>
  <c r="P60" i="44" s="1"/>
  <c r="CM11" i="44"/>
  <c r="CM12" i="44"/>
  <c r="N138" i="44"/>
  <c r="N147" i="44" s="1"/>
  <c r="G211" i="44"/>
  <c r="G213" i="44" s="1"/>
  <c r="G217" i="44" s="1"/>
  <c r="O91" i="44"/>
  <c r="P87" i="44" s="1"/>
  <c r="P89" i="44" s="1"/>
  <c r="P90" i="44" s="1"/>
  <c r="P97" i="44" s="1"/>
  <c r="O101" i="44"/>
  <c r="O103" i="44" s="1"/>
  <c r="O138" i="44" s="1"/>
  <c r="O147" i="44" s="1"/>
  <c r="H63" i="44"/>
  <c r="H193" i="44"/>
  <c r="N128" i="44"/>
  <c r="N130" i="44" s="1"/>
  <c r="N45" i="44"/>
  <c r="M179" i="44"/>
  <c r="M201" i="44"/>
  <c r="J158" i="44"/>
  <c r="J61" i="44" s="1"/>
  <c r="J46" i="44"/>
  <c r="J159" i="44"/>
  <c r="J62" i="44" s="1"/>
  <c r="J180" i="44"/>
  <c r="J202" i="44"/>
  <c r="CL81" i="44"/>
  <c r="CL77" i="44"/>
  <c r="CL21" i="44"/>
  <c r="CJ199" i="44"/>
  <c r="CJ168" i="44"/>
  <c r="CJ176" i="44" s="1"/>
  <c r="CJ178" i="44" s="1"/>
  <c r="CJ136" i="44"/>
  <c r="CJ144" i="44" s="1"/>
  <c r="CJ146" i="44" s="1"/>
  <c r="CJ88" i="44"/>
  <c r="CM7" i="44"/>
  <c r="CM20" i="44" s="1"/>
  <c r="CN8" i="44"/>
  <c r="CK79" i="44"/>
  <c r="CK108" i="44" s="1"/>
  <c r="CK78" i="44"/>
  <c r="CJ114" i="44"/>
  <c r="CJ116" i="44" s="1"/>
  <c r="CI94" i="44"/>
  <c r="CI96" i="44" s="1"/>
  <c r="P98" i="44" l="1"/>
  <c r="Q95" i="44" s="1"/>
  <c r="P110" i="44"/>
  <c r="P117" i="44" s="1"/>
  <c r="P118" i="44" s="1"/>
  <c r="Q115" i="44" s="1"/>
  <c r="CM13" i="44"/>
  <c r="N139" i="44"/>
  <c r="N140" i="44" s="1"/>
  <c r="O135" i="44" s="1"/>
  <c r="O137" i="44" s="1"/>
  <c r="N170" i="44"/>
  <c r="N201" i="44" s="1"/>
  <c r="CN11" i="44"/>
  <c r="CN12" i="44"/>
  <c r="G218" i="44"/>
  <c r="G67" i="44" s="1"/>
  <c r="P101" i="44"/>
  <c r="P103" i="44" s="1"/>
  <c r="P126" i="44" s="1"/>
  <c r="P45" i="44" s="1"/>
  <c r="P91" i="44"/>
  <c r="Q87" i="44" s="1"/>
  <c r="Q89" i="44" s="1"/>
  <c r="Q90" i="44" s="1"/>
  <c r="Q97" i="44" s="1"/>
  <c r="Q98" i="44" s="1"/>
  <c r="R95" i="44" s="1"/>
  <c r="G219" i="44"/>
  <c r="G68" i="44" s="1"/>
  <c r="O170" i="44"/>
  <c r="O201" i="44" s="1"/>
  <c r="O126" i="44"/>
  <c r="O128" i="44" s="1"/>
  <c r="O130" i="44" s="1"/>
  <c r="G49" i="44"/>
  <c r="G50" i="44" s="1"/>
  <c r="H195" i="44"/>
  <c r="H204" i="44" s="1"/>
  <c r="H181" i="44"/>
  <c r="H182" i="44" s="1"/>
  <c r="I177" i="44" s="1"/>
  <c r="I185" i="44" s="1"/>
  <c r="I187" i="44" s="1"/>
  <c r="J160" i="44"/>
  <c r="J162" i="44" s="1"/>
  <c r="J172" i="44" s="1"/>
  <c r="J173" i="44" s="1"/>
  <c r="K167" i="44" s="1"/>
  <c r="CK114" i="44"/>
  <c r="CK116" i="44" s="1"/>
  <c r="CJ94" i="44"/>
  <c r="CJ96" i="44" s="1"/>
  <c r="CM77" i="44"/>
  <c r="CM81" i="44"/>
  <c r="CM21" i="44"/>
  <c r="CO8" i="44"/>
  <c r="CN7" i="44"/>
  <c r="CN20" i="44" s="1"/>
  <c r="CL79" i="44"/>
  <c r="CL108" i="44" s="1"/>
  <c r="CL78" i="44"/>
  <c r="CK199" i="44"/>
  <c r="CK168" i="44"/>
  <c r="CK176" i="44" s="1"/>
  <c r="CK178" i="44" s="1"/>
  <c r="CK136" i="44"/>
  <c r="CK144" i="44" s="1"/>
  <c r="CK146" i="44" s="1"/>
  <c r="CK88" i="44"/>
  <c r="N179" i="44" l="1"/>
  <c r="P111" i="44"/>
  <c r="Q107" i="44" s="1"/>
  <c r="Q109" i="44" s="1"/>
  <c r="Q121" i="44" s="1"/>
  <c r="Q123" i="44" s="1"/>
  <c r="Q127" i="44" s="1"/>
  <c r="Q60" i="44" s="1"/>
  <c r="G69" i="44"/>
  <c r="O139" i="44"/>
  <c r="O140" i="44" s="1"/>
  <c r="P135" i="44" s="1"/>
  <c r="P137" i="44" s="1"/>
  <c r="P128" i="44"/>
  <c r="P130" i="44" s="1"/>
  <c r="G220" i="44"/>
  <c r="G222" i="44" s="1"/>
  <c r="CO12" i="44"/>
  <c r="CO11" i="44"/>
  <c r="P138" i="44"/>
  <c r="P170" i="44" s="1"/>
  <c r="P201" i="44" s="1"/>
  <c r="O179" i="44"/>
  <c r="O45" i="44"/>
  <c r="I203" i="44"/>
  <c r="I190" i="44"/>
  <c r="H205" i="44"/>
  <c r="I198" i="44" s="1"/>
  <c r="I200" i="44" s="1"/>
  <c r="H208" i="44"/>
  <c r="J148" i="44"/>
  <c r="J149" i="44" s="1"/>
  <c r="K145" i="44" s="1"/>
  <c r="K152" i="44" s="1"/>
  <c r="K154" i="44" s="1"/>
  <c r="Q101" i="44"/>
  <c r="Q103" i="44" s="1"/>
  <c r="Q126" i="44" s="1"/>
  <c r="Q91" i="44"/>
  <c r="R87" i="44" s="1"/>
  <c r="R89" i="44" s="1"/>
  <c r="R101" i="44" s="1"/>
  <c r="R103" i="44" s="1"/>
  <c r="K169" i="44"/>
  <c r="CN81" i="44"/>
  <c r="CN77" i="44"/>
  <c r="CN21" i="44"/>
  <c r="CL199" i="44"/>
  <c r="CL168" i="44"/>
  <c r="CL176" i="44" s="1"/>
  <c r="CL178" i="44" s="1"/>
  <c r="CL136" i="44"/>
  <c r="CL144" i="44" s="1"/>
  <c r="CL146" i="44" s="1"/>
  <c r="CL88" i="44"/>
  <c r="CL114" i="44"/>
  <c r="CL116" i="44" s="1"/>
  <c r="CO7" i="44"/>
  <c r="CO20" i="44" s="1"/>
  <c r="CP8" i="44"/>
  <c r="CM79" i="44"/>
  <c r="CM108" i="44" s="1"/>
  <c r="CM78" i="44"/>
  <c r="CN13" i="44"/>
  <c r="CK94" i="44"/>
  <c r="CK96" i="44" s="1"/>
  <c r="Q110" i="44" l="1"/>
  <c r="Q117" i="44" s="1"/>
  <c r="Q118" i="44" s="1"/>
  <c r="R115" i="44" s="1"/>
  <c r="P139" i="44"/>
  <c r="P140" i="44" s="1"/>
  <c r="Q135" i="44" s="1"/>
  <c r="Q137" i="44" s="1"/>
  <c r="P147" i="44"/>
  <c r="CP11" i="44"/>
  <c r="CP12" i="44"/>
  <c r="P179" i="44"/>
  <c r="H209" i="44"/>
  <c r="H65" i="44" s="1"/>
  <c r="H48" i="44"/>
  <c r="H210" i="44"/>
  <c r="H66" i="44" s="1"/>
  <c r="I191" i="44"/>
  <c r="I192" i="44"/>
  <c r="I64" i="44" s="1"/>
  <c r="I47" i="44"/>
  <c r="Q138" i="44"/>
  <c r="Q147" i="44" s="1"/>
  <c r="R90" i="44"/>
  <c r="R97" i="44" s="1"/>
  <c r="R98" i="44" s="1"/>
  <c r="S95" i="44" s="1"/>
  <c r="R138" i="44"/>
  <c r="R126" i="44"/>
  <c r="K157" i="44"/>
  <c r="K171" i="44"/>
  <c r="Q128" i="44"/>
  <c r="Q130" i="44" s="1"/>
  <c r="Q45" i="44"/>
  <c r="CN79" i="44"/>
  <c r="CN108" i="44" s="1"/>
  <c r="CN78" i="44"/>
  <c r="CL94" i="44"/>
  <c r="CL96" i="44" s="1"/>
  <c r="CM199" i="44"/>
  <c r="CM168" i="44"/>
  <c r="CM176" i="44" s="1"/>
  <c r="CM178" i="44" s="1"/>
  <c r="CM136" i="44"/>
  <c r="CM144" i="44" s="1"/>
  <c r="CM146" i="44" s="1"/>
  <c r="CM88" i="44"/>
  <c r="CM114" i="44"/>
  <c r="CM116" i="44" s="1"/>
  <c r="CP7" i="44"/>
  <c r="CP20" i="44" s="1"/>
  <c r="CQ8" i="44"/>
  <c r="CO77" i="44"/>
  <c r="CO81" i="44"/>
  <c r="CO21" i="44"/>
  <c r="CO13" i="44"/>
  <c r="Q111" i="44" l="1"/>
  <c r="R107" i="44" s="1"/>
  <c r="R109" i="44" s="1"/>
  <c r="R121" i="44" s="1"/>
  <c r="R123" i="44" s="1"/>
  <c r="R127" i="44" s="1"/>
  <c r="R60" i="44" s="1"/>
  <c r="CQ12" i="44"/>
  <c r="CQ11" i="44"/>
  <c r="Q170" i="44"/>
  <c r="Q179" i="44" s="1"/>
  <c r="H211" i="44"/>
  <c r="H213" i="44" s="1"/>
  <c r="H217" i="44" s="1"/>
  <c r="I63" i="44"/>
  <c r="I193" i="44"/>
  <c r="Q139" i="44"/>
  <c r="Q140" i="44" s="1"/>
  <c r="R135" i="44" s="1"/>
  <c r="R137" i="44" s="1"/>
  <c r="R91" i="44"/>
  <c r="S87" i="44" s="1"/>
  <c r="S89" i="44" s="1"/>
  <c r="S101" i="44" s="1"/>
  <c r="S103" i="44" s="1"/>
  <c r="R45" i="44"/>
  <c r="K180" i="44"/>
  <c r="K202" i="44"/>
  <c r="K158" i="44"/>
  <c r="K61" i="44" s="1"/>
  <c r="K159" i="44"/>
  <c r="K62" i="44" s="1"/>
  <c r="K46" i="44"/>
  <c r="R170" i="44"/>
  <c r="R147" i="44"/>
  <c r="CN199" i="44"/>
  <c r="CN168" i="44"/>
  <c r="CN176" i="44" s="1"/>
  <c r="CN178" i="44" s="1"/>
  <c r="CN136" i="44"/>
  <c r="CN144" i="44" s="1"/>
  <c r="CN146" i="44" s="1"/>
  <c r="CN88" i="44"/>
  <c r="CN114" i="44"/>
  <c r="CN116" i="44" s="1"/>
  <c r="CP77" i="44"/>
  <c r="CP81" i="44"/>
  <c r="CP21" i="44"/>
  <c r="CO78" i="44"/>
  <c r="CO79" i="44"/>
  <c r="CO108" i="44" s="1"/>
  <c r="CM94" i="44"/>
  <c r="CM96" i="44" s="1"/>
  <c r="CQ7" i="44"/>
  <c r="CQ20" i="44" s="1"/>
  <c r="CR8" i="44"/>
  <c r="CP13" i="44"/>
  <c r="R110" i="44" l="1"/>
  <c r="R117" i="44" s="1"/>
  <c r="R118" i="44" s="1"/>
  <c r="S115" i="44" s="1"/>
  <c r="Q201" i="44"/>
  <c r="R128" i="44"/>
  <c r="R130" i="44" s="1"/>
  <c r="R139" i="44" s="1"/>
  <c r="R140" i="44" s="1"/>
  <c r="S135" i="44" s="1"/>
  <c r="CR12" i="44"/>
  <c r="CR11" i="44"/>
  <c r="H219" i="44"/>
  <c r="H68" i="44" s="1"/>
  <c r="H218" i="44"/>
  <c r="H67" i="44" s="1"/>
  <c r="I195" i="44"/>
  <c r="I204" i="44" s="1"/>
  <c r="I181" i="44"/>
  <c r="I182" i="44" s="1"/>
  <c r="J177" i="44" s="1"/>
  <c r="J185" i="44" s="1"/>
  <c r="J187" i="44" s="1"/>
  <c r="H49" i="44"/>
  <c r="H50" i="44" s="1"/>
  <c r="S90" i="44"/>
  <c r="S97" i="44" s="1"/>
  <c r="S98" i="44" s="1"/>
  <c r="T95" i="44" s="1"/>
  <c r="S138" i="44"/>
  <c r="S147" i="44" s="1"/>
  <c r="S126" i="44"/>
  <c r="S45" i="44" s="1"/>
  <c r="K160" i="44"/>
  <c r="K148" i="44" s="1"/>
  <c r="K149" i="44" s="1"/>
  <c r="L145" i="44" s="1"/>
  <c r="R201" i="44"/>
  <c r="R179" i="44"/>
  <c r="CP78" i="44"/>
  <c r="CP79" i="44"/>
  <c r="CP108" i="44" s="1"/>
  <c r="CQ13" i="44"/>
  <c r="CN94" i="44"/>
  <c r="CN96" i="44" s="1"/>
  <c r="CO114" i="44"/>
  <c r="CO116" i="44" s="1"/>
  <c r="CO199" i="44"/>
  <c r="CO168" i="44"/>
  <c r="CO176" i="44" s="1"/>
  <c r="CO178" i="44" s="1"/>
  <c r="CO136" i="44"/>
  <c r="CO144" i="44" s="1"/>
  <c r="CO146" i="44" s="1"/>
  <c r="CO88" i="44"/>
  <c r="CQ81" i="44"/>
  <c r="CQ77" i="44"/>
  <c r="CQ21" i="44"/>
  <c r="CR7" i="44"/>
  <c r="CR20" i="44" s="1"/>
  <c r="CS8" i="44"/>
  <c r="R111" i="44" l="1"/>
  <c r="S107" i="44" s="1"/>
  <c r="S109" i="44" s="1"/>
  <c r="S121" i="44" s="1"/>
  <c r="S123" i="44" s="1"/>
  <c r="S127" i="44" s="1"/>
  <c r="S60" i="44" s="1"/>
  <c r="CS11" i="44"/>
  <c r="CS12" i="44"/>
  <c r="K162" i="44"/>
  <c r="K172" i="44" s="1"/>
  <c r="K173" i="44" s="1"/>
  <c r="L167" i="44" s="1"/>
  <c r="L169" i="44" s="1"/>
  <c r="H220" i="44"/>
  <c r="H222" i="44" s="1"/>
  <c r="S170" i="44"/>
  <c r="S179" i="44" s="1"/>
  <c r="H69" i="44"/>
  <c r="J203" i="44"/>
  <c r="J190" i="44"/>
  <c r="I205" i="44"/>
  <c r="J198" i="44" s="1"/>
  <c r="J200" i="44" s="1"/>
  <c r="I208" i="44"/>
  <c r="S91" i="44"/>
  <c r="T87" i="44" s="1"/>
  <c r="T89" i="44" s="1"/>
  <c r="T90" i="44" s="1"/>
  <c r="T97" i="44" s="1"/>
  <c r="T98" i="44" s="1"/>
  <c r="U95" i="44" s="1"/>
  <c r="L152" i="44"/>
  <c r="L154" i="44" s="1"/>
  <c r="S137" i="44"/>
  <c r="CP114" i="44"/>
  <c r="CP116" i="44" s="1"/>
  <c r="CP199" i="44"/>
  <c r="CP168" i="44"/>
  <c r="CP176" i="44" s="1"/>
  <c r="CP178" i="44" s="1"/>
  <c r="CP136" i="44"/>
  <c r="CP144" i="44" s="1"/>
  <c r="CP146" i="44" s="1"/>
  <c r="CP88" i="44"/>
  <c r="CQ78" i="44"/>
  <c r="CQ79" i="44"/>
  <c r="CQ108" i="44" s="1"/>
  <c r="CT8" i="44"/>
  <c r="CS7" i="44"/>
  <c r="CS20" i="44" s="1"/>
  <c r="CR81" i="44"/>
  <c r="CR77" i="44"/>
  <c r="CR21" i="44"/>
  <c r="CR13" i="44"/>
  <c r="CO94" i="44"/>
  <c r="CO96" i="44" s="1"/>
  <c r="S110" i="44" l="1"/>
  <c r="S117" i="44" s="1"/>
  <c r="S118" i="44" s="1"/>
  <c r="T115" i="44" s="1"/>
  <c r="S128" i="44"/>
  <c r="S130" i="44" s="1"/>
  <c r="S139" i="44" s="1"/>
  <c r="S140" i="44" s="1"/>
  <c r="T135" i="44" s="1"/>
  <c r="T137" i="44" s="1"/>
  <c r="CS13" i="44"/>
  <c r="S201" i="44"/>
  <c r="CT12" i="44"/>
  <c r="CT11" i="44"/>
  <c r="I209" i="44"/>
  <c r="I65" i="44" s="1"/>
  <c r="I48" i="44"/>
  <c r="I210" i="44"/>
  <c r="I66" i="44" s="1"/>
  <c r="J191" i="44"/>
  <c r="J47" i="44"/>
  <c r="J192" i="44"/>
  <c r="J64" i="44" s="1"/>
  <c r="T101" i="44"/>
  <c r="T103" i="44" s="1"/>
  <c r="T138" i="44" s="1"/>
  <c r="T91" i="44"/>
  <c r="U87" i="44" s="1"/>
  <c r="U89" i="44" s="1"/>
  <c r="U101" i="44" s="1"/>
  <c r="U103" i="44" s="1"/>
  <c r="L157" i="44"/>
  <c r="L171" i="44"/>
  <c r="CQ114" i="44"/>
  <c r="CQ116" i="44" s="1"/>
  <c r="CR78" i="44"/>
  <c r="CR79" i="44"/>
  <c r="CR108" i="44" s="1"/>
  <c r="CQ199" i="44"/>
  <c r="CQ168" i="44"/>
  <c r="CQ176" i="44" s="1"/>
  <c r="CQ178" i="44" s="1"/>
  <c r="CQ88" i="44"/>
  <c r="CQ136" i="44"/>
  <c r="CQ144" i="44" s="1"/>
  <c r="CQ146" i="44" s="1"/>
  <c r="CS81" i="44"/>
  <c r="CS77" i="44"/>
  <c r="CS21" i="44"/>
  <c r="CP94" i="44"/>
  <c r="CP96" i="44" s="1"/>
  <c r="CU8" i="44"/>
  <c r="CT7" i="44"/>
  <c r="CT20" i="44" s="1"/>
  <c r="S111" i="44" l="1"/>
  <c r="T107" i="44" s="1"/>
  <c r="T109" i="44" s="1"/>
  <c r="T110" i="44" s="1"/>
  <c r="T117" i="44" s="1"/>
  <c r="T118" i="44" s="1"/>
  <c r="U115" i="44" s="1"/>
  <c r="CU12" i="44"/>
  <c r="CU11" i="44"/>
  <c r="I211" i="44"/>
  <c r="I213" i="44" s="1"/>
  <c r="I218" i="44" s="1"/>
  <c r="I67" i="44" s="1"/>
  <c r="J63" i="44"/>
  <c r="J193" i="44"/>
  <c r="T126" i="44"/>
  <c r="T45" i="44" s="1"/>
  <c r="U90" i="44"/>
  <c r="U97" i="44" s="1"/>
  <c r="U98" i="44" s="1"/>
  <c r="V95" i="44" s="1"/>
  <c r="T170" i="44"/>
  <c r="T147" i="44"/>
  <c r="L180" i="44"/>
  <c r="L202" i="44"/>
  <c r="L158" i="44"/>
  <c r="L61" i="44" s="1"/>
  <c r="L159" i="44"/>
  <c r="L62" i="44" s="1"/>
  <c r="L46" i="44"/>
  <c r="U138" i="44"/>
  <c r="U126" i="44"/>
  <c r="CT13" i="44"/>
  <c r="CT81" i="44"/>
  <c r="CT77" i="44"/>
  <c r="CT21" i="44"/>
  <c r="CS79" i="44"/>
  <c r="CS108" i="44" s="1"/>
  <c r="CS78" i="44"/>
  <c r="CV8" i="44"/>
  <c r="CU7" i="44"/>
  <c r="CU20" i="44" s="1"/>
  <c r="CR114" i="44"/>
  <c r="CR116" i="44" s="1"/>
  <c r="CQ94" i="44"/>
  <c r="CQ96" i="44" s="1"/>
  <c r="CR199" i="44"/>
  <c r="CR168" i="44"/>
  <c r="CR176" i="44" s="1"/>
  <c r="CR178" i="44" s="1"/>
  <c r="CR136" i="44"/>
  <c r="CR144" i="44" s="1"/>
  <c r="CR146" i="44" s="1"/>
  <c r="CR88" i="44"/>
  <c r="T121" i="44" l="1"/>
  <c r="T123" i="44" s="1"/>
  <c r="T127" i="44" s="1"/>
  <c r="T60" i="44" s="1"/>
  <c r="T111" i="44"/>
  <c r="U107" i="44" s="1"/>
  <c r="U109" i="44" s="1"/>
  <c r="U110" i="44" s="1"/>
  <c r="U117" i="44" s="1"/>
  <c r="U118" i="44" s="1"/>
  <c r="V115" i="44" s="1"/>
  <c r="CV11" i="44"/>
  <c r="CV12" i="44"/>
  <c r="I219" i="44"/>
  <c r="I68" i="44" s="1"/>
  <c r="I69" i="44" s="1"/>
  <c r="I217" i="44"/>
  <c r="I49" i="44" s="1"/>
  <c r="I50" i="44" s="1"/>
  <c r="J195" i="44"/>
  <c r="J204" i="44" s="1"/>
  <c r="J181" i="44"/>
  <c r="J182" i="44" s="1"/>
  <c r="K177" i="44" s="1"/>
  <c r="K185" i="44" s="1"/>
  <c r="K187" i="44" s="1"/>
  <c r="K190" i="44" s="1"/>
  <c r="U91" i="44"/>
  <c r="V87" i="44" s="1"/>
  <c r="V89" i="44" s="1"/>
  <c r="V101" i="44" s="1"/>
  <c r="V103" i="44" s="1"/>
  <c r="L160" i="44"/>
  <c r="L148" i="44" s="1"/>
  <c r="L149" i="44" s="1"/>
  <c r="M145" i="44" s="1"/>
  <c r="U45" i="44"/>
  <c r="U170" i="44"/>
  <c r="U147" i="44"/>
  <c r="T201" i="44"/>
  <c r="T179" i="44"/>
  <c r="CT79" i="44"/>
  <c r="CT108" i="44" s="1"/>
  <c r="CT78" i="44"/>
  <c r="CU77" i="44"/>
  <c r="CU81" i="44"/>
  <c r="CU21" i="44"/>
  <c r="CS199" i="44"/>
  <c r="CS168" i="44"/>
  <c r="CS176" i="44" s="1"/>
  <c r="CS178" i="44" s="1"/>
  <c r="CS136" i="44"/>
  <c r="CS144" i="44" s="1"/>
  <c r="CS146" i="44" s="1"/>
  <c r="CS88" i="44"/>
  <c r="CS114" i="44"/>
  <c r="CS116" i="44" s="1"/>
  <c r="CW8" i="44"/>
  <c r="CV7" i="44"/>
  <c r="CV20" i="44" s="1"/>
  <c r="CR94" i="44"/>
  <c r="CR96" i="44" s="1"/>
  <c r="CU13" i="44"/>
  <c r="T128" i="44" l="1"/>
  <c r="T130" i="44" s="1"/>
  <c r="T139" i="44" s="1"/>
  <c r="T140" i="44" s="1"/>
  <c r="U135" i="44" s="1"/>
  <c r="U137" i="44" s="1"/>
  <c r="CW12" i="44"/>
  <c r="CW11" i="44"/>
  <c r="I220" i="44"/>
  <c r="I222" i="44" s="1"/>
  <c r="K203" i="44"/>
  <c r="J208" i="44"/>
  <c r="J205" i="44"/>
  <c r="K198" i="44" s="1"/>
  <c r="K200" i="44" s="1"/>
  <c r="L162" i="44"/>
  <c r="L172" i="44" s="1"/>
  <c r="L173" i="44" s="1"/>
  <c r="M167" i="44" s="1"/>
  <c r="M169" i="44" s="1"/>
  <c r="V138" i="44"/>
  <c r="V126" i="44"/>
  <c r="K191" i="44"/>
  <c r="K63" i="44" s="1"/>
  <c r="K192" i="44"/>
  <c r="K64" i="44" s="1"/>
  <c r="K47" i="44"/>
  <c r="U179" i="44"/>
  <c r="U201" i="44"/>
  <c r="M152" i="44"/>
  <c r="M154" i="44" s="1"/>
  <c r="U111" i="44"/>
  <c r="V107" i="44" s="1"/>
  <c r="V90" i="44"/>
  <c r="U121" i="44"/>
  <c r="U123" i="44" s="1"/>
  <c r="U127" i="44" s="1"/>
  <c r="CV13" i="44"/>
  <c r="CV81" i="44"/>
  <c r="CV77" i="44"/>
  <c r="CV21" i="44"/>
  <c r="CU79" i="44"/>
  <c r="CU108" i="44" s="1"/>
  <c r="CU78" i="44"/>
  <c r="CX8" i="44"/>
  <c r="CW7" i="44"/>
  <c r="CW20" i="44" s="1"/>
  <c r="CT199" i="44"/>
  <c r="CT168" i="44"/>
  <c r="CT176" i="44" s="1"/>
  <c r="CT178" i="44" s="1"/>
  <c r="CT136" i="44"/>
  <c r="CT144" i="44" s="1"/>
  <c r="CT146" i="44" s="1"/>
  <c r="CT88" i="44"/>
  <c r="CS94" i="44"/>
  <c r="CS96" i="44" s="1"/>
  <c r="CT114" i="44"/>
  <c r="CT116" i="44" s="1"/>
  <c r="CX11" i="44" l="1"/>
  <c r="CX12" i="44"/>
  <c r="K193" i="44"/>
  <c r="K195" i="44" s="1"/>
  <c r="K204" i="44" s="1"/>
  <c r="J209" i="44"/>
  <c r="J210" i="44"/>
  <c r="J66" i="44" s="1"/>
  <c r="J48" i="44"/>
  <c r="U60" i="44"/>
  <c r="U128" i="44"/>
  <c r="U130" i="44" s="1"/>
  <c r="U139" i="44" s="1"/>
  <c r="U140" i="44" s="1"/>
  <c r="V135" i="44" s="1"/>
  <c r="V109" i="44"/>
  <c r="V110" i="44" s="1"/>
  <c r="V117" i="44" s="1"/>
  <c r="V118" i="44" s="1"/>
  <c r="W115" i="44" s="1"/>
  <c r="V97" i="44"/>
  <c r="V98" i="44" s="1"/>
  <c r="W95" i="44" s="1"/>
  <c r="V91" i="44"/>
  <c r="W87" i="44" s="1"/>
  <c r="M171" i="44"/>
  <c r="M157" i="44"/>
  <c r="V45" i="44"/>
  <c r="V170" i="44"/>
  <c r="V147" i="44"/>
  <c r="CV79" i="44"/>
  <c r="CV108" i="44" s="1"/>
  <c r="CV78" i="44"/>
  <c r="CU199" i="44"/>
  <c r="CU168" i="44"/>
  <c r="CU176" i="44" s="1"/>
  <c r="CU178" i="44" s="1"/>
  <c r="CU136" i="44"/>
  <c r="CU144" i="44" s="1"/>
  <c r="CU146" i="44" s="1"/>
  <c r="CU88" i="44"/>
  <c r="CU114" i="44"/>
  <c r="CU116" i="44" s="1"/>
  <c r="CW81" i="44"/>
  <c r="CW77" i="44"/>
  <c r="CW21" i="44"/>
  <c r="CT94" i="44"/>
  <c r="CT96" i="44" s="1"/>
  <c r="CX7" i="44"/>
  <c r="CX20" i="44" s="1"/>
  <c r="CY8" i="44"/>
  <c r="CW13" i="44"/>
  <c r="CX13" i="44" l="1"/>
  <c r="K181" i="44"/>
  <c r="K182" i="44" s="1"/>
  <c r="L177" i="44" s="1"/>
  <c r="L185" i="44" s="1"/>
  <c r="L187" i="44" s="1"/>
  <c r="CY11" i="44"/>
  <c r="CY12" i="44"/>
  <c r="J65" i="44"/>
  <c r="J211" i="44"/>
  <c r="J213" i="44" s="1"/>
  <c r="V111" i="44"/>
  <c r="W107" i="44" s="1"/>
  <c r="W109" i="44" s="1"/>
  <c r="W110" i="44" s="1"/>
  <c r="W117" i="44" s="1"/>
  <c r="W118" i="44" s="1"/>
  <c r="X115" i="44" s="1"/>
  <c r="K208" i="44"/>
  <c r="K205" i="44"/>
  <c r="L198" i="44" s="1"/>
  <c r="V121" i="44"/>
  <c r="V123" i="44" s="1"/>
  <c r="V127" i="44" s="1"/>
  <c r="M46" i="44"/>
  <c r="M159" i="44"/>
  <c r="M62" i="44" s="1"/>
  <c r="M158" i="44"/>
  <c r="M61" i="44" s="1"/>
  <c r="M202" i="44"/>
  <c r="M180" i="44"/>
  <c r="V137" i="44"/>
  <c r="V179" i="44"/>
  <c r="V201" i="44"/>
  <c r="W89" i="44"/>
  <c r="W101" i="44" s="1"/>
  <c r="W103" i="44" s="1"/>
  <c r="CU94" i="44"/>
  <c r="CU96" i="44" s="1"/>
  <c r="CY7" i="44"/>
  <c r="CY20" i="44" s="1"/>
  <c r="CZ8" i="44"/>
  <c r="CV199" i="44"/>
  <c r="CV136" i="44"/>
  <c r="CV144" i="44" s="1"/>
  <c r="CV146" i="44" s="1"/>
  <c r="CV168" i="44"/>
  <c r="CV176" i="44" s="1"/>
  <c r="CV178" i="44" s="1"/>
  <c r="CV88" i="44"/>
  <c r="CV114" i="44"/>
  <c r="CV116" i="44" s="1"/>
  <c r="CX81" i="44"/>
  <c r="CX77" i="44"/>
  <c r="CX21" i="44"/>
  <c r="CW78" i="44"/>
  <c r="CW79" i="44"/>
  <c r="CW108" i="44" s="1"/>
  <c r="CY13" i="44" l="1"/>
  <c r="CZ11" i="44"/>
  <c r="CZ12" i="44"/>
  <c r="J217" i="44"/>
  <c r="J219" i="44"/>
  <c r="J68" i="44" s="1"/>
  <c r="J218" i="44"/>
  <c r="J67" i="44" s="1"/>
  <c r="K210" i="44"/>
  <c r="K66" i="44" s="1"/>
  <c r="K209" i="44"/>
  <c r="K65" i="44" s="1"/>
  <c r="K48" i="44"/>
  <c r="W90" i="44"/>
  <c r="W97" i="44" s="1"/>
  <c r="W98" i="44" s="1"/>
  <c r="X95" i="44" s="1"/>
  <c r="W121" i="44"/>
  <c r="W123" i="44" s="1"/>
  <c r="W127" i="44" s="1"/>
  <c r="W60" i="44" s="1"/>
  <c r="M160" i="44"/>
  <c r="W111" i="44"/>
  <c r="X107" i="44" s="1"/>
  <c r="W138" i="44"/>
  <c r="W126" i="44"/>
  <c r="V60" i="44"/>
  <c r="V128" i="44"/>
  <c r="V130" i="44" s="1"/>
  <c r="V139" i="44" s="1"/>
  <c r="V140" i="44" s="1"/>
  <c r="W135" i="44" s="1"/>
  <c r="L203" i="44"/>
  <c r="L190" i="44"/>
  <c r="L200" i="44"/>
  <c r="CW114" i="44"/>
  <c r="CW116" i="44" s="1"/>
  <c r="CW199" i="44"/>
  <c r="CW168" i="44"/>
  <c r="CW176" i="44" s="1"/>
  <c r="CW178" i="44" s="1"/>
  <c r="CW136" i="44"/>
  <c r="CW144" i="44" s="1"/>
  <c r="CW146" i="44" s="1"/>
  <c r="CW88" i="44"/>
  <c r="CX78" i="44"/>
  <c r="CX79" i="44"/>
  <c r="CX108" i="44" s="1"/>
  <c r="CV94" i="44"/>
  <c r="CV96" i="44" s="1"/>
  <c r="DA8" i="44"/>
  <c r="CZ7" i="44"/>
  <c r="CZ20" i="44" s="1"/>
  <c r="CY81" i="44"/>
  <c r="CY77" i="44"/>
  <c r="CY21" i="44"/>
  <c r="J69" i="44" l="1"/>
  <c r="DA12" i="44"/>
  <c r="DA11" i="44"/>
  <c r="J220" i="44"/>
  <c r="J222" i="44" s="1"/>
  <c r="J49" i="44"/>
  <c r="J50" i="44" s="1"/>
  <c r="K211" i="44"/>
  <c r="K213" i="44" s="1"/>
  <c r="K218" i="44" s="1"/>
  <c r="K67" i="44" s="1"/>
  <c r="L192" i="44"/>
  <c r="L64" i="44" s="1"/>
  <c r="L191" i="44"/>
  <c r="L63" i="44" s="1"/>
  <c r="L47" i="44"/>
  <c r="W91" i="44"/>
  <c r="X87" i="44" s="1"/>
  <c r="M162" i="44"/>
  <c r="M148" i="44"/>
  <c r="M149" i="44" s="1"/>
  <c r="N145" i="44" s="1"/>
  <c r="W45" i="44"/>
  <c r="W128" i="44"/>
  <c r="W130" i="44" s="1"/>
  <c r="W137" i="44"/>
  <c r="W147" i="44"/>
  <c r="W170" i="44"/>
  <c r="X109" i="44"/>
  <c r="X121" i="44" s="1"/>
  <c r="X123" i="44" s="1"/>
  <c r="X127" i="44" s="1"/>
  <c r="X60" i="44" s="1"/>
  <c r="CX114" i="44"/>
  <c r="CX116" i="44" s="1"/>
  <c r="CX199" i="44"/>
  <c r="CX168" i="44"/>
  <c r="CX176" i="44" s="1"/>
  <c r="CX178" i="44" s="1"/>
  <c r="CX136" i="44"/>
  <c r="CX144" i="44" s="1"/>
  <c r="CX146" i="44" s="1"/>
  <c r="CX88" i="44"/>
  <c r="CZ81" i="44"/>
  <c r="CZ77" i="44"/>
  <c r="CZ21" i="44"/>
  <c r="CY78" i="44"/>
  <c r="CY79" i="44"/>
  <c r="CY108" i="44" s="1"/>
  <c r="DB8" i="44"/>
  <c r="DA7" i="44"/>
  <c r="DA20" i="44" s="1"/>
  <c r="CZ13" i="44"/>
  <c r="CW94" i="44"/>
  <c r="CW96" i="44" s="1"/>
  <c r="DB11" i="44" l="1"/>
  <c r="DB12" i="44"/>
  <c r="K217" i="44"/>
  <c r="K49" i="44" s="1"/>
  <c r="K50" i="44" s="1"/>
  <c r="K219" i="44"/>
  <c r="K68" i="44" s="1"/>
  <c r="K69" i="44" s="1"/>
  <c r="L193" i="44"/>
  <c r="L181" i="44" s="1"/>
  <c r="L182" i="44" s="1"/>
  <c r="M177" i="44" s="1"/>
  <c r="X110" i="44"/>
  <c r="X117" i="44" s="1"/>
  <c r="X118" i="44" s="1"/>
  <c r="Y115" i="44" s="1"/>
  <c r="N152" i="44"/>
  <c r="N154" i="44" s="1"/>
  <c r="M172" i="44"/>
  <c r="M173" i="44" s="1"/>
  <c r="N167" i="44" s="1"/>
  <c r="X89" i="44"/>
  <c r="X101" i="44" s="1"/>
  <c r="X103" i="44" s="1"/>
  <c r="W139" i="44"/>
  <c r="W140" i="44" s="1"/>
  <c r="X135" i="44" s="1"/>
  <c r="W179" i="44"/>
  <c r="W201" i="44"/>
  <c r="DA81" i="44"/>
  <c r="DA77" i="44"/>
  <c r="DA21" i="44"/>
  <c r="CZ78" i="44"/>
  <c r="CZ79" i="44"/>
  <c r="CZ108" i="44" s="1"/>
  <c r="DA13" i="44"/>
  <c r="CY114" i="44"/>
  <c r="CY116" i="44" s="1"/>
  <c r="CX94" i="44"/>
  <c r="CX96" i="44" s="1"/>
  <c r="DC8" i="44"/>
  <c r="DB7" i="44"/>
  <c r="DB20" i="44" s="1"/>
  <c r="CY199" i="44"/>
  <c r="CY168" i="44"/>
  <c r="CY176" i="44" s="1"/>
  <c r="CY178" i="44" s="1"/>
  <c r="CY136" i="44"/>
  <c r="CY144" i="44" s="1"/>
  <c r="CY146" i="44" s="1"/>
  <c r="CY88" i="44"/>
  <c r="DB13" i="44" l="1"/>
  <c r="DC11" i="44"/>
  <c r="DC12" i="44"/>
  <c r="K220" i="44"/>
  <c r="K222" i="44" s="1"/>
  <c r="L195" i="44"/>
  <c r="L204" i="44" s="1"/>
  <c r="L205" i="44" s="1"/>
  <c r="M198" i="44" s="1"/>
  <c r="X90" i="44"/>
  <c r="X97" i="44" s="1"/>
  <c r="X98" i="44" s="1"/>
  <c r="Y95" i="44" s="1"/>
  <c r="X111" i="44"/>
  <c r="Y107" i="44" s="1"/>
  <c r="X138" i="44"/>
  <c r="X126" i="44"/>
  <c r="N169" i="44"/>
  <c r="M185" i="44"/>
  <c r="M187" i="44" s="1"/>
  <c r="N171" i="44"/>
  <c r="N157" i="44"/>
  <c r="X137" i="44"/>
  <c r="CZ114" i="44"/>
  <c r="CZ116" i="44" s="1"/>
  <c r="CZ199" i="44"/>
  <c r="CZ168" i="44"/>
  <c r="CZ176" i="44" s="1"/>
  <c r="CZ178" i="44" s="1"/>
  <c r="CZ136" i="44"/>
  <c r="CZ144" i="44" s="1"/>
  <c r="CZ146" i="44" s="1"/>
  <c r="CZ88" i="44"/>
  <c r="DD8" i="44"/>
  <c r="DC7" i="44"/>
  <c r="DC20" i="44" s="1"/>
  <c r="CY94" i="44"/>
  <c r="CY96" i="44" s="1"/>
  <c r="DB81" i="44"/>
  <c r="DB77" i="44"/>
  <c r="DB21" i="44"/>
  <c r="DA79" i="44"/>
  <c r="DA108" i="44" s="1"/>
  <c r="DA78" i="44"/>
  <c r="DC13" i="44" l="1"/>
  <c r="L208" i="44"/>
  <c r="L48" i="44" s="1"/>
  <c r="DD12" i="44"/>
  <c r="DD11" i="44"/>
  <c r="X91" i="44"/>
  <c r="Y87" i="44" s="1"/>
  <c r="Y89" i="44" s="1"/>
  <c r="Y90" i="44" s="1"/>
  <c r="Y97" i="44" s="1"/>
  <c r="Y98" i="44" s="1"/>
  <c r="Z95" i="44" s="1"/>
  <c r="Y109" i="44"/>
  <c r="Y121" i="44" s="1"/>
  <c r="Y123" i="44" s="1"/>
  <c r="Y127" i="44" s="1"/>
  <c r="Y60" i="44" s="1"/>
  <c r="N158" i="44"/>
  <c r="N61" i="44" s="1"/>
  <c r="N159" i="44"/>
  <c r="N62" i="44" s="1"/>
  <c r="N46" i="44"/>
  <c r="M200" i="44"/>
  <c r="N202" i="44"/>
  <c r="N180" i="44"/>
  <c r="X45" i="44"/>
  <c r="X128" i="44"/>
  <c r="X130" i="44" s="1"/>
  <c r="X139" i="44" s="1"/>
  <c r="X140" i="44" s="1"/>
  <c r="Y135" i="44" s="1"/>
  <c r="X170" i="44"/>
  <c r="X147" i="44"/>
  <c r="M203" i="44"/>
  <c r="M190" i="44"/>
  <c r="DC81" i="44"/>
  <c r="DC77" i="44"/>
  <c r="DC21" i="44"/>
  <c r="DA199" i="44"/>
  <c r="DA168" i="44"/>
  <c r="DA176" i="44" s="1"/>
  <c r="DA178" i="44" s="1"/>
  <c r="DA136" i="44"/>
  <c r="DA144" i="44" s="1"/>
  <c r="DA146" i="44" s="1"/>
  <c r="DA88" i="44"/>
  <c r="DA114" i="44"/>
  <c r="DA116" i="44" s="1"/>
  <c r="CZ94" i="44"/>
  <c r="CZ96" i="44" s="1"/>
  <c r="DE8" i="44"/>
  <c r="DD7" i="44"/>
  <c r="DD20" i="44" s="1"/>
  <c r="DB79" i="44"/>
  <c r="DB108" i="44" s="1"/>
  <c r="DB78" i="44"/>
  <c r="L209" i="44" l="1"/>
  <c r="L65" i="44" s="1"/>
  <c r="L210" i="44"/>
  <c r="L66" i="44" s="1"/>
  <c r="DE11" i="44"/>
  <c r="DE12" i="44"/>
  <c r="Y110" i="44"/>
  <c r="Y117" i="44" s="1"/>
  <c r="Y118" i="44" s="1"/>
  <c r="Z115" i="44" s="1"/>
  <c r="Y91" i="44"/>
  <c r="Z87" i="44" s="1"/>
  <c r="Z89" i="44" s="1"/>
  <c r="Z101" i="44" s="1"/>
  <c r="Z103" i="44" s="1"/>
  <c r="N160" i="44"/>
  <c r="N162" i="44" s="1"/>
  <c r="N172" i="44" s="1"/>
  <c r="N173" i="44" s="1"/>
  <c r="O167" i="44" s="1"/>
  <c r="Y101" i="44"/>
  <c r="Y103" i="44" s="1"/>
  <c r="Y138" i="44" s="1"/>
  <c r="Y137" i="44"/>
  <c r="M191" i="44"/>
  <c r="M63" i="44" s="1"/>
  <c r="M192" i="44"/>
  <c r="M64" i="44" s="1"/>
  <c r="M47" i="44"/>
  <c r="X179" i="44"/>
  <c r="X201" i="44"/>
  <c r="DA94" i="44"/>
  <c r="DA96" i="44" s="1"/>
  <c r="DB199" i="44"/>
  <c r="DB168" i="44"/>
  <c r="DB176" i="44" s="1"/>
  <c r="DB178" i="44" s="1"/>
  <c r="DB136" i="44"/>
  <c r="DB144" i="44" s="1"/>
  <c r="DB146" i="44" s="1"/>
  <c r="DB88" i="44"/>
  <c r="DB114" i="44"/>
  <c r="DB116" i="44" s="1"/>
  <c r="DF8" i="44"/>
  <c r="DE7" i="44"/>
  <c r="DE20" i="44" s="1"/>
  <c r="DD81" i="44"/>
  <c r="DD77" i="44"/>
  <c r="DD21" i="44"/>
  <c r="DD13" i="44"/>
  <c r="DC79" i="44"/>
  <c r="DC108" i="44" s="1"/>
  <c r="DC78" i="44"/>
  <c r="DE13" i="44" l="1"/>
  <c r="L211" i="44"/>
  <c r="L213" i="44" s="1"/>
  <c r="L218" i="44" s="1"/>
  <c r="L67" i="44" s="1"/>
  <c r="DF12" i="44"/>
  <c r="DF11" i="44"/>
  <c r="Y126" i="44"/>
  <c r="Y45" i="44" s="1"/>
  <c r="Z90" i="44"/>
  <c r="M193" i="44"/>
  <c r="M195" i="44" s="1"/>
  <c r="M204" i="44" s="1"/>
  <c r="N148" i="44"/>
  <c r="N149" i="44" s="1"/>
  <c r="O145" i="44" s="1"/>
  <c r="O152" i="44" s="1"/>
  <c r="O154" i="44" s="1"/>
  <c r="Y111" i="44"/>
  <c r="Z107" i="44" s="1"/>
  <c r="O169" i="44"/>
  <c r="Z138" i="44"/>
  <c r="Z126" i="44"/>
  <c r="Y170" i="44"/>
  <c r="Y147" i="44"/>
  <c r="DC114" i="44"/>
  <c r="DC116" i="44" s="1"/>
  <c r="DB94" i="44"/>
  <c r="DB96" i="44" s="1"/>
  <c r="DE81" i="44"/>
  <c r="DE77" i="44"/>
  <c r="DE21" i="44"/>
  <c r="DD79" i="44"/>
  <c r="DD108" i="44" s="1"/>
  <c r="DD78" i="44"/>
  <c r="DG8" i="44"/>
  <c r="DF7" i="44"/>
  <c r="DF20" i="44" s="1"/>
  <c r="DC199" i="44"/>
  <c r="DC168" i="44"/>
  <c r="DC176" i="44" s="1"/>
  <c r="DC178" i="44" s="1"/>
  <c r="DC136" i="44"/>
  <c r="DC144" i="44" s="1"/>
  <c r="DC146" i="44" s="1"/>
  <c r="DC88" i="44"/>
  <c r="DF13" i="44" l="1"/>
  <c r="L217" i="44"/>
  <c r="L49" i="44" s="1"/>
  <c r="L50" i="44" s="1"/>
  <c r="L219" i="44"/>
  <c r="L68" i="44" s="1"/>
  <c r="L69" i="44" s="1"/>
  <c r="DG11" i="44"/>
  <c r="DG12" i="44"/>
  <c r="Y128" i="44"/>
  <c r="Y130" i="44" s="1"/>
  <c r="Y139" i="44" s="1"/>
  <c r="Y140" i="44" s="1"/>
  <c r="Z135" i="44" s="1"/>
  <c r="Z137" i="44" s="1"/>
  <c r="M181" i="44"/>
  <c r="M182" i="44" s="1"/>
  <c r="N177" i="44" s="1"/>
  <c r="N185" i="44" s="1"/>
  <c r="N187" i="44" s="1"/>
  <c r="Z109" i="44"/>
  <c r="Z121" i="44" s="1"/>
  <c r="Z123" i="44" s="1"/>
  <c r="Z127" i="44" s="1"/>
  <c r="Z60" i="44" s="1"/>
  <c r="Z97" i="44"/>
  <c r="Z98" i="44" s="1"/>
  <c r="AA95" i="44" s="1"/>
  <c r="Z91" i="44"/>
  <c r="AA87" i="44" s="1"/>
  <c r="Y201" i="44"/>
  <c r="Y179" i="44"/>
  <c r="M208" i="44"/>
  <c r="M205" i="44"/>
  <c r="N198" i="44" s="1"/>
  <c r="O171" i="44"/>
  <c r="O157" i="44"/>
  <c r="Z147" i="44"/>
  <c r="Z170" i="44"/>
  <c r="Z45" i="44"/>
  <c r="DD114" i="44"/>
  <c r="DD116" i="44" s="1"/>
  <c r="DC94" i="44"/>
  <c r="DC96" i="44" s="1"/>
  <c r="DF77" i="44"/>
  <c r="DF81" i="44"/>
  <c r="DF21" i="44"/>
  <c r="DH8" i="44"/>
  <c r="DG7" i="44"/>
  <c r="DG20" i="44" s="1"/>
  <c r="DE78" i="44"/>
  <c r="DE79" i="44"/>
  <c r="DE108" i="44" s="1"/>
  <c r="DD199" i="44"/>
  <c r="DD136" i="44"/>
  <c r="DD144" i="44" s="1"/>
  <c r="DD146" i="44" s="1"/>
  <c r="DD168" i="44"/>
  <c r="DD176" i="44" s="1"/>
  <c r="DD178" i="44" s="1"/>
  <c r="DD88" i="44"/>
  <c r="DG13" i="44" l="1"/>
  <c r="L220" i="44"/>
  <c r="L222" i="44" s="1"/>
  <c r="DH11" i="44"/>
  <c r="DH12" i="44"/>
  <c r="AA89" i="44"/>
  <c r="Z128" i="44"/>
  <c r="Z130" i="44" s="1"/>
  <c r="Z139" i="44" s="1"/>
  <c r="Z140" i="44" s="1"/>
  <c r="AA135" i="44" s="1"/>
  <c r="AA137" i="44" s="1"/>
  <c r="Z110" i="44"/>
  <c r="Z117" i="44" s="1"/>
  <c r="Z118" i="44" s="1"/>
  <c r="AA115" i="44" s="1"/>
  <c r="N200" i="44"/>
  <c r="M210" i="44"/>
  <c r="M66" i="44" s="1"/>
  <c r="M209" i="44"/>
  <c r="M65" i="44" s="1"/>
  <c r="M48" i="44"/>
  <c r="Z179" i="44"/>
  <c r="Z201" i="44"/>
  <c r="O202" i="44"/>
  <c r="O180" i="44"/>
  <c r="N203" i="44"/>
  <c r="N190" i="44"/>
  <c r="O46" i="44"/>
  <c r="O159" i="44"/>
  <c r="O62" i="44" s="1"/>
  <c r="O158" i="44"/>
  <c r="O61" i="44" s="1"/>
  <c r="DI8" i="44"/>
  <c r="DH7" i="44"/>
  <c r="DH20" i="44" s="1"/>
  <c r="DG81" i="44"/>
  <c r="DG77" i="44"/>
  <c r="DG21" i="44"/>
  <c r="DE114" i="44"/>
  <c r="DE116" i="44" s="1"/>
  <c r="DE199" i="44"/>
  <c r="DE168" i="44"/>
  <c r="DE176" i="44" s="1"/>
  <c r="DE178" i="44" s="1"/>
  <c r="DE136" i="44"/>
  <c r="DE144" i="44" s="1"/>
  <c r="DE146" i="44" s="1"/>
  <c r="DE88" i="44"/>
  <c r="DD94" i="44"/>
  <c r="DD96" i="44" s="1"/>
  <c r="DF78" i="44"/>
  <c r="DF79" i="44"/>
  <c r="DF108" i="44" s="1"/>
  <c r="DH13" i="44" l="1"/>
  <c r="DI12" i="44"/>
  <c r="DI11" i="44"/>
  <c r="Z111" i="44"/>
  <c r="AA107" i="44" s="1"/>
  <c r="M211" i="44"/>
  <c r="M213" i="44" s="1"/>
  <c r="M217" i="44" s="1"/>
  <c r="AA90" i="44"/>
  <c r="AA97" i="44" s="1"/>
  <c r="AA98" i="44" s="1"/>
  <c r="AB95" i="44" s="1"/>
  <c r="AA101" i="44"/>
  <c r="AA103" i="44" s="1"/>
  <c r="N191" i="44"/>
  <c r="N63" i="44" s="1"/>
  <c r="N47" i="44"/>
  <c r="N192" i="44"/>
  <c r="N64" i="44" s="1"/>
  <c r="O160" i="44"/>
  <c r="DF114" i="44"/>
  <c r="DF116" i="44" s="1"/>
  <c r="DF199" i="44"/>
  <c r="DF168" i="44"/>
  <c r="DF176" i="44" s="1"/>
  <c r="DF178" i="44" s="1"/>
  <c r="DF136" i="44"/>
  <c r="DF144" i="44" s="1"/>
  <c r="DF146" i="44" s="1"/>
  <c r="DF88" i="44"/>
  <c r="DH81" i="44"/>
  <c r="DH77" i="44"/>
  <c r="DH21" i="44"/>
  <c r="DE94" i="44"/>
  <c r="DE96" i="44" s="1"/>
  <c r="DG78" i="44"/>
  <c r="DG79" i="44"/>
  <c r="DG108" i="44" s="1"/>
  <c r="DJ8" i="44"/>
  <c r="DI7" i="44"/>
  <c r="DI20" i="44" s="1"/>
  <c r="DJ11" i="44" l="1"/>
  <c r="DJ12" i="44"/>
  <c r="M218" i="44"/>
  <c r="M67" i="44" s="1"/>
  <c r="M219" i="44"/>
  <c r="M68" i="44" s="1"/>
  <c r="AA91" i="44"/>
  <c r="AB87" i="44" s="1"/>
  <c r="AB89" i="44" s="1"/>
  <c r="AA138" i="44"/>
  <c r="AA126" i="44"/>
  <c r="N193" i="44"/>
  <c r="N195" i="44" s="1"/>
  <c r="N204" i="44" s="1"/>
  <c r="AA109" i="44"/>
  <c r="AA110" i="44" s="1"/>
  <c r="AA117" i="44" s="1"/>
  <c r="AA118" i="44" s="1"/>
  <c r="AB115" i="44" s="1"/>
  <c r="O162" i="44"/>
  <c r="O172" i="44" s="1"/>
  <c r="O173" i="44" s="1"/>
  <c r="P167" i="44" s="1"/>
  <c r="O148" i="44"/>
  <c r="O149" i="44" s="1"/>
  <c r="P145" i="44" s="1"/>
  <c r="M49" i="44"/>
  <c r="M50" i="44" s="1"/>
  <c r="DH78" i="44"/>
  <c r="DH79" i="44"/>
  <c r="DH108" i="44" s="1"/>
  <c r="DI81" i="44"/>
  <c r="DI77" i="44"/>
  <c r="DI21" i="44"/>
  <c r="DF94" i="44"/>
  <c r="DF96" i="44" s="1"/>
  <c r="DI13" i="44"/>
  <c r="DG114" i="44"/>
  <c r="DG116" i="44" s="1"/>
  <c r="DG199" i="44"/>
  <c r="DG168" i="44"/>
  <c r="DG176" i="44" s="1"/>
  <c r="DG178" i="44" s="1"/>
  <c r="DG136" i="44"/>
  <c r="DG144" i="44" s="1"/>
  <c r="DG146" i="44" s="1"/>
  <c r="DG88" i="44"/>
  <c r="DJ7" i="44"/>
  <c r="DJ20" i="44" s="1"/>
  <c r="DK8" i="44"/>
  <c r="DJ13" i="44" l="1"/>
  <c r="M69" i="44"/>
  <c r="DK11" i="44"/>
  <c r="DK12" i="44"/>
  <c r="M220" i="44"/>
  <c r="M222" i="44" s="1"/>
  <c r="AB90" i="44"/>
  <c r="AB97" i="44" s="1"/>
  <c r="AB98" i="44" s="1"/>
  <c r="AC95" i="44" s="1"/>
  <c r="AB101" i="44"/>
  <c r="AB103" i="44" s="1"/>
  <c r="AB126" i="44" s="1"/>
  <c r="N181" i="44"/>
  <c r="N182" i="44" s="1"/>
  <c r="O177" i="44" s="1"/>
  <c r="O185" i="44" s="1"/>
  <c r="O187" i="44" s="1"/>
  <c r="AA121" i="44"/>
  <c r="AA123" i="44" s="1"/>
  <c r="AA127" i="44" s="1"/>
  <c r="AA60" i="44" s="1"/>
  <c r="AA45" i="44"/>
  <c r="AA111" i="44"/>
  <c r="AB107" i="44" s="1"/>
  <c r="AA170" i="44"/>
  <c r="AA147" i="44"/>
  <c r="P152" i="44"/>
  <c r="P154" i="44" s="1"/>
  <c r="P169" i="44"/>
  <c r="N208" i="44"/>
  <c r="N205" i="44"/>
  <c r="O198" i="44" s="1"/>
  <c r="DL8" i="44"/>
  <c r="DK7" i="44"/>
  <c r="DK20" i="44" s="1"/>
  <c r="DH199" i="44"/>
  <c r="DH168" i="44"/>
  <c r="DH176" i="44" s="1"/>
  <c r="DH178" i="44" s="1"/>
  <c r="DH136" i="44"/>
  <c r="DH144" i="44" s="1"/>
  <c r="DH146" i="44" s="1"/>
  <c r="DH88" i="44"/>
  <c r="DI79" i="44"/>
  <c r="DI108" i="44" s="1"/>
  <c r="DI78" i="44"/>
  <c r="DG94" i="44"/>
  <c r="DG96" i="44" s="1"/>
  <c r="DJ81" i="44"/>
  <c r="DJ77" i="44"/>
  <c r="DJ21" i="44"/>
  <c r="DH114" i="44"/>
  <c r="DH116" i="44" s="1"/>
  <c r="DL11" i="44" l="1"/>
  <c r="DL12" i="44"/>
  <c r="AB91" i="44"/>
  <c r="AC87" i="44" s="1"/>
  <c r="AC89" i="44" s="1"/>
  <c r="AB138" i="44"/>
  <c r="AB147" i="44" s="1"/>
  <c r="AA128" i="44"/>
  <c r="AA130" i="44" s="1"/>
  <c r="AA139" i="44" s="1"/>
  <c r="AA140" i="44" s="1"/>
  <c r="AB135" i="44" s="1"/>
  <c r="AB137" i="44" s="1"/>
  <c r="AA179" i="44"/>
  <c r="AA201" i="44"/>
  <c r="AB109" i="44"/>
  <c r="AB110" i="44" s="1"/>
  <c r="AB45" i="44"/>
  <c r="P157" i="44"/>
  <c r="P171" i="44"/>
  <c r="O200" i="44"/>
  <c r="N209" i="44"/>
  <c r="N65" i="44" s="1"/>
  <c r="N48" i="44"/>
  <c r="N210" i="44"/>
  <c r="N66" i="44" s="1"/>
  <c r="O203" i="44"/>
  <c r="O190" i="44"/>
  <c r="DK13" i="44"/>
  <c r="DK77" i="44"/>
  <c r="DK81" i="44"/>
  <c r="DK21" i="44"/>
  <c r="DM8" i="44"/>
  <c r="DL7" i="44"/>
  <c r="DL20" i="44" s="1"/>
  <c r="DI199" i="44"/>
  <c r="DI168" i="44"/>
  <c r="DI176" i="44" s="1"/>
  <c r="DI178" i="44" s="1"/>
  <c r="DI136" i="44"/>
  <c r="DI144" i="44" s="1"/>
  <c r="DI146" i="44" s="1"/>
  <c r="DI88" i="44"/>
  <c r="DI114" i="44"/>
  <c r="DI116" i="44" s="1"/>
  <c r="DH94" i="44"/>
  <c r="DH96" i="44" s="1"/>
  <c r="DJ79" i="44"/>
  <c r="DJ108" i="44" s="1"/>
  <c r="DJ78" i="44"/>
  <c r="DM12" i="44" l="1"/>
  <c r="DM11" i="44"/>
  <c r="AB170" i="44"/>
  <c r="AB179" i="44" s="1"/>
  <c r="AC90" i="44"/>
  <c r="AC97" i="44" s="1"/>
  <c r="AC98" i="44" s="1"/>
  <c r="AD95" i="44" s="1"/>
  <c r="AC101" i="44"/>
  <c r="AC103" i="44" s="1"/>
  <c r="AB121" i="44"/>
  <c r="AB123" i="44" s="1"/>
  <c r="AB127" i="44" s="1"/>
  <c r="AB117" i="44"/>
  <c r="AB118" i="44" s="1"/>
  <c r="AC115" i="44" s="1"/>
  <c r="AB111" i="44"/>
  <c r="AC107" i="44" s="1"/>
  <c r="N211" i="44"/>
  <c r="N213" i="44" s="1"/>
  <c r="N217" i="44" s="1"/>
  <c r="P202" i="44"/>
  <c r="P180" i="44"/>
  <c r="O47" i="44"/>
  <c r="O192" i="44"/>
  <c r="O64" i="44" s="1"/>
  <c r="O191" i="44"/>
  <c r="O63" i="44" s="1"/>
  <c r="P158" i="44"/>
  <c r="P61" i="44" s="1"/>
  <c r="P159" i="44"/>
  <c r="P62" i="44" s="1"/>
  <c r="P46" i="44"/>
  <c r="DL13" i="44"/>
  <c r="DL81" i="44"/>
  <c r="DL77" i="44"/>
  <c r="DL21" i="44"/>
  <c r="DI94" i="44"/>
  <c r="DI96" i="44" s="1"/>
  <c r="DM7" i="44"/>
  <c r="DM20" i="44" s="1"/>
  <c r="DN8" i="44"/>
  <c r="DJ114" i="44"/>
  <c r="DJ116" i="44" s="1"/>
  <c r="DK79" i="44"/>
  <c r="DK108" i="44" s="1"/>
  <c r="DK78" i="44"/>
  <c r="DJ199" i="44"/>
  <c r="DJ168" i="44"/>
  <c r="DJ176" i="44" s="1"/>
  <c r="DJ178" i="44" s="1"/>
  <c r="DJ136" i="44"/>
  <c r="DJ144" i="44" s="1"/>
  <c r="DJ146" i="44" s="1"/>
  <c r="DJ88" i="44"/>
  <c r="DN12" i="44" l="1"/>
  <c r="DN11" i="44"/>
  <c r="AB201" i="44"/>
  <c r="AC91" i="44"/>
  <c r="AD87" i="44" s="1"/>
  <c r="AD89" i="44" s="1"/>
  <c r="AD90" i="44" s="1"/>
  <c r="AD97" i="44" s="1"/>
  <c r="AD98" i="44" s="1"/>
  <c r="AE95" i="44" s="1"/>
  <c r="AC138" i="44"/>
  <c r="AC126" i="44"/>
  <c r="AC45" i="44" s="1"/>
  <c r="N219" i="44"/>
  <c r="N68" i="44" s="1"/>
  <c r="O193" i="44"/>
  <c r="O195" i="44" s="1"/>
  <c r="O204" i="44" s="1"/>
  <c r="AB60" i="44"/>
  <c r="AB128" i="44"/>
  <c r="AB130" i="44" s="1"/>
  <c r="AB139" i="44" s="1"/>
  <c r="AB140" i="44" s="1"/>
  <c r="AC135" i="44" s="1"/>
  <c r="AC137" i="44" s="1"/>
  <c r="N218" i="44"/>
  <c r="N67" i="44" s="1"/>
  <c r="AC109" i="44"/>
  <c r="AC121" i="44" s="1"/>
  <c r="AC123" i="44" s="1"/>
  <c r="AC127" i="44" s="1"/>
  <c r="N49" i="44"/>
  <c r="N50" i="44" s="1"/>
  <c r="P160" i="44"/>
  <c r="DL79" i="44"/>
  <c r="DL108" i="44" s="1"/>
  <c r="DL78" i="44"/>
  <c r="DN7" i="44"/>
  <c r="DN20" i="44" s="1"/>
  <c r="DO8" i="44"/>
  <c r="DM77" i="44"/>
  <c r="DM81" i="44"/>
  <c r="DM21" i="44"/>
  <c r="DK114" i="44"/>
  <c r="DK116" i="44" s="1"/>
  <c r="DM13" i="44"/>
  <c r="DK199" i="44"/>
  <c r="DK168" i="44"/>
  <c r="DK176" i="44" s="1"/>
  <c r="DK178" i="44" s="1"/>
  <c r="DK136" i="44"/>
  <c r="DK144" i="44" s="1"/>
  <c r="DK146" i="44" s="1"/>
  <c r="DK88" i="44"/>
  <c r="DJ94" i="44"/>
  <c r="DJ96" i="44" s="1"/>
  <c r="DO11" i="44" l="1"/>
  <c r="DO12" i="44"/>
  <c r="N69" i="44"/>
  <c r="AD101" i="44"/>
  <c r="AD103" i="44" s="1"/>
  <c r="AD126" i="44" s="1"/>
  <c r="AD45" i="44" s="1"/>
  <c r="AD91" i="44"/>
  <c r="AE87" i="44" s="1"/>
  <c r="AE89" i="44" s="1"/>
  <c r="AE101" i="44" s="1"/>
  <c r="AE103" i="44" s="1"/>
  <c r="AC110" i="44"/>
  <c r="AC117" i="44" s="1"/>
  <c r="AC118" i="44" s="1"/>
  <c r="AD115" i="44" s="1"/>
  <c r="O181" i="44"/>
  <c r="O182" i="44" s="1"/>
  <c r="P177" i="44" s="1"/>
  <c r="P185" i="44" s="1"/>
  <c r="AC170" i="44"/>
  <c r="AC147" i="44"/>
  <c r="N220" i="44"/>
  <c r="N222" i="44" s="1"/>
  <c r="AC60" i="44"/>
  <c r="AC128" i="44"/>
  <c r="AC130" i="44" s="1"/>
  <c r="AC139" i="44" s="1"/>
  <c r="AC140" i="44" s="1"/>
  <c r="AD135" i="44" s="1"/>
  <c r="AD137" i="44" s="1"/>
  <c r="P162" i="44"/>
  <c r="P172" i="44" s="1"/>
  <c r="P173" i="44" s="1"/>
  <c r="Q167" i="44" s="1"/>
  <c r="Q169" i="44" s="1"/>
  <c r="P148" i="44"/>
  <c r="P149" i="44" s="1"/>
  <c r="Q145" i="44" s="1"/>
  <c r="O208" i="44"/>
  <c r="O205" i="44"/>
  <c r="P198" i="44" s="1"/>
  <c r="DO7" i="44"/>
  <c r="DO20" i="44" s="1"/>
  <c r="DP8" i="44"/>
  <c r="DK94" i="44"/>
  <c r="DK96" i="44" s="1"/>
  <c r="DN77" i="44"/>
  <c r="DN81" i="44"/>
  <c r="DN21" i="44"/>
  <c r="DM78" i="44"/>
  <c r="DM79" i="44"/>
  <c r="DM108" i="44" s="1"/>
  <c r="DN13" i="44"/>
  <c r="DL199" i="44"/>
  <c r="DL168" i="44"/>
  <c r="DL176" i="44" s="1"/>
  <c r="DL178" i="44" s="1"/>
  <c r="DL136" i="44"/>
  <c r="DL144" i="44" s="1"/>
  <c r="DL146" i="44" s="1"/>
  <c r="DL88" i="44"/>
  <c r="DL114" i="44"/>
  <c r="DL116" i="44" s="1"/>
  <c r="DP12" i="44" l="1"/>
  <c r="DP11" i="44"/>
  <c r="AC111" i="44"/>
  <c r="AD107" i="44" s="1"/>
  <c r="AD109" i="44" s="1"/>
  <c r="AD110" i="44" s="1"/>
  <c r="AD117" i="44" s="1"/>
  <c r="AD118" i="44" s="1"/>
  <c r="AE115" i="44" s="1"/>
  <c r="AD138" i="44"/>
  <c r="AD170" i="44" s="1"/>
  <c r="AD179" i="44" s="1"/>
  <c r="AC201" i="44"/>
  <c r="AC179" i="44"/>
  <c r="AE90" i="44"/>
  <c r="AE126" i="44"/>
  <c r="AE138" i="44"/>
  <c r="Q152" i="44"/>
  <c r="Q154" i="44" s="1"/>
  <c r="O210" i="44"/>
  <c r="O66" i="44" s="1"/>
  <c r="O209" i="44"/>
  <c r="O65" i="44" s="1"/>
  <c r="O48" i="44"/>
  <c r="P200" i="44"/>
  <c r="P187" i="44"/>
  <c r="DL94" i="44"/>
  <c r="DL96" i="44" s="1"/>
  <c r="DM114" i="44"/>
  <c r="DM116" i="44" s="1"/>
  <c r="DP7" i="44"/>
  <c r="DP20" i="44" s="1"/>
  <c r="DQ8" i="44"/>
  <c r="DO81" i="44"/>
  <c r="DO77" i="44"/>
  <c r="DO21" i="44"/>
  <c r="DM199" i="44"/>
  <c r="DM168" i="44"/>
  <c r="DM176" i="44" s="1"/>
  <c r="DM178" i="44" s="1"/>
  <c r="DM136" i="44"/>
  <c r="DM144" i="44" s="1"/>
  <c r="DM146" i="44" s="1"/>
  <c r="DM88" i="44"/>
  <c r="DN78" i="44"/>
  <c r="DN79" i="44"/>
  <c r="DN108" i="44" s="1"/>
  <c r="DO13" i="44"/>
  <c r="DQ11" i="44" l="1"/>
  <c r="DQ12" i="44"/>
  <c r="AD201" i="44"/>
  <c r="AD147" i="44"/>
  <c r="AE97" i="44"/>
  <c r="AE98" i="44" s="1"/>
  <c r="AF95" i="44" s="1"/>
  <c r="AE91" i="44"/>
  <c r="AF87" i="44" s="1"/>
  <c r="AF89" i="44" s="1"/>
  <c r="AE170" i="44"/>
  <c r="AE147" i="44"/>
  <c r="AE45" i="44"/>
  <c r="AD121" i="44"/>
  <c r="AD123" i="44" s="1"/>
  <c r="AD127" i="44" s="1"/>
  <c r="AD111" i="44"/>
  <c r="AE107" i="44" s="1"/>
  <c r="P190" i="44"/>
  <c r="P203" i="44"/>
  <c r="Q157" i="44"/>
  <c r="Q171" i="44"/>
  <c r="O211" i="44"/>
  <c r="O213" i="44" s="1"/>
  <c r="DR8" i="44"/>
  <c r="DQ7" i="44"/>
  <c r="DQ20" i="44" s="1"/>
  <c r="DP81" i="44"/>
  <c r="DP77" i="44"/>
  <c r="DP21" i="44"/>
  <c r="DO78" i="44"/>
  <c r="DO79" i="44"/>
  <c r="DO108" i="44" s="1"/>
  <c r="DN114" i="44"/>
  <c r="DN116" i="44" s="1"/>
  <c r="DN199" i="44"/>
  <c r="DN168" i="44"/>
  <c r="DN176" i="44" s="1"/>
  <c r="DN178" i="44" s="1"/>
  <c r="DN136" i="44"/>
  <c r="DN144" i="44" s="1"/>
  <c r="DN146" i="44" s="1"/>
  <c r="DN88" i="44"/>
  <c r="DM94" i="44"/>
  <c r="DM96" i="44" s="1"/>
  <c r="DP13" i="44"/>
  <c r="AF101" i="44" l="1"/>
  <c r="AF103" i="44" s="1"/>
  <c r="AF138" i="44" s="1"/>
  <c r="AF170" i="44" s="1"/>
  <c r="DR11" i="44"/>
  <c r="DR12" i="44"/>
  <c r="AF90" i="44"/>
  <c r="AF97" i="44" s="1"/>
  <c r="AF98" i="44" s="1"/>
  <c r="AG95" i="44" s="1"/>
  <c r="AE109" i="44"/>
  <c r="AE121" i="44" s="1"/>
  <c r="AE123" i="44" s="1"/>
  <c r="AE127" i="44" s="1"/>
  <c r="AD60" i="44"/>
  <c r="AD128" i="44"/>
  <c r="AD130" i="44" s="1"/>
  <c r="AD139" i="44" s="1"/>
  <c r="AD140" i="44" s="1"/>
  <c r="AE135" i="44" s="1"/>
  <c r="AE137" i="44" s="1"/>
  <c r="AE179" i="44"/>
  <c r="AE201" i="44"/>
  <c r="Q180" i="44"/>
  <c r="Q202" i="44"/>
  <c r="Q159" i="44"/>
  <c r="Q62" i="44" s="1"/>
  <c r="Q158" i="44"/>
  <c r="Q61" i="44" s="1"/>
  <c r="Q46" i="44"/>
  <c r="P192" i="44"/>
  <c r="P64" i="44" s="1"/>
  <c r="P191" i="44"/>
  <c r="P63" i="44" s="1"/>
  <c r="P47" i="44"/>
  <c r="O219" i="44"/>
  <c r="O68" i="44" s="1"/>
  <c r="O217" i="44"/>
  <c r="O218" i="44"/>
  <c r="O67" i="44" s="1"/>
  <c r="DO199" i="44"/>
  <c r="DO168" i="44"/>
  <c r="DO176" i="44" s="1"/>
  <c r="DO178" i="44" s="1"/>
  <c r="DO136" i="44"/>
  <c r="DO144" i="44" s="1"/>
  <c r="DO146" i="44" s="1"/>
  <c r="DO88" i="44"/>
  <c r="DN94" i="44"/>
  <c r="DN96" i="44" s="1"/>
  <c r="DP78" i="44"/>
  <c r="DP79" i="44"/>
  <c r="DP108" i="44" s="1"/>
  <c r="DQ81" i="44"/>
  <c r="DQ77" i="44"/>
  <c r="DQ21" i="44"/>
  <c r="DQ13" i="44"/>
  <c r="DO114" i="44"/>
  <c r="DO116" i="44" s="1"/>
  <c r="DS8" i="44"/>
  <c r="DR7" i="44"/>
  <c r="DR20" i="44" s="1"/>
  <c r="DR13" i="44" l="1"/>
  <c r="AF126" i="44"/>
  <c r="AF45" i="44" s="1"/>
  <c r="AF147" i="44"/>
  <c r="DS11" i="44"/>
  <c r="DS12" i="44"/>
  <c r="AF91" i="44"/>
  <c r="AG87" i="44" s="1"/>
  <c r="AG89" i="44" s="1"/>
  <c r="AG101" i="44" s="1"/>
  <c r="AG103" i="44" s="1"/>
  <c r="AE110" i="44"/>
  <c r="AE117" i="44" s="1"/>
  <c r="AE118" i="44" s="1"/>
  <c r="AF115" i="44" s="1"/>
  <c r="AE60" i="44"/>
  <c r="AE128" i="44"/>
  <c r="AE130" i="44" s="1"/>
  <c r="AE139" i="44" s="1"/>
  <c r="AE140" i="44" s="1"/>
  <c r="AF135" i="44" s="1"/>
  <c r="AF137" i="44" s="1"/>
  <c r="Q160" i="44"/>
  <c r="Q162" i="44" s="1"/>
  <c r="Q172" i="44" s="1"/>
  <c r="Q173" i="44" s="1"/>
  <c r="R167" i="44" s="1"/>
  <c r="O69" i="44"/>
  <c r="AF179" i="44"/>
  <c r="AF201" i="44"/>
  <c r="P193" i="44"/>
  <c r="O220" i="44"/>
  <c r="O222" i="44" s="1"/>
  <c r="O49" i="44"/>
  <c r="O50" i="44" s="1"/>
  <c r="DQ79" i="44"/>
  <c r="DQ108" i="44" s="1"/>
  <c r="DQ78" i="44"/>
  <c r="DR81" i="44"/>
  <c r="DR77" i="44"/>
  <c r="DR21" i="44"/>
  <c r="DS7" i="44"/>
  <c r="DS20" i="44" s="1"/>
  <c r="DT8" i="44"/>
  <c r="DP114" i="44"/>
  <c r="DP116" i="44" s="1"/>
  <c r="DP199" i="44"/>
  <c r="DP168" i="44"/>
  <c r="DP176" i="44" s="1"/>
  <c r="DP178" i="44" s="1"/>
  <c r="DP88" i="44"/>
  <c r="DP136" i="44"/>
  <c r="DP144" i="44" s="1"/>
  <c r="DP146" i="44" s="1"/>
  <c r="DO94" i="44"/>
  <c r="DO96" i="44" s="1"/>
  <c r="DT12" i="44" l="1"/>
  <c r="DT11" i="44"/>
  <c r="AE111" i="44"/>
  <c r="AF107" i="44" s="1"/>
  <c r="AF109" i="44" s="1"/>
  <c r="AF121" i="44" s="1"/>
  <c r="AF123" i="44" s="1"/>
  <c r="AF127" i="44" s="1"/>
  <c r="AG90" i="44"/>
  <c r="AG97" i="44" s="1"/>
  <c r="AG98" i="44" s="1"/>
  <c r="AH95" i="44" s="1"/>
  <c r="Q148" i="44"/>
  <c r="Q149" i="44" s="1"/>
  <c r="R145" i="44" s="1"/>
  <c r="R152" i="44" s="1"/>
  <c r="R154" i="44" s="1"/>
  <c r="AG138" i="44"/>
  <c r="AG126" i="44"/>
  <c r="P195" i="44"/>
  <c r="P204" i="44" s="1"/>
  <c r="P181" i="44"/>
  <c r="P182" i="44" s="1"/>
  <c r="Q177" i="44" s="1"/>
  <c r="R169" i="44"/>
  <c r="DQ114" i="44"/>
  <c r="DQ116" i="44" s="1"/>
  <c r="DP94" i="44"/>
  <c r="DP96" i="44" s="1"/>
  <c r="DU8" i="44"/>
  <c r="DT7" i="44"/>
  <c r="DT20" i="44" s="1"/>
  <c r="DR79" i="44"/>
  <c r="DR108" i="44" s="1"/>
  <c r="DR78" i="44"/>
  <c r="DS81" i="44"/>
  <c r="DS77" i="44"/>
  <c r="DS21" i="44"/>
  <c r="DS13" i="44"/>
  <c r="DQ199" i="44"/>
  <c r="DQ168" i="44"/>
  <c r="DQ176" i="44" s="1"/>
  <c r="DQ178" i="44" s="1"/>
  <c r="DQ136" i="44"/>
  <c r="DQ144" i="44" s="1"/>
  <c r="DQ146" i="44" s="1"/>
  <c r="DQ88" i="44"/>
  <c r="DT13" i="44" l="1"/>
  <c r="DU12" i="44"/>
  <c r="DU11" i="44"/>
  <c r="AG91" i="44"/>
  <c r="AH87" i="44" s="1"/>
  <c r="AH89" i="44" s="1"/>
  <c r="AH90" i="44" s="1"/>
  <c r="AH97" i="44" s="1"/>
  <c r="AH98" i="44" s="1"/>
  <c r="AI95" i="44" s="1"/>
  <c r="AF110" i="44"/>
  <c r="AG45" i="44"/>
  <c r="AF60" i="44"/>
  <c r="AF128" i="44"/>
  <c r="AF130" i="44" s="1"/>
  <c r="AF139" i="44" s="1"/>
  <c r="AF140" i="44" s="1"/>
  <c r="AG135" i="44" s="1"/>
  <c r="AG137" i="44" s="1"/>
  <c r="AG170" i="44"/>
  <c r="AG147" i="44"/>
  <c r="P208" i="44"/>
  <c r="P205" i="44"/>
  <c r="Q198" i="44" s="1"/>
  <c r="R171" i="44"/>
  <c r="R157" i="44"/>
  <c r="Q185" i="44"/>
  <c r="Q187" i="44" s="1"/>
  <c r="DU7" i="44"/>
  <c r="DU20" i="44" s="1"/>
  <c r="DV8" i="44"/>
  <c r="DS79" i="44"/>
  <c r="DS108" i="44" s="1"/>
  <c r="DS78" i="44"/>
  <c r="DQ94" i="44"/>
  <c r="DQ96" i="44" s="1"/>
  <c r="DR199" i="44"/>
  <c r="DR168" i="44"/>
  <c r="DR176" i="44" s="1"/>
  <c r="DR178" i="44" s="1"/>
  <c r="DR136" i="44"/>
  <c r="DR144" i="44" s="1"/>
  <c r="DR146" i="44" s="1"/>
  <c r="DR88" i="44"/>
  <c r="DR114" i="44"/>
  <c r="DR116" i="44" s="1"/>
  <c r="DT81" i="44"/>
  <c r="DT77" i="44"/>
  <c r="DT21" i="44"/>
  <c r="DV12" i="44" l="1"/>
  <c r="DV11" i="44"/>
  <c r="AH91" i="44"/>
  <c r="AI87" i="44" s="1"/>
  <c r="AI89" i="44" s="1"/>
  <c r="AI90" i="44" s="1"/>
  <c r="AI97" i="44" s="1"/>
  <c r="AI98" i="44" s="1"/>
  <c r="AJ95" i="44" s="1"/>
  <c r="AF117" i="44"/>
  <c r="AF118" i="44" s="1"/>
  <c r="AG115" i="44" s="1"/>
  <c r="AF111" i="44"/>
  <c r="AG107" i="44" s="1"/>
  <c r="AG109" i="44" s="1"/>
  <c r="AG110" i="44" s="1"/>
  <c r="AH101" i="44"/>
  <c r="AH103" i="44" s="1"/>
  <c r="AG201" i="44"/>
  <c r="AG179" i="44"/>
  <c r="Q200" i="44"/>
  <c r="P48" i="44"/>
  <c r="P210" i="44"/>
  <c r="P66" i="44" s="1"/>
  <c r="P209" i="44"/>
  <c r="P65" i="44" s="1"/>
  <c r="R159" i="44"/>
  <c r="R62" i="44" s="1"/>
  <c r="R158" i="44"/>
  <c r="R61" i="44" s="1"/>
  <c r="R46" i="44"/>
  <c r="Q203" i="44"/>
  <c r="Q190" i="44"/>
  <c r="R202" i="44"/>
  <c r="R180" i="44"/>
  <c r="DU13" i="44"/>
  <c r="DS199" i="44"/>
  <c r="DS168" i="44"/>
  <c r="DS176" i="44" s="1"/>
  <c r="DS178" i="44" s="1"/>
  <c r="DS136" i="44"/>
  <c r="DS144" i="44" s="1"/>
  <c r="DS146" i="44" s="1"/>
  <c r="DS88" i="44"/>
  <c r="DS114" i="44"/>
  <c r="DS116" i="44" s="1"/>
  <c r="DV7" i="44"/>
  <c r="DV20" i="44" s="1"/>
  <c r="D25" i="44" s="1"/>
  <c r="DR94" i="44"/>
  <c r="DR96" i="44" s="1"/>
  <c r="DU81" i="44"/>
  <c r="DU77" i="44"/>
  <c r="DU21" i="44"/>
  <c r="DT79" i="44"/>
  <c r="DT108" i="44" s="1"/>
  <c r="DT78" i="44"/>
  <c r="AG121" i="44" l="1"/>
  <c r="AG123" i="44" s="1"/>
  <c r="AG127" i="44" s="1"/>
  <c r="R160" i="44"/>
  <c r="R162" i="44" s="1"/>
  <c r="R172" i="44" s="1"/>
  <c r="R173" i="44" s="1"/>
  <c r="S167" i="44" s="1"/>
  <c r="AH138" i="44"/>
  <c r="AH126" i="44"/>
  <c r="AI101" i="44"/>
  <c r="AI103" i="44" s="1"/>
  <c r="AI91" i="44"/>
  <c r="AJ87" i="44" s="1"/>
  <c r="AJ89" i="44" s="1"/>
  <c r="AJ101" i="44" s="1"/>
  <c r="AJ103" i="44" s="1"/>
  <c r="AJ126" i="44" s="1"/>
  <c r="AG117" i="44"/>
  <c r="AG118" i="44" s="1"/>
  <c r="AH115" i="44" s="1"/>
  <c r="AG111" i="44"/>
  <c r="AH107" i="44" s="1"/>
  <c r="P211" i="44"/>
  <c r="P213" i="44" s="1"/>
  <c r="Q47" i="44"/>
  <c r="Q191" i="44"/>
  <c r="Q63" i="44" s="1"/>
  <c r="Q192" i="44"/>
  <c r="Q64" i="44" s="1"/>
  <c r="DT199" i="44"/>
  <c r="DT168" i="44"/>
  <c r="DT176" i="44" s="1"/>
  <c r="DT178" i="44" s="1"/>
  <c r="DT136" i="44"/>
  <c r="DT144" i="44" s="1"/>
  <c r="DT146" i="44" s="1"/>
  <c r="DT88" i="44"/>
  <c r="DV13" i="44"/>
  <c r="D16" i="44" s="1"/>
  <c r="F36" i="45"/>
  <c r="F21" i="45"/>
  <c r="O36" i="45"/>
  <c r="O39" i="45"/>
  <c r="O44" i="45"/>
  <c r="O25" i="45"/>
  <c r="O43" i="45"/>
  <c r="O41" i="45"/>
  <c r="O42" i="45"/>
  <c r="O23" i="45"/>
  <c r="P21" i="45"/>
  <c r="P23" i="45"/>
  <c r="O40" i="45"/>
  <c r="O37" i="45"/>
  <c r="P22" i="45"/>
  <c r="O38" i="45"/>
  <c r="P44" i="45"/>
  <c r="O21" i="45"/>
  <c r="R42" i="45"/>
  <c r="Q23" i="45"/>
  <c r="P43" i="45"/>
  <c r="O24" i="45"/>
  <c r="P38" i="45"/>
  <c r="P25" i="45"/>
  <c r="P40" i="45"/>
  <c r="P37" i="45"/>
  <c r="P24" i="45"/>
  <c r="Q37" i="45"/>
  <c r="Q25" i="45"/>
  <c r="S41" i="45"/>
  <c r="Q21" i="45"/>
  <c r="Q40" i="45"/>
  <c r="P42" i="45"/>
  <c r="Q24" i="45"/>
  <c r="Q38" i="45"/>
  <c r="P36" i="45"/>
  <c r="O22" i="45"/>
  <c r="S42" i="45"/>
  <c r="P39" i="45"/>
  <c r="Q42" i="45"/>
  <c r="P41" i="45"/>
  <c r="Q44" i="45"/>
  <c r="Q22" i="45"/>
  <c r="Q39" i="45"/>
  <c r="R22" i="45"/>
  <c r="R25" i="45"/>
  <c r="Q41" i="45"/>
  <c r="Q43" i="45"/>
  <c r="R36" i="45"/>
  <c r="S40" i="45"/>
  <c r="R39" i="45"/>
  <c r="S23" i="45"/>
  <c r="R40" i="45"/>
  <c r="S22" i="45"/>
  <c r="R41" i="45"/>
  <c r="S38" i="45"/>
  <c r="S44" i="45"/>
  <c r="R38" i="45"/>
  <c r="R37" i="45"/>
  <c r="R44" i="45"/>
  <c r="R43" i="45"/>
  <c r="R24" i="45"/>
  <c r="R23" i="45"/>
  <c r="S37" i="45"/>
  <c r="S36" i="45"/>
  <c r="S39" i="45"/>
  <c r="Q36" i="45"/>
  <c r="R21" i="45"/>
  <c r="S25" i="45"/>
  <c r="S43" i="45"/>
  <c r="S21" i="45"/>
  <c r="S24" i="45"/>
  <c r="DT114" i="44"/>
  <c r="DT116" i="44" s="1"/>
  <c r="DU78" i="44"/>
  <c r="DU79" i="44"/>
  <c r="DU108" i="44" s="1"/>
  <c r="DS94" i="44"/>
  <c r="DS96" i="44" s="1"/>
  <c r="R148" i="44" l="1"/>
  <c r="R149" i="44" s="1"/>
  <c r="S145" i="44" s="1"/>
  <c r="S152" i="44" s="1"/>
  <c r="S154" i="44" s="1"/>
  <c r="AJ138" i="44"/>
  <c r="AJ147" i="44" s="1"/>
  <c r="AG60" i="44"/>
  <c r="AG128" i="44"/>
  <c r="AG130" i="44" s="1"/>
  <c r="AG139" i="44" s="1"/>
  <c r="AG140" i="44" s="1"/>
  <c r="AH135" i="44" s="1"/>
  <c r="AH137" i="44" s="1"/>
  <c r="AH109" i="44"/>
  <c r="Q193" i="44"/>
  <c r="Q195" i="44" s="1"/>
  <c r="Q204" i="44" s="1"/>
  <c r="AI138" i="44"/>
  <c r="AI126" i="44"/>
  <c r="AH45" i="44"/>
  <c r="AJ90" i="44"/>
  <c r="AJ97" i="44" s="1"/>
  <c r="AJ98" i="44" s="1"/>
  <c r="AK95" i="44" s="1"/>
  <c r="AH147" i="44"/>
  <c r="AH170" i="44"/>
  <c r="S169" i="44"/>
  <c r="P218" i="44"/>
  <c r="P67" i="44" s="1"/>
  <c r="P219" i="44"/>
  <c r="P68" i="44" s="1"/>
  <c r="P217" i="44"/>
  <c r="AJ45" i="44"/>
  <c r="S26" i="45"/>
  <c r="Q26" i="45"/>
  <c r="O26" i="45"/>
  <c r="D18" i="44"/>
  <c r="D17" i="44" a="1"/>
  <c r="D17" i="44" s="1"/>
  <c r="S45" i="45"/>
  <c r="R45" i="45"/>
  <c r="P26" i="45"/>
  <c r="O45" i="45"/>
  <c r="DU114" i="44"/>
  <c r="DU116" i="44" s="1"/>
  <c r="P45" i="45"/>
  <c r="DV81" i="44"/>
  <c r="DV77" i="44"/>
  <c r="D23" i="44"/>
  <c r="C16" i="43" s="1"/>
  <c r="D24" i="44" a="1"/>
  <c r="D24" i="44" s="1"/>
  <c r="C17" i="43" s="1"/>
  <c r="DV21" i="44"/>
  <c r="R26" i="45"/>
  <c r="DU199" i="44"/>
  <c r="DU168" i="44"/>
  <c r="DU176" i="44" s="1"/>
  <c r="DU178" i="44" s="1"/>
  <c r="DU136" i="44"/>
  <c r="DU144" i="44" s="1"/>
  <c r="DU146" i="44" s="1"/>
  <c r="DU88" i="44"/>
  <c r="Q45" i="45"/>
  <c r="DT94" i="44"/>
  <c r="DT96" i="44" s="1"/>
  <c r="AJ170" i="44" l="1"/>
  <c r="AJ201" i="44" s="1"/>
  <c r="Q181" i="44"/>
  <c r="Q182" i="44" s="1"/>
  <c r="R177" i="44" s="1"/>
  <c r="R185" i="44" s="1"/>
  <c r="R187" i="44" s="1"/>
  <c r="AJ91" i="44"/>
  <c r="AK87" i="44" s="1"/>
  <c r="AK89" i="44" s="1"/>
  <c r="AI45" i="44"/>
  <c r="AI170" i="44"/>
  <c r="AI147" i="44"/>
  <c r="AH201" i="44"/>
  <c r="AH179" i="44"/>
  <c r="AH110" i="44"/>
  <c r="AH117" i="44" s="1"/>
  <c r="AH118" i="44" s="1"/>
  <c r="AI115" i="44" s="1"/>
  <c r="P69" i="44"/>
  <c r="AH121" i="44"/>
  <c r="AH123" i="44" s="1"/>
  <c r="AH127" i="44" s="1"/>
  <c r="S157" i="44"/>
  <c r="S171" i="44"/>
  <c r="P220" i="44"/>
  <c r="P222" i="44" s="1"/>
  <c r="P49" i="44"/>
  <c r="P50" i="44" s="1"/>
  <c r="Q208" i="44"/>
  <c r="Q205" i="44"/>
  <c r="R198" i="44" s="1"/>
  <c r="C18" i="43"/>
  <c r="DV78" i="44"/>
  <c r="DV79" i="44"/>
  <c r="D77" i="44"/>
  <c r="DU94" i="44"/>
  <c r="DU96" i="44" s="1"/>
  <c r="D81" i="44"/>
  <c r="AJ179" i="44" l="1"/>
  <c r="AK101" i="44"/>
  <c r="AK103" i="44" s="1"/>
  <c r="AK138" i="44" s="1"/>
  <c r="AK90" i="44"/>
  <c r="AK97" i="44" s="1"/>
  <c r="AK98" i="44" s="1"/>
  <c r="AL95" i="44" s="1"/>
  <c r="AH111" i="44"/>
  <c r="AI107" i="44" s="1"/>
  <c r="AI179" i="44"/>
  <c r="AI201" i="44"/>
  <c r="AH60" i="44"/>
  <c r="AH128" i="44"/>
  <c r="AH130" i="44" s="1"/>
  <c r="AH139" i="44" s="1"/>
  <c r="AH140" i="44" s="1"/>
  <c r="AI135" i="44" s="1"/>
  <c r="AI137" i="44" s="1"/>
  <c r="R200" i="44"/>
  <c r="S202" i="44"/>
  <c r="S180" i="44"/>
  <c r="R203" i="44"/>
  <c r="R190" i="44"/>
  <c r="Q209" i="44"/>
  <c r="Q65" i="44" s="1"/>
  <c r="Q210" i="44"/>
  <c r="Q66" i="44" s="1"/>
  <c r="Q48" i="44"/>
  <c r="S158" i="44"/>
  <c r="S61" i="44" s="1"/>
  <c r="S46" i="44"/>
  <c r="S159" i="44"/>
  <c r="S62" i="44" s="1"/>
  <c r="DV108" i="44"/>
  <c r="D79" i="44"/>
  <c r="DV199" i="44"/>
  <c r="DV168" i="44"/>
  <c r="DV176" i="44" s="1"/>
  <c r="DV178" i="44" s="1"/>
  <c r="DV136" i="44"/>
  <c r="DV144" i="44" s="1"/>
  <c r="DV146" i="44" s="1"/>
  <c r="DV88" i="44"/>
  <c r="D78" i="44"/>
  <c r="AK91" i="44" l="1"/>
  <c r="AL87" i="44" s="1"/>
  <c r="AL89" i="44" s="1"/>
  <c r="AL101" i="44" s="1"/>
  <c r="AL103" i="44" s="1"/>
  <c r="Q211" i="44"/>
  <c r="Q213" i="44" s="1"/>
  <c r="Q217" i="44" s="1"/>
  <c r="AK126" i="44"/>
  <c r="AK45" i="44" s="1"/>
  <c r="AI109" i="44"/>
  <c r="AI121" i="44" s="1"/>
  <c r="AI123" i="44" s="1"/>
  <c r="AI127" i="44" s="1"/>
  <c r="S160" i="44"/>
  <c r="AK147" i="44"/>
  <c r="AK170" i="44"/>
  <c r="R192" i="44"/>
  <c r="R64" i="44" s="1"/>
  <c r="R191" i="44"/>
  <c r="R63" i="44" s="1"/>
  <c r="R47" i="44"/>
  <c r="DV114" i="44"/>
  <c r="DV116" i="44" s="1"/>
  <c r="E108" i="44"/>
  <c r="DV94" i="44"/>
  <c r="DV96" i="44" s="1"/>
  <c r="E88" i="44"/>
  <c r="Q219" i="44" l="1"/>
  <c r="Q68" i="44" s="1"/>
  <c r="Q218" i="44"/>
  <c r="Q67" i="44" s="1"/>
  <c r="AI110" i="44"/>
  <c r="AI117" i="44" s="1"/>
  <c r="AI118" i="44" s="1"/>
  <c r="AJ115" i="44" s="1"/>
  <c r="AL90" i="44"/>
  <c r="AL97" i="44" s="1"/>
  <c r="AL98" i="44" s="1"/>
  <c r="AM95" i="44" s="1"/>
  <c r="AI60" i="44"/>
  <c r="AI128" i="44"/>
  <c r="AI130" i="44" s="1"/>
  <c r="AI139" i="44" s="1"/>
  <c r="AI140" i="44" s="1"/>
  <c r="AJ135" i="44" s="1"/>
  <c r="AJ137" i="44" s="1"/>
  <c r="R193" i="44"/>
  <c r="R181" i="44" s="1"/>
  <c r="R182" i="44" s="1"/>
  <c r="S177" i="44" s="1"/>
  <c r="S185" i="44" s="1"/>
  <c r="S162" i="44"/>
  <c r="S172" i="44" s="1"/>
  <c r="S173" i="44" s="1"/>
  <c r="T167" i="44" s="1"/>
  <c r="S148" i="44"/>
  <c r="S149" i="44" s="1"/>
  <c r="T145" i="44" s="1"/>
  <c r="T152" i="44" s="1"/>
  <c r="T154" i="44" s="1"/>
  <c r="Q49" i="44"/>
  <c r="Q50" i="44" s="1"/>
  <c r="AL126" i="44"/>
  <c r="AL138" i="44"/>
  <c r="AK201" i="44"/>
  <c r="AK179" i="44"/>
  <c r="Q220" i="44" l="1"/>
  <c r="Q222" i="44" s="1"/>
  <c r="Q69" i="44"/>
  <c r="R195" i="44"/>
  <c r="R204" i="44" s="1"/>
  <c r="R208" i="44" s="1"/>
  <c r="S187" i="44"/>
  <c r="S190" i="44" s="1"/>
  <c r="AI111" i="44"/>
  <c r="AJ107" i="44" s="1"/>
  <c r="AJ109" i="44" s="1"/>
  <c r="AJ121" i="44" s="1"/>
  <c r="AJ123" i="44" s="1"/>
  <c r="AJ127" i="44" s="1"/>
  <c r="AL91" i="44"/>
  <c r="AM87" i="44" s="1"/>
  <c r="AM89" i="44" s="1"/>
  <c r="AM90" i="44" s="1"/>
  <c r="AM97" i="44" s="1"/>
  <c r="AM98" i="44" s="1"/>
  <c r="AN95" i="44" s="1"/>
  <c r="AL147" i="44"/>
  <c r="AL170" i="44"/>
  <c r="AL45" i="44"/>
  <c r="T171" i="44"/>
  <c r="T157" i="44"/>
  <c r="T169" i="44"/>
  <c r="S203" i="44" l="1"/>
  <c r="R205" i="44"/>
  <c r="S198" i="44" s="1"/>
  <c r="S200" i="44" s="1"/>
  <c r="AJ110" i="44"/>
  <c r="AJ117" i="44" s="1"/>
  <c r="AJ118" i="44" s="1"/>
  <c r="AK115" i="44" s="1"/>
  <c r="AJ60" i="44"/>
  <c r="AJ128" i="44"/>
  <c r="AJ130" i="44" s="1"/>
  <c r="AJ139" i="44" s="1"/>
  <c r="AJ140" i="44" s="1"/>
  <c r="AK135" i="44" s="1"/>
  <c r="AK137" i="44" s="1"/>
  <c r="AM91" i="44"/>
  <c r="AN87" i="44" s="1"/>
  <c r="AM101" i="44"/>
  <c r="AM103" i="44" s="1"/>
  <c r="T202" i="44"/>
  <c r="T180" i="44"/>
  <c r="S192" i="44"/>
  <c r="S64" i="44" s="1"/>
  <c r="S191" i="44"/>
  <c r="S63" i="44" s="1"/>
  <c r="S47" i="44"/>
  <c r="T46" i="44"/>
  <c r="T158" i="44"/>
  <c r="T61" i="44" s="1"/>
  <c r="T159" i="44"/>
  <c r="T62" i="44" s="1"/>
  <c r="AL179" i="44"/>
  <c r="E179" i="44" s="1"/>
  <c r="AL201" i="44"/>
  <c r="R209" i="44"/>
  <c r="R65" i="44" s="1"/>
  <c r="R210" i="44"/>
  <c r="R66" i="44" s="1"/>
  <c r="R48" i="44"/>
  <c r="R211" i="44" l="1"/>
  <c r="R213" i="44" s="1"/>
  <c r="R217" i="44" s="1"/>
  <c r="AJ111" i="44"/>
  <c r="AK107" i="44" s="1"/>
  <c r="AK109" i="44" s="1"/>
  <c r="AK121" i="44" s="1"/>
  <c r="AK123" i="44" s="1"/>
  <c r="AK127" i="44" s="1"/>
  <c r="AM138" i="44"/>
  <c r="AM126" i="44"/>
  <c r="S193" i="44"/>
  <c r="AN89" i="44"/>
  <c r="AN90" i="44" s="1"/>
  <c r="AN97" i="44" s="1"/>
  <c r="AN98" i="44" s="1"/>
  <c r="AO95" i="44" s="1"/>
  <c r="T160" i="44"/>
  <c r="R219" i="44" l="1"/>
  <c r="R68" i="44" s="1"/>
  <c r="R218" i="44"/>
  <c r="R67" i="44" s="1"/>
  <c r="AN91" i="44"/>
  <c r="AO87" i="44" s="1"/>
  <c r="AO89" i="44" s="1"/>
  <c r="AO90" i="44" s="1"/>
  <c r="AO97" i="44" s="1"/>
  <c r="AO98" i="44" s="1"/>
  <c r="AP95" i="44" s="1"/>
  <c r="AK110" i="44"/>
  <c r="AK117" i="44" s="1"/>
  <c r="AK118" i="44" s="1"/>
  <c r="AL115" i="44" s="1"/>
  <c r="AK60" i="44"/>
  <c r="AK128" i="44"/>
  <c r="AK130" i="44" s="1"/>
  <c r="AK139" i="44" s="1"/>
  <c r="AK140" i="44" s="1"/>
  <c r="AL135" i="44" s="1"/>
  <c r="AL137" i="44" s="1"/>
  <c r="AM170" i="44"/>
  <c r="AM147" i="44"/>
  <c r="T148" i="44"/>
  <c r="T149" i="44" s="1"/>
  <c r="U145" i="44" s="1"/>
  <c r="T162" i="44"/>
  <c r="AM45" i="44"/>
  <c r="AN101" i="44"/>
  <c r="AN103" i="44" s="1"/>
  <c r="R49" i="44"/>
  <c r="R50" i="44" s="1"/>
  <c r="S181" i="44"/>
  <c r="S182" i="44" s="1"/>
  <c r="T177" i="44" s="1"/>
  <c r="S195" i="44"/>
  <c r="S204" i="44" s="1"/>
  <c r="R220" i="44" l="1"/>
  <c r="R222" i="44" s="1"/>
  <c r="R69" i="44"/>
  <c r="AK111" i="44"/>
  <c r="AL107" i="44" s="1"/>
  <c r="AN126" i="44"/>
  <c r="AN138" i="44"/>
  <c r="T172" i="44"/>
  <c r="T173" i="44" s="1"/>
  <c r="U167" i="44" s="1"/>
  <c r="S208" i="44"/>
  <c r="S205" i="44"/>
  <c r="T198" i="44" s="1"/>
  <c r="U152" i="44"/>
  <c r="U154" i="44" s="1"/>
  <c r="T185" i="44"/>
  <c r="T187" i="44" s="1"/>
  <c r="AO101" i="44"/>
  <c r="AO103" i="44" s="1"/>
  <c r="AO91" i="44"/>
  <c r="AP87" i="44" s="1"/>
  <c r="AM201" i="44"/>
  <c r="AM179" i="44"/>
  <c r="AL109" i="44" l="1"/>
  <c r="AL121" i="44" s="1"/>
  <c r="AL123" i="44" s="1"/>
  <c r="AL127" i="44" s="1"/>
  <c r="T203" i="44"/>
  <c r="T190" i="44"/>
  <c r="AO126" i="44"/>
  <c r="AO138" i="44"/>
  <c r="S209" i="44"/>
  <c r="S65" i="44" s="1"/>
  <c r="S210" i="44"/>
  <c r="S66" i="44" s="1"/>
  <c r="S48" i="44"/>
  <c r="T200" i="44"/>
  <c r="U169" i="44"/>
  <c r="AN147" i="44"/>
  <c r="AN170" i="44"/>
  <c r="AP89" i="44"/>
  <c r="AP101" i="44" s="1"/>
  <c r="AP103" i="44" s="1"/>
  <c r="U157" i="44"/>
  <c r="U171" i="44"/>
  <c r="AN45" i="44"/>
  <c r="AP90" i="44" l="1"/>
  <c r="AP97" i="44" s="1"/>
  <c r="AP98" i="44" s="1"/>
  <c r="AQ95" i="44" s="1"/>
  <c r="AL60" i="44"/>
  <c r="AL128" i="44"/>
  <c r="AL130" i="44" s="1"/>
  <c r="AL139" i="44" s="1"/>
  <c r="AL140" i="44" s="1"/>
  <c r="AM135" i="44" s="1"/>
  <c r="AM137" i="44" s="1"/>
  <c r="S211" i="44"/>
  <c r="S213" i="44" s="1"/>
  <c r="S218" i="44" s="1"/>
  <c r="S67" i="44" s="1"/>
  <c r="AL110" i="44"/>
  <c r="AL117" i="44" s="1"/>
  <c r="AL118" i="44" s="1"/>
  <c r="AM115" i="44" s="1"/>
  <c r="U202" i="44"/>
  <c r="U180" i="44"/>
  <c r="AO170" i="44"/>
  <c r="AO147" i="44"/>
  <c r="AP126" i="44"/>
  <c r="AP138" i="44"/>
  <c r="AO45" i="44"/>
  <c r="U158" i="44"/>
  <c r="U61" i="44" s="1"/>
  <c r="U159" i="44"/>
  <c r="U62" i="44" s="1"/>
  <c r="U46" i="44"/>
  <c r="T191" i="44"/>
  <c r="T63" i="44" s="1"/>
  <c r="T47" i="44"/>
  <c r="T192" i="44"/>
  <c r="T64" i="44" s="1"/>
  <c r="AN201" i="44"/>
  <c r="AN179" i="44"/>
  <c r="S219" i="44" l="1"/>
  <c r="S68" i="44" s="1"/>
  <c r="S69" i="44" s="1"/>
  <c r="S217" i="44"/>
  <c r="S49" i="44" s="1"/>
  <c r="S50" i="44" s="1"/>
  <c r="AP91" i="44"/>
  <c r="AQ87" i="44" s="1"/>
  <c r="AQ89" i="44" s="1"/>
  <c r="AQ101" i="44" s="1"/>
  <c r="AQ103" i="44" s="1"/>
  <c r="AL111" i="44"/>
  <c r="AM107" i="44" s="1"/>
  <c r="T193" i="44"/>
  <c r="AP170" i="44"/>
  <c r="AP147" i="44"/>
  <c r="AP45" i="44"/>
  <c r="U160" i="44"/>
  <c r="AO179" i="44"/>
  <c r="AO201" i="44"/>
  <c r="S220" i="44" l="1"/>
  <c r="S222" i="44" s="1"/>
  <c r="AQ90" i="44"/>
  <c r="AQ97" i="44" s="1"/>
  <c r="AQ98" i="44" s="1"/>
  <c r="AR95" i="44" s="1"/>
  <c r="AM109" i="44"/>
  <c r="AM121" i="44" s="1"/>
  <c r="AM123" i="44" s="1"/>
  <c r="AM127" i="44" s="1"/>
  <c r="U162" i="44"/>
  <c r="U172" i="44" s="1"/>
  <c r="U173" i="44" s="1"/>
  <c r="V167" i="44" s="1"/>
  <c r="U148" i="44"/>
  <c r="U149" i="44" s="1"/>
  <c r="V145" i="44" s="1"/>
  <c r="AP179" i="44"/>
  <c r="AP201" i="44"/>
  <c r="AQ138" i="44"/>
  <c r="AQ126" i="44"/>
  <c r="T195" i="44"/>
  <c r="T204" i="44" s="1"/>
  <c r="T181" i="44"/>
  <c r="T182" i="44" s="1"/>
  <c r="U177" i="44" s="1"/>
  <c r="AQ91" i="44" l="1"/>
  <c r="AR87" i="44" s="1"/>
  <c r="AR89" i="44" s="1"/>
  <c r="AR101" i="44" s="1"/>
  <c r="AR103" i="44" s="1"/>
  <c r="AM110" i="44"/>
  <c r="AM117" i="44" s="1"/>
  <c r="AM118" i="44" s="1"/>
  <c r="AN115" i="44" s="1"/>
  <c r="AM60" i="44"/>
  <c r="AM128" i="44"/>
  <c r="AM130" i="44" s="1"/>
  <c r="AM139" i="44" s="1"/>
  <c r="AM140" i="44" s="1"/>
  <c r="AN135" i="44" s="1"/>
  <c r="AN137" i="44" s="1"/>
  <c r="AQ45" i="44"/>
  <c r="U185" i="44"/>
  <c r="U187" i="44" s="1"/>
  <c r="T208" i="44"/>
  <c r="T205" i="44"/>
  <c r="U198" i="44" s="1"/>
  <c r="V152" i="44"/>
  <c r="V154" i="44" s="1"/>
  <c r="AQ170" i="44"/>
  <c r="AQ147" i="44"/>
  <c r="V169" i="44"/>
  <c r="AR90" i="44" l="1"/>
  <c r="AR97" i="44" s="1"/>
  <c r="AR98" i="44" s="1"/>
  <c r="AS95" i="44" s="1"/>
  <c r="AM111" i="44"/>
  <c r="AN107" i="44" s="1"/>
  <c r="AR138" i="44"/>
  <c r="AR126" i="44"/>
  <c r="U200" i="44"/>
  <c r="AQ201" i="44"/>
  <c r="AQ179" i="44"/>
  <c r="T48" i="44"/>
  <c r="T210" i="44"/>
  <c r="T66" i="44" s="1"/>
  <c r="T209" i="44"/>
  <c r="T65" i="44" s="1"/>
  <c r="U203" i="44"/>
  <c r="U190" i="44"/>
  <c r="V171" i="44"/>
  <c r="V157" i="44"/>
  <c r="AR91" i="44" l="1"/>
  <c r="AS87" i="44" s="1"/>
  <c r="AS89" i="44" s="1"/>
  <c r="AS101" i="44" s="1"/>
  <c r="AS103" i="44" s="1"/>
  <c r="T211" i="44"/>
  <c r="T213" i="44" s="1"/>
  <c r="T219" i="44" s="1"/>
  <c r="T68" i="44" s="1"/>
  <c r="AN109" i="44"/>
  <c r="V46" i="44"/>
  <c r="V158" i="44"/>
  <c r="V61" i="44" s="1"/>
  <c r="V159" i="44"/>
  <c r="V62" i="44" s="1"/>
  <c r="V202" i="44"/>
  <c r="V180" i="44"/>
  <c r="AR45" i="44"/>
  <c r="U192" i="44"/>
  <c r="U64" i="44" s="1"/>
  <c r="U191" i="44"/>
  <c r="U63" i="44" s="1"/>
  <c r="U47" i="44"/>
  <c r="AR170" i="44"/>
  <c r="AR147" i="44"/>
  <c r="T218" i="44" l="1"/>
  <c r="T67" i="44" s="1"/>
  <c r="T69" i="44" s="1"/>
  <c r="T217" i="44"/>
  <c r="AN110" i="44"/>
  <c r="AN117" i="44" s="1"/>
  <c r="AN118" i="44" s="1"/>
  <c r="AO115" i="44" s="1"/>
  <c r="U193" i="44"/>
  <c r="U195" i="44" s="1"/>
  <c r="U204" i="44" s="1"/>
  <c r="AN121" i="44"/>
  <c r="AN123" i="44" s="1"/>
  <c r="AN127" i="44" s="1"/>
  <c r="V160" i="44"/>
  <c r="AS126" i="44"/>
  <c r="AS138" i="44"/>
  <c r="AR201" i="44"/>
  <c r="AR179" i="44"/>
  <c r="AS90" i="44"/>
  <c r="AS97" i="44" s="1"/>
  <c r="AS98" i="44" s="1"/>
  <c r="AT95" i="44" s="1"/>
  <c r="T220" i="44" l="1"/>
  <c r="T222" i="44" s="1"/>
  <c r="T49" i="44"/>
  <c r="T50" i="44" s="1"/>
  <c r="U181" i="44"/>
  <c r="U182" i="44" s="1"/>
  <c r="V177" i="44" s="1"/>
  <c r="V185" i="44" s="1"/>
  <c r="AN111" i="44"/>
  <c r="AO107" i="44" s="1"/>
  <c r="AO109" i="44" s="1"/>
  <c r="AO110" i="44" s="1"/>
  <c r="AO117" i="44" s="1"/>
  <c r="AO118" i="44" s="1"/>
  <c r="AP115" i="44" s="1"/>
  <c r="AN60" i="44"/>
  <c r="AN128" i="44"/>
  <c r="AN130" i="44" s="1"/>
  <c r="AN139" i="44" s="1"/>
  <c r="AN140" i="44" s="1"/>
  <c r="AO135" i="44" s="1"/>
  <c r="AO137" i="44" s="1"/>
  <c r="AS45" i="44"/>
  <c r="AS147" i="44"/>
  <c r="AS170" i="44"/>
  <c r="V162" i="44"/>
  <c r="V172" i="44" s="1"/>
  <c r="V173" i="44" s="1"/>
  <c r="W167" i="44" s="1"/>
  <c r="V148" i="44"/>
  <c r="V149" i="44" s="1"/>
  <c r="W145" i="44" s="1"/>
  <c r="U208" i="44"/>
  <c r="U205" i="44"/>
  <c r="V198" i="44" s="1"/>
  <c r="AS91" i="44"/>
  <c r="AT87" i="44" s="1"/>
  <c r="V187" i="44" l="1"/>
  <c r="V203" i="44" s="1"/>
  <c r="AO111" i="44"/>
  <c r="AP107" i="44" s="1"/>
  <c r="AP109" i="44" s="1"/>
  <c r="AP121" i="44" s="1"/>
  <c r="AP123" i="44" s="1"/>
  <c r="AP127" i="44" s="1"/>
  <c r="AO121" i="44"/>
  <c r="AO123" i="44" s="1"/>
  <c r="AO127" i="44" s="1"/>
  <c r="AO128" i="44" s="1"/>
  <c r="AO130" i="44" s="1"/>
  <c r="AO139" i="44" s="1"/>
  <c r="AO140" i="44" s="1"/>
  <c r="AP135" i="44" s="1"/>
  <c r="AP137" i="44" s="1"/>
  <c r="W152" i="44"/>
  <c r="W154" i="44" s="1"/>
  <c r="W169" i="44"/>
  <c r="AS179" i="44"/>
  <c r="AS201" i="44"/>
  <c r="AT89" i="44"/>
  <c r="AT101" i="44" s="1"/>
  <c r="AT103" i="44" s="1"/>
  <c r="V200" i="44"/>
  <c r="U210" i="44"/>
  <c r="U66" i="44" s="1"/>
  <c r="U209" i="44"/>
  <c r="U65" i="44" s="1"/>
  <c r="U48" i="44"/>
  <c r="V190" i="44" l="1"/>
  <c r="V47" i="44" s="1"/>
  <c r="AO60" i="44"/>
  <c r="U211" i="44"/>
  <c r="U213" i="44" s="1"/>
  <c r="U217" i="44" s="1"/>
  <c r="AP60" i="44"/>
  <c r="AP128" i="44"/>
  <c r="AP130" i="44" s="1"/>
  <c r="AP139" i="44" s="1"/>
  <c r="AP140" i="44" s="1"/>
  <c r="AQ135" i="44" s="1"/>
  <c r="AQ137" i="44" s="1"/>
  <c r="AT90" i="44"/>
  <c r="AP110" i="44"/>
  <c r="AP117" i="44" s="1"/>
  <c r="AP118" i="44" s="1"/>
  <c r="AQ115" i="44" s="1"/>
  <c r="AT126" i="44"/>
  <c r="AT138" i="44"/>
  <c r="W171" i="44"/>
  <c r="W157" i="44"/>
  <c r="U219" i="44" l="1"/>
  <c r="U68" i="44" s="1"/>
  <c r="U218" i="44"/>
  <c r="U67" i="44" s="1"/>
  <c r="V191" i="44"/>
  <c r="V63" i="44" s="1"/>
  <c r="V192" i="44"/>
  <c r="V64" i="44" s="1"/>
  <c r="AT97" i="44"/>
  <c r="AT98" i="44" s="1"/>
  <c r="AU95" i="44" s="1"/>
  <c r="AT91" i="44"/>
  <c r="AU87" i="44" s="1"/>
  <c r="AU89" i="44" s="1"/>
  <c r="AP111" i="44"/>
  <c r="AQ107" i="44" s="1"/>
  <c r="W46" i="44"/>
  <c r="W159" i="44"/>
  <c r="W62" i="44" s="1"/>
  <c r="W158" i="44"/>
  <c r="W61" i="44" s="1"/>
  <c r="W180" i="44"/>
  <c r="W202" i="44"/>
  <c r="U49" i="44"/>
  <c r="AT147" i="44"/>
  <c r="AT170" i="44"/>
  <c r="AT45" i="44"/>
  <c r="U69" i="44" l="1"/>
  <c r="U220" i="44"/>
  <c r="U222" i="44" s="1"/>
  <c r="AU101" i="44"/>
  <c r="AU103" i="44" s="1"/>
  <c r="AU138" i="44" s="1"/>
  <c r="AU147" i="44" s="1"/>
  <c r="V193" i="44"/>
  <c r="V195" i="44" s="1"/>
  <c r="V204" i="44" s="1"/>
  <c r="V208" i="44" s="1"/>
  <c r="AU90" i="44"/>
  <c r="AU97" i="44" s="1"/>
  <c r="AU98" i="44" s="1"/>
  <c r="AV95" i="44" s="1"/>
  <c r="AQ109" i="44"/>
  <c r="AQ110" i="44" s="1"/>
  <c r="AQ117" i="44" s="1"/>
  <c r="AQ118" i="44" s="1"/>
  <c r="AR115" i="44" s="1"/>
  <c r="W160" i="44"/>
  <c r="W162" i="44" s="1"/>
  <c r="W172" i="44" s="1"/>
  <c r="W173" i="44" s="1"/>
  <c r="X167" i="44" s="1"/>
  <c r="AT201" i="44"/>
  <c r="AT179" i="44"/>
  <c r="U50" i="44"/>
  <c r="V205" i="44" l="1"/>
  <c r="W198" i="44" s="1"/>
  <c r="W200" i="44" s="1"/>
  <c r="V181" i="44"/>
  <c r="V182" i="44" s="1"/>
  <c r="W177" i="44" s="1"/>
  <c r="W185" i="44" s="1"/>
  <c r="W187" i="44" s="1"/>
  <c r="AU170" i="44"/>
  <c r="AU201" i="44" s="1"/>
  <c r="AU126" i="44"/>
  <c r="AU45" i="44" s="1"/>
  <c r="AU91" i="44"/>
  <c r="AV87" i="44" s="1"/>
  <c r="AV89" i="44" s="1"/>
  <c r="AV90" i="44" s="1"/>
  <c r="AV97" i="44" s="1"/>
  <c r="AV98" i="44" s="1"/>
  <c r="AW95" i="44" s="1"/>
  <c r="W148" i="44"/>
  <c r="W149" i="44" s="1"/>
  <c r="X145" i="44" s="1"/>
  <c r="X152" i="44" s="1"/>
  <c r="X154" i="44" s="1"/>
  <c r="AQ121" i="44"/>
  <c r="AQ123" i="44" s="1"/>
  <c r="AQ127" i="44" s="1"/>
  <c r="AQ111" i="44"/>
  <c r="AR107" i="44" s="1"/>
  <c r="V210" i="44"/>
  <c r="V66" i="44" s="1"/>
  <c r="V209" i="44"/>
  <c r="V65" i="44" s="1"/>
  <c r="V48" i="44"/>
  <c r="X169" i="44"/>
  <c r="AU179" i="44" l="1"/>
  <c r="AV101" i="44"/>
  <c r="AV103" i="44" s="1"/>
  <c r="AV138" i="44" s="1"/>
  <c r="AR109" i="44"/>
  <c r="AR110" i="44" s="1"/>
  <c r="AR117" i="44" s="1"/>
  <c r="AR118" i="44" s="1"/>
  <c r="AS115" i="44" s="1"/>
  <c r="AQ128" i="44"/>
  <c r="AQ130" i="44" s="1"/>
  <c r="AQ139" i="44" s="1"/>
  <c r="AQ140" i="44" s="1"/>
  <c r="AR135" i="44" s="1"/>
  <c r="AR137" i="44" s="1"/>
  <c r="AQ60" i="44"/>
  <c r="AV91" i="44"/>
  <c r="AW87" i="44" s="1"/>
  <c r="X157" i="44"/>
  <c r="X171" i="44"/>
  <c r="W203" i="44"/>
  <c r="W190" i="44"/>
  <c r="V211" i="44"/>
  <c r="V213" i="44" s="1"/>
  <c r="AR121" i="44" l="1"/>
  <c r="AR123" i="44" s="1"/>
  <c r="AR127" i="44" s="1"/>
  <c r="AR60" i="44" s="1"/>
  <c r="AV126" i="44"/>
  <c r="AV45" i="44" s="1"/>
  <c r="AR111" i="44"/>
  <c r="AS107" i="44" s="1"/>
  <c r="W47" i="44"/>
  <c r="W191" i="44"/>
  <c r="W63" i="44" s="1"/>
  <c r="W192" i="44"/>
  <c r="W64" i="44" s="1"/>
  <c r="X46" i="44"/>
  <c r="X158" i="44"/>
  <c r="X61" i="44" s="1"/>
  <c r="X159" i="44"/>
  <c r="X62" i="44" s="1"/>
  <c r="AV170" i="44"/>
  <c r="AV147" i="44"/>
  <c r="X180" i="44"/>
  <c r="X202" i="44"/>
  <c r="AW89" i="44"/>
  <c r="AW90" i="44" s="1"/>
  <c r="AW97" i="44" s="1"/>
  <c r="AW98" i="44" s="1"/>
  <c r="AX95" i="44" s="1"/>
  <c r="V219" i="44"/>
  <c r="V68" i="44" s="1"/>
  <c r="V217" i="44"/>
  <c r="V218" i="44"/>
  <c r="V67" i="44" s="1"/>
  <c r="AR128" i="44" l="1"/>
  <c r="AR130" i="44" s="1"/>
  <c r="AR139" i="44" s="1"/>
  <c r="AR140" i="44" s="1"/>
  <c r="AS135" i="44" s="1"/>
  <c r="AS137" i="44" s="1"/>
  <c r="V69" i="44"/>
  <c r="W193" i="44"/>
  <c r="W195" i="44" s="1"/>
  <c r="W204" i="44" s="1"/>
  <c r="X160" i="44"/>
  <c r="X162" i="44" s="1"/>
  <c r="X172" i="44" s="1"/>
  <c r="X173" i="44" s="1"/>
  <c r="Y167" i="44" s="1"/>
  <c r="AS109" i="44"/>
  <c r="AS110" i="44" s="1"/>
  <c r="AS117" i="44" s="1"/>
  <c r="AS118" i="44" s="1"/>
  <c r="AT115" i="44" s="1"/>
  <c r="V220" i="44"/>
  <c r="V222" i="44" s="1"/>
  <c r="V49" i="44"/>
  <c r="AV179" i="44"/>
  <c r="AV201" i="44"/>
  <c r="AW101" i="44"/>
  <c r="AW103" i="44" s="1"/>
  <c r="AW91" i="44"/>
  <c r="AX87" i="44" s="1"/>
  <c r="W181" i="44" l="1"/>
  <c r="W182" i="44" s="1"/>
  <c r="X177" i="44" s="1"/>
  <c r="X185" i="44" s="1"/>
  <c r="X187" i="44" s="1"/>
  <c r="X148" i="44"/>
  <c r="X149" i="44" s="1"/>
  <c r="Y145" i="44" s="1"/>
  <c r="Y152" i="44" s="1"/>
  <c r="Y154" i="44" s="1"/>
  <c r="AS121" i="44"/>
  <c r="AS123" i="44" s="1"/>
  <c r="AS127" i="44" s="1"/>
  <c r="AS111" i="44"/>
  <c r="AT107" i="44" s="1"/>
  <c r="AW126" i="44"/>
  <c r="AW138" i="44"/>
  <c r="AX89" i="44"/>
  <c r="AX90" i="44" s="1"/>
  <c r="AX97" i="44" s="1"/>
  <c r="AX98" i="44" s="1"/>
  <c r="AY95" i="44" s="1"/>
  <c r="W208" i="44"/>
  <c r="W205" i="44"/>
  <c r="X198" i="44" s="1"/>
  <c r="Y169" i="44"/>
  <c r="V50" i="44"/>
  <c r="AX91" i="44" l="1"/>
  <c r="AY87" i="44" s="1"/>
  <c r="AY89" i="44" s="1"/>
  <c r="AY90" i="44" s="1"/>
  <c r="AY97" i="44" s="1"/>
  <c r="AY98" i="44" s="1"/>
  <c r="AZ95" i="44" s="1"/>
  <c r="AT109" i="44"/>
  <c r="AT110" i="44" s="1"/>
  <c r="AT117" i="44" s="1"/>
  <c r="AT118" i="44" s="1"/>
  <c r="AU115" i="44" s="1"/>
  <c r="AS60" i="44"/>
  <c r="AS128" i="44"/>
  <c r="AS130" i="44" s="1"/>
  <c r="AS139" i="44" s="1"/>
  <c r="AS140" i="44" s="1"/>
  <c r="AT135" i="44" s="1"/>
  <c r="AT137" i="44" s="1"/>
  <c r="X190" i="44"/>
  <c r="X203" i="44"/>
  <c r="AX101" i="44"/>
  <c r="AX103" i="44" s="1"/>
  <c r="Y171" i="44"/>
  <c r="Y157" i="44"/>
  <c r="X200" i="44"/>
  <c r="AW170" i="44"/>
  <c r="AW147" i="44"/>
  <c r="W209" i="44"/>
  <c r="W65" i="44" s="1"/>
  <c r="W210" i="44"/>
  <c r="W66" i="44" s="1"/>
  <c r="W48" i="44"/>
  <c r="AW45" i="44"/>
  <c r="AT111" i="44" l="1"/>
  <c r="AU107" i="44" s="1"/>
  <c r="AT121" i="44"/>
  <c r="AT123" i="44" s="1"/>
  <c r="AT127" i="44" s="1"/>
  <c r="Y180" i="44"/>
  <c r="Y202" i="44"/>
  <c r="X47" i="44"/>
  <c r="X192" i="44"/>
  <c r="X64" i="44" s="1"/>
  <c r="X191" i="44"/>
  <c r="X63" i="44" s="1"/>
  <c r="AW201" i="44"/>
  <c r="AW179" i="44"/>
  <c r="AY91" i="44"/>
  <c r="AZ87" i="44" s="1"/>
  <c r="AX138" i="44"/>
  <c r="AX126" i="44"/>
  <c r="W211" i="44"/>
  <c r="W213" i="44" s="1"/>
  <c r="AY101" i="44"/>
  <c r="AY103" i="44" s="1"/>
  <c r="Y159" i="44"/>
  <c r="Y62" i="44" s="1"/>
  <c r="Y46" i="44"/>
  <c r="Y158" i="44"/>
  <c r="Y61" i="44" s="1"/>
  <c r="Y160" i="44" l="1"/>
  <c r="Y148" i="44" s="1"/>
  <c r="Y149" i="44" s="1"/>
  <c r="Z145" i="44" s="1"/>
  <c r="X193" i="44"/>
  <c r="X195" i="44" s="1"/>
  <c r="X204" i="44" s="1"/>
  <c r="AT60" i="44"/>
  <c r="AT128" i="44"/>
  <c r="AT130" i="44" s="1"/>
  <c r="AT139" i="44" s="1"/>
  <c r="AT140" i="44" s="1"/>
  <c r="AU135" i="44" s="1"/>
  <c r="AU137" i="44" s="1"/>
  <c r="AU109" i="44"/>
  <c r="AU121" i="44" s="1"/>
  <c r="AU123" i="44" s="1"/>
  <c r="AU127" i="44" s="1"/>
  <c r="W219" i="44"/>
  <c r="W68" i="44" s="1"/>
  <c r="W218" i="44"/>
  <c r="W67" i="44" s="1"/>
  <c r="W217" i="44"/>
  <c r="AX45" i="44"/>
  <c r="AX147" i="44"/>
  <c r="AX170" i="44"/>
  <c r="AZ89" i="44"/>
  <c r="AZ101" i="44" s="1"/>
  <c r="AZ103" i="44" s="1"/>
  <c r="AY126" i="44"/>
  <c r="AY138" i="44"/>
  <c r="X181" i="44" l="1"/>
  <c r="X182" i="44" s="1"/>
  <c r="Y177" i="44" s="1"/>
  <c r="Y185" i="44" s="1"/>
  <c r="Y162" i="44"/>
  <c r="Y172" i="44" s="1"/>
  <c r="Y173" i="44" s="1"/>
  <c r="Z167" i="44" s="1"/>
  <c r="Z169" i="44" s="1"/>
  <c r="AU110" i="44"/>
  <c r="W69" i="44"/>
  <c r="AZ90" i="44"/>
  <c r="AU60" i="44"/>
  <c r="AU128" i="44"/>
  <c r="AU130" i="44" s="1"/>
  <c r="AU139" i="44" s="1"/>
  <c r="AU140" i="44" s="1"/>
  <c r="AV135" i="44" s="1"/>
  <c r="AV137" i="44" s="1"/>
  <c r="AY45" i="44"/>
  <c r="AY170" i="44"/>
  <c r="AY147" i="44"/>
  <c r="AZ126" i="44"/>
  <c r="AZ138" i="44"/>
  <c r="W49" i="44"/>
  <c r="W220" i="44"/>
  <c r="W222" i="44" s="1"/>
  <c r="Z152" i="44"/>
  <c r="Z154" i="44" s="1"/>
  <c r="X208" i="44"/>
  <c r="X205" i="44"/>
  <c r="Y198" i="44" s="1"/>
  <c r="AX179" i="44"/>
  <c r="AX201" i="44"/>
  <c r="Y187" i="44" l="1"/>
  <c r="Y203" i="44" s="1"/>
  <c r="AU117" i="44"/>
  <c r="AU118" i="44" s="1"/>
  <c r="AV115" i="44" s="1"/>
  <c r="AU111" i="44"/>
  <c r="AV107" i="44" s="1"/>
  <c r="AZ97" i="44"/>
  <c r="AZ98" i="44" s="1"/>
  <c r="BA95" i="44" s="1"/>
  <c r="AZ91" i="44"/>
  <c r="BA87" i="44" s="1"/>
  <c r="Z171" i="44"/>
  <c r="Z157" i="44"/>
  <c r="AY179" i="44"/>
  <c r="AY201" i="44"/>
  <c r="Y200" i="44"/>
  <c r="X48" i="44"/>
  <c r="X210" i="44"/>
  <c r="X66" i="44" s="1"/>
  <c r="X209" i="44"/>
  <c r="X65" i="44" s="1"/>
  <c r="AZ170" i="44"/>
  <c r="AZ147" i="44"/>
  <c r="W50" i="44"/>
  <c r="AZ45" i="44"/>
  <c r="Y190" i="44" l="1"/>
  <c r="AV109" i="44"/>
  <c r="X211" i="44"/>
  <c r="X213" i="44" s="1"/>
  <c r="X219" i="44" s="1"/>
  <c r="X68" i="44" s="1"/>
  <c r="BA89" i="44"/>
  <c r="BA90" i="44" s="1"/>
  <c r="BA97" i="44" s="1"/>
  <c r="BA98" i="44" s="1"/>
  <c r="BB95" i="44" s="1"/>
  <c r="AZ179" i="44"/>
  <c r="AZ201" i="44"/>
  <c r="Z158" i="44"/>
  <c r="Z61" i="44" s="1"/>
  <c r="Z46" i="44"/>
  <c r="Z159" i="44"/>
  <c r="Z62" i="44" s="1"/>
  <c r="Z202" i="44"/>
  <c r="Z180" i="44"/>
  <c r="Y192" i="44" l="1"/>
  <c r="Y64" i="44" s="1"/>
  <c r="Y47" i="44"/>
  <c r="Y191" i="44"/>
  <c r="BA101" i="44"/>
  <c r="BA103" i="44" s="1"/>
  <c r="BA138" i="44" s="1"/>
  <c r="AV121" i="44"/>
  <c r="AV123" i="44" s="1"/>
  <c r="AV127" i="44" s="1"/>
  <c r="AV110" i="44"/>
  <c r="AV117" i="44" s="1"/>
  <c r="AV118" i="44" s="1"/>
  <c r="AW115" i="44" s="1"/>
  <c r="X217" i="44"/>
  <c r="X218" i="44"/>
  <c r="X67" i="44" s="1"/>
  <c r="X69" i="44" s="1"/>
  <c r="BA91" i="44"/>
  <c r="BB87" i="44" s="1"/>
  <c r="BB89" i="44" s="1"/>
  <c r="BB101" i="44" s="1"/>
  <c r="BB103" i="44" s="1"/>
  <c r="BB138" i="44" s="1"/>
  <c r="BB170" i="44" s="1"/>
  <c r="Z160" i="44"/>
  <c r="Y63" i="44" l="1"/>
  <c r="Y193" i="44"/>
  <c r="BA126" i="44"/>
  <c r="BA45" i="44" s="1"/>
  <c r="X220" i="44"/>
  <c r="X222" i="44" s="1"/>
  <c r="BB147" i="44"/>
  <c r="AV111" i="44"/>
  <c r="AW107" i="44" s="1"/>
  <c r="BB126" i="44"/>
  <c r="BB45" i="44" s="1"/>
  <c r="AV128" i="44"/>
  <c r="AV130" i="44" s="1"/>
  <c r="AV139" i="44" s="1"/>
  <c r="AV140" i="44" s="1"/>
  <c r="AW135" i="44" s="1"/>
  <c r="AW137" i="44" s="1"/>
  <c r="AV60" i="44"/>
  <c r="BB90" i="44"/>
  <c r="BB97" i="44" s="1"/>
  <c r="BB98" i="44" s="1"/>
  <c r="BC95" i="44" s="1"/>
  <c r="X49" i="44"/>
  <c r="X50" i="44" s="1"/>
  <c r="BA170" i="44"/>
  <c r="BA147" i="44"/>
  <c r="Z162" i="44"/>
  <c r="Z148" i="44"/>
  <c r="Z149" i="44" s="1"/>
  <c r="AA145" i="44" s="1"/>
  <c r="BB179" i="44"/>
  <c r="BB201" i="44"/>
  <c r="Y195" i="44" l="1"/>
  <c r="Y204" i="44" s="1"/>
  <c r="Y181" i="44"/>
  <c r="Y182" i="44" s="1"/>
  <c r="Z177" i="44" s="1"/>
  <c r="Z185" i="44" s="1"/>
  <c r="Z187" i="44" s="1"/>
  <c r="AW109" i="44"/>
  <c r="AW121" i="44" s="1"/>
  <c r="AW123" i="44" s="1"/>
  <c r="AW127" i="44" s="1"/>
  <c r="BB91" i="44"/>
  <c r="BC87" i="44" s="1"/>
  <c r="BC89" i="44" s="1"/>
  <c r="BC90" i="44" s="1"/>
  <c r="BC97" i="44" s="1"/>
  <c r="BC98" i="44" s="1"/>
  <c r="BD95" i="44" s="1"/>
  <c r="BA179" i="44"/>
  <c r="BA201" i="44"/>
  <c r="AA152" i="44"/>
  <c r="AA154" i="44" s="1"/>
  <c r="Z172" i="44"/>
  <c r="Z173" i="44" s="1"/>
  <c r="AA167" i="44" s="1"/>
  <c r="Y208" i="44" l="1"/>
  <c r="Y205" i="44"/>
  <c r="Z198" i="44" s="1"/>
  <c r="Z200" i="44" s="1"/>
  <c r="AW110" i="44"/>
  <c r="AW117" i="44" s="1"/>
  <c r="AW118" i="44" s="1"/>
  <c r="AX115" i="44" s="1"/>
  <c r="BC101" i="44"/>
  <c r="BC103" i="44" s="1"/>
  <c r="BC138" i="44" s="1"/>
  <c r="BC147" i="44" s="1"/>
  <c r="BC91" i="44"/>
  <c r="BD87" i="44" s="1"/>
  <c r="BD89" i="44" s="1"/>
  <c r="BD101" i="44" s="1"/>
  <c r="BD103" i="44" s="1"/>
  <c r="AW60" i="44"/>
  <c r="AW128" i="44"/>
  <c r="AW130" i="44" s="1"/>
  <c r="AW139" i="44" s="1"/>
  <c r="AW140" i="44" s="1"/>
  <c r="AX135" i="44" s="1"/>
  <c r="AX137" i="44" s="1"/>
  <c r="AA169" i="44"/>
  <c r="Z203" i="44"/>
  <c r="Z190" i="44"/>
  <c r="AA171" i="44"/>
  <c r="AA157" i="44"/>
  <c r="Y210" i="44" l="1"/>
  <c r="Y66" i="44" s="1"/>
  <c r="Y209" i="44"/>
  <c r="Y65" i="44" s="1"/>
  <c r="Y48" i="44"/>
  <c r="AW111" i="44"/>
  <c r="AX107" i="44" s="1"/>
  <c r="AX109" i="44" s="1"/>
  <c r="AX110" i="44" s="1"/>
  <c r="AX117" i="44" s="1"/>
  <c r="AX118" i="44" s="1"/>
  <c r="AY115" i="44" s="1"/>
  <c r="BC126" i="44"/>
  <c r="BC45" i="44" s="1"/>
  <c r="BC170" i="44"/>
  <c r="BC179" i="44" s="1"/>
  <c r="AA158" i="44"/>
  <c r="AA61" i="44" s="1"/>
  <c r="AA46" i="44"/>
  <c r="AA159" i="44"/>
  <c r="AA62" i="44" s="1"/>
  <c r="BD90" i="44"/>
  <c r="AA202" i="44"/>
  <c r="AA180" i="44"/>
  <c r="BD138" i="44"/>
  <c r="BD126" i="44"/>
  <c r="Z47" i="44"/>
  <c r="Z191" i="44"/>
  <c r="Z63" i="44" s="1"/>
  <c r="Z192" i="44"/>
  <c r="Z64" i="44" s="1"/>
  <c r="Y211" i="44" l="1"/>
  <c r="Y213" i="44" s="1"/>
  <c r="Y218" i="44" s="1"/>
  <c r="Y67" i="44" s="1"/>
  <c r="BC201" i="44"/>
  <c r="AX121" i="44"/>
  <c r="AX123" i="44" s="1"/>
  <c r="AX127" i="44" s="1"/>
  <c r="AX60" i="44" s="1"/>
  <c r="AX111" i="44"/>
  <c r="AY107" i="44" s="1"/>
  <c r="AA160" i="44"/>
  <c r="AA162" i="44" s="1"/>
  <c r="AA172" i="44" s="1"/>
  <c r="AA173" i="44" s="1"/>
  <c r="AB167" i="44" s="1"/>
  <c r="BD147" i="44"/>
  <c r="BD170" i="44"/>
  <c r="BD45" i="44"/>
  <c r="Z193" i="44"/>
  <c r="BD97" i="44"/>
  <c r="BD98" i="44" s="1"/>
  <c r="BE95" i="44" s="1"/>
  <c r="BD91" i="44"/>
  <c r="BE87" i="44" s="1"/>
  <c r="Y217" i="44" l="1"/>
  <c r="Y49" i="44" s="1"/>
  <c r="Y50" i="44" s="1"/>
  <c r="Y219" i="44"/>
  <c r="Y68" i="44" s="1"/>
  <c r="Y69" i="44" s="1"/>
  <c r="AX128" i="44"/>
  <c r="AX130" i="44" s="1"/>
  <c r="AX139" i="44" s="1"/>
  <c r="AX140" i="44" s="1"/>
  <c r="AY135" i="44" s="1"/>
  <c r="AY137" i="44" s="1"/>
  <c r="AA148" i="44"/>
  <c r="AA149" i="44" s="1"/>
  <c r="AB145" i="44" s="1"/>
  <c r="AB152" i="44" s="1"/>
  <c r="AB154" i="44" s="1"/>
  <c r="AY109" i="44"/>
  <c r="AY110" i="44" s="1"/>
  <c r="AY117" i="44" s="1"/>
  <c r="AY118" i="44" s="1"/>
  <c r="AZ115" i="44" s="1"/>
  <c r="BD179" i="44"/>
  <c r="BD201" i="44"/>
  <c r="Z195" i="44"/>
  <c r="Z204" i="44" s="1"/>
  <c r="Z181" i="44"/>
  <c r="Z182" i="44" s="1"/>
  <c r="AA177" i="44" s="1"/>
  <c r="AB169" i="44"/>
  <c r="BE89" i="44"/>
  <c r="BE101" i="44" s="1"/>
  <c r="BE103" i="44" s="1"/>
  <c r="Y220" i="44" l="1"/>
  <c r="Y222" i="44" s="1"/>
  <c r="AY111" i="44"/>
  <c r="AZ107" i="44" s="1"/>
  <c r="AZ109" i="44" s="1"/>
  <c r="AZ110" i="44" s="1"/>
  <c r="AZ117" i="44" s="1"/>
  <c r="AZ118" i="44" s="1"/>
  <c r="BA115" i="44" s="1"/>
  <c r="AY121" i="44"/>
  <c r="AY123" i="44" s="1"/>
  <c r="AY127" i="44" s="1"/>
  <c r="AY60" i="44" s="1"/>
  <c r="BE90" i="44"/>
  <c r="BE97" i="44" s="1"/>
  <c r="BE98" i="44" s="1"/>
  <c r="BF95" i="44" s="1"/>
  <c r="Z208" i="44"/>
  <c r="Z205" i="44"/>
  <c r="AA198" i="44" s="1"/>
  <c r="AA185" i="44"/>
  <c r="AA187" i="44" s="1"/>
  <c r="AB171" i="44"/>
  <c r="AB157" i="44"/>
  <c r="BE126" i="44"/>
  <c r="BE138" i="44"/>
  <c r="AY128" i="44" l="1"/>
  <c r="AY130" i="44" s="1"/>
  <c r="AY139" i="44" s="1"/>
  <c r="AY140" i="44" s="1"/>
  <c r="AZ135" i="44" s="1"/>
  <c r="AZ137" i="44" s="1"/>
  <c r="AZ111" i="44"/>
  <c r="BA107" i="44" s="1"/>
  <c r="BA109" i="44" s="1"/>
  <c r="BA110" i="44" s="1"/>
  <c r="BA117" i="44" s="1"/>
  <c r="BA118" i="44" s="1"/>
  <c r="BB115" i="44" s="1"/>
  <c r="AZ121" i="44"/>
  <c r="AZ123" i="44" s="1"/>
  <c r="AZ127" i="44" s="1"/>
  <c r="AZ60" i="44" s="1"/>
  <c r="BE91" i="44"/>
  <c r="BF87" i="44" s="1"/>
  <c r="BF89" i="44" s="1"/>
  <c r="BF90" i="44" s="1"/>
  <c r="BF97" i="44" s="1"/>
  <c r="BF98" i="44" s="1"/>
  <c r="BG95" i="44" s="1"/>
  <c r="AB46" i="44"/>
  <c r="AB158" i="44"/>
  <c r="AB61" i="44" s="1"/>
  <c r="AB159" i="44"/>
  <c r="AB62" i="44" s="1"/>
  <c r="BE45" i="44"/>
  <c r="AB180" i="44"/>
  <c r="AB202" i="44"/>
  <c r="AA203" i="44"/>
  <c r="AA190" i="44"/>
  <c r="AA200" i="44"/>
  <c r="BE147" i="44"/>
  <c r="BE170" i="44"/>
  <c r="Z209" i="44"/>
  <c r="Z65" i="44" s="1"/>
  <c r="Z210" i="44"/>
  <c r="Z66" i="44" s="1"/>
  <c r="Z48" i="44"/>
  <c r="AZ128" i="44" l="1"/>
  <c r="AZ130" i="44" s="1"/>
  <c r="AZ139" i="44" s="1"/>
  <c r="AZ140" i="44" s="1"/>
  <c r="BA135" i="44" s="1"/>
  <c r="BA137" i="44" s="1"/>
  <c r="BA121" i="44"/>
  <c r="BA123" i="44" s="1"/>
  <c r="BA127" i="44" s="1"/>
  <c r="BA60" i="44" s="1"/>
  <c r="AB160" i="44"/>
  <c r="AB162" i="44" s="1"/>
  <c r="AB172" i="44" s="1"/>
  <c r="AB173" i="44" s="1"/>
  <c r="AC167" i="44" s="1"/>
  <c r="BA111" i="44"/>
  <c r="BB107" i="44" s="1"/>
  <c r="BB109" i="44" s="1"/>
  <c r="BF101" i="44"/>
  <c r="BF103" i="44" s="1"/>
  <c r="BF138" i="44" s="1"/>
  <c r="BE179" i="44"/>
  <c r="BE201" i="44"/>
  <c r="BF91" i="44"/>
  <c r="BG87" i="44" s="1"/>
  <c r="Z211" i="44"/>
  <c r="Z213" i="44" s="1"/>
  <c r="AA192" i="44"/>
  <c r="AA64" i="44" s="1"/>
  <c r="AA47" i="44"/>
  <c r="AA191" i="44"/>
  <c r="AA63" i="44" s="1"/>
  <c r="AB148" i="44" l="1"/>
  <c r="AB149" i="44" s="1"/>
  <c r="AC145" i="44" s="1"/>
  <c r="AC152" i="44" s="1"/>
  <c r="AC154" i="44" s="1"/>
  <c r="BA128" i="44"/>
  <c r="BA130" i="44" s="1"/>
  <c r="BA139" i="44" s="1"/>
  <c r="BA140" i="44" s="1"/>
  <c r="BB135" i="44" s="1"/>
  <c r="BB137" i="44" s="1"/>
  <c r="AA193" i="44"/>
  <c r="AA181" i="44" s="1"/>
  <c r="AA182" i="44" s="1"/>
  <c r="AB177" i="44" s="1"/>
  <c r="BB121" i="44"/>
  <c r="BB123" i="44" s="1"/>
  <c r="BB127" i="44" s="1"/>
  <c r="BB110" i="44"/>
  <c r="BB117" i="44" s="1"/>
  <c r="BB118" i="44" s="1"/>
  <c r="BC115" i="44" s="1"/>
  <c r="BF126" i="44"/>
  <c r="BF45" i="44" s="1"/>
  <c r="Z218" i="44"/>
  <c r="Z67" i="44" s="1"/>
  <c r="Z217" i="44"/>
  <c r="Z219" i="44"/>
  <c r="Z68" i="44" s="1"/>
  <c r="AC169" i="44"/>
  <c r="BF170" i="44"/>
  <c r="BF147" i="44"/>
  <c r="BG89" i="44"/>
  <c r="BG90" i="44" s="1"/>
  <c r="BG97" i="44" s="1"/>
  <c r="BG98" i="44" s="1"/>
  <c r="BH95" i="44" s="1"/>
  <c r="AA195" i="44" l="1"/>
  <c r="AA204" i="44" s="1"/>
  <c r="AA208" i="44" s="1"/>
  <c r="Z69" i="44"/>
  <c r="BB128" i="44"/>
  <c r="BB130" i="44" s="1"/>
  <c r="BB139" i="44" s="1"/>
  <c r="BB140" i="44" s="1"/>
  <c r="BC135" i="44" s="1"/>
  <c r="BC137" i="44" s="1"/>
  <c r="BB60" i="44"/>
  <c r="BB111" i="44"/>
  <c r="BC107" i="44" s="1"/>
  <c r="AC171" i="44"/>
  <c r="AC157" i="44"/>
  <c r="BG101" i="44"/>
  <c r="BG103" i="44" s="1"/>
  <c r="BG91" i="44"/>
  <c r="BH87" i="44" s="1"/>
  <c r="AB185" i="44"/>
  <c r="AB187" i="44" s="1"/>
  <c r="Z49" i="44"/>
  <c r="Z50" i="44" s="1"/>
  <c r="Z220" i="44"/>
  <c r="Z222" i="44" s="1"/>
  <c r="BF201" i="44"/>
  <c r="BF179" i="44"/>
  <c r="AA205" i="44" l="1"/>
  <c r="AB198" i="44" s="1"/>
  <c r="AB200" i="44" s="1"/>
  <c r="BC109" i="44"/>
  <c r="BC121" i="44" s="1"/>
  <c r="BC123" i="44" s="1"/>
  <c r="BC127" i="44" s="1"/>
  <c r="AA210" i="44"/>
  <c r="AA66" i="44" s="1"/>
  <c r="AA48" i="44"/>
  <c r="AA209" i="44"/>
  <c r="AA65" i="44" s="1"/>
  <c r="AB203" i="44"/>
  <c r="AB190" i="44"/>
  <c r="BH89" i="44"/>
  <c r="BH101" i="44" s="1"/>
  <c r="BH103" i="44" s="1"/>
  <c r="BG126" i="44"/>
  <c r="BG138" i="44"/>
  <c r="AC46" i="44"/>
  <c r="AC159" i="44"/>
  <c r="AC62" i="44" s="1"/>
  <c r="AC158" i="44"/>
  <c r="AC61" i="44" s="1"/>
  <c r="AC202" i="44"/>
  <c r="AC180" i="44"/>
  <c r="BC110" i="44" l="1"/>
  <c r="BC117" i="44" s="1"/>
  <c r="BC118" i="44" s="1"/>
  <c r="BD115" i="44" s="1"/>
  <c r="BC128" i="44"/>
  <c r="BC130" i="44" s="1"/>
  <c r="BC139" i="44" s="1"/>
  <c r="BC140" i="44" s="1"/>
  <c r="BD135" i="44" s="1"/>
  <c r="BD137" i="44" s="1"/>
  <c r="BC60" i="44"/>
  <c r="BH90" i="44"/>
  <c r="BH97" i="44" s="1"/>
  <c r="BH98" i="44" s="1"/>
  <c r="BI95" i="44" s="1"/>
  <c r="AA211" i="44"/>
  <c r="AA213" i="44" s="1"/>
  <c r="AA218" i="44" s="1"/>
  <c r="AA67" i="44" s="1"/>
  <c r="BH138" i="44"/>
  <c r="BH126" i="44"/>
  <c r="AB192" i="44"/>
  <c r="AB64" i="44" s="1"/>
  <c r="AB47" i="44"/>
  <c r="AB191" i="44"/>
  <c r="AB63" i="44" s="1"/>
  <c r="BG170" i="44"/>
  <c r="BG147" i="44"/>
  <c r="BG45" i="44"/>
  <c r="AC160" i="44"/>
  <c r="BC111" i="44" l="1"/>
  <c r="BD107" i="44" s="1"/>
  <c r="BD109" i="44" s="1"/>
  <c r="BD121" i="44" s="1"/>
  <c r="BD123" i="44" s="1"/>
  <c r="BD127" i="44" s="1"/>
  <c r="BD128" i="44" s="1"/>
  <c r="BD130" i="44" s="1"/>
  <c r="BD139" i="44" s="1"/>
  <c r="BD140" i="44" s="1"/>
  <c r="BE135" i="44" s="1"/>
  <c r="BE137" i="44" s="1"/>
  <c r="AA217" i="44"/>
  <c r="AA219" i="44"/>
  <c r="AA68" i="44" s="1"/>
  <c r="AA69" i="44" s="1"/>
  <c r="BH91" i="44"/>
  <c r="BI87" i="44" s="1"/>
  <c r="BI89" i="44" s="1"/>
  <c r="BI101" i="44" s="1"/>
  <c r="BI103" i="44" s="1"/>
  <c r="AB193" i="44"/>
  <c r="BG179" i="44"/>
  <c r="BG201" i="44"/>
  <c r="BH45" i="44"/>
  <c r="AC162" i="44"/>
  <c r="AC172" i="44" s="1"/>
  <c r="AC173" i="44" s="1"/>
  <c r="AD167" i="44" s="1"/>
  <c r="AC148" i="44"/>
  <c r="AC149" i="44" s="1"/>
  <c r="AD145" i="44" s="1"/>
  <c r="BH170" i="44"/>
  <c r="BH147" i="44"/>
  <c r="AA220" i="44" l="1"/>
  <c r="AA222" i="44" s="1"/>
  <c r="AA49" i="44"/>
  <c r="AA50" i="44" s="1"/>
  <c r="BD110" i="44"/>
  <c r="BD117" i="44" s="1"/>
  <c r="BD118" i="44" s="1"/>
  <c r="BE115" i="44" s="1"/>
  <c r="BD60" i="44"/>
  <c r="BI126" i="44"/>
  <c r="BI138" i="44"/>
  <c r="BH201" i="44"/>
  <c r="BH179" i="44"/>
  <c r="AD152" i="44"/>
  <c r="AD154" i="44" s="1"/>
  <c r="AD169" i="44"/>
  <c r="BI90" i="44"/>
  <c r="BI97" i="44" s="1"/>
  <c r="BI98" i="44" s="1"/>
  <c r="BJ95" i="44" s="1"/>
  <c r="AB195" i="44"/>
  <c r="AB204" i="44" s="1"/>
  <c r="AB181" i="44"/>
  <c r="AB182" i="44" s="1"/>
  <c r="AC177" i="44" s="1"/>
  <c r="AC185" i="44" s="1"/>
  <c r="AC187" i="44" s="1"/>
  <c r="BD111" i="44" l="1"/>
  <c r="BE107" i="44" s="1"/>
  <c r="BE109" i="44" s="1"/>
  <c r="BE110" i="44" s="1"/>
  <c r="BE117" i="44" s="1"/>
  <c r="BE118" i="44" s="1"/>
  <c r="BF115" i="44" s="1"/>
  <c r="BI91" i="44"/>
  <c r="BJ87" i="44" s="1"/>
  <c r="AD171" i="44"/>
  <c r="AD157" i="44"/>
  <c r="AB208" i="44"/>
  <c r="AB205" i="44"/>
  <c r="AC198" i="44" s="1"/>
  <c r="AC200" i="44" s="1"/>
  <c r="BI147" i="44"/>
  <c r="BI170" i="44"/>
  <c r="E138" i="44"/>
  <c r="AC190" i="44"/>
  <c r="AC203" i="44"/>
  <c r="BI45" i="44"/>
  <c r="BE111" i="44" l="1"/>
  <c r="BF107" i="44" s="1"/>
  <c r="BF109" i="44" s="1"/>
  <c r="BF110" i="44" s="1"/>
  <c r="BF117" i="44" s="1"/>
  <c r="BF118" i="44" s="1"/>
  <c r="BG115" i="44" s="1"/>
  <c r="BE121" i="44"/>
  <c r="BE123" i="44" s="1"/>
  <c r="BE127" i="44" s="1"/>
  <c r="AD46" i="44"/>
  <c r="AD159" i="44"/>
  <c r="AD62" i="44" s="1"/>
  <c r="F38" i="45" s="1"/>
  <c r="AD158" i="44"/>
  <c r="AD61" i="44" s="1"/>
  <c r="AD202" i="44"/>
  <c r="AD180" i="44"/>
  <c r="BJ89" i="44"/>
  <c r="BJ90" i="44" s="1"/>
  <c r="BJ97" i="44" s="1"/>
  <c r="BJ98" i="44" s="1"/>
  <c r="BK95" i="44" s="1"/>
  <c r="BI201" i="44"/>
  <c r="E201" i="44" s="1"/>
  <c r="BI179" i="44"/>
  <c r="E170" i="44"/>
  <c r="AC191" i="44"/>
  <c r="AC63" i="44" s="1"/>
  <c r="AC47" i="44"/>
  <c r="AC192" i="44"/>
  <c r="AC64" i="44" s="1"/>
  <c r="AB209" i="44"/>
  <c r="AB65" i="44" s="1"/>
  <c r="AB210" i="44"/>
  <c r="AB66" i="44" s="1"/>
  <c r="AB48" i="44"/>
  <c r="BF111" i="44" l="1"/>
  <c r="BG107" i="44" s="1"/>
  <c r="BG109" i="44" s="1"/>
  <c r="BG110" i="44" s="1"/>
  <c r="BG117" i="44" s="1"/>
  <c r="BG118" i="44" s="1"/>
  <c r="BH115" i="44" s="1"/>
  <c r="BF121" i="44"/>
  <c r="BF123" i="44" s="1"/>
  <c r="BF127" i="44" s="1"/>
  <c r="BF60" i="44" s="1"/>
  <c r="BE60" i="44"/>
  <c r="BE128" i="44"/>
  <c r="BE130" i="44" s="1"/>
  <c r="BE139" i="44" s="1"/>
  <c r="BE140" i="44" s="1"/>
  <c r="BF135" i="44" s="1"/>
  <c r="BF137" i="44" s="1"/>
  <c r="AB211" i="44"/>
  <c r="AB213" i="44" s="1"/>
  <c r="AB218" i="44" s="1"/>
  <c r="AB67" i="44" s="1"/>
  <c r="AD160" i="44"/>
  <c r="AD162" i="44" s="1"/>
  <c r="AC193" i="44"/>
  <c r="BJ91" i="44"/>
  <c r="BK87" i="44" s="1"/>
  <c r="BJ101" i="44"/>
  <c r="BJ103" i="44" s="1"/>
  <c r="BF128" i="44" l="1"/>
  <c r="BF130" i="44" s="1"/>
  <c r="BF139" i="44" s="1"/>
  <c r="BF140" i="44" s="1"/>
  <c r="BG135" i="44" s="1"/>
  <c r="BG137" i="44" s="1"/>
  <c r="AD148" i="44"/>
  <c r="AD149" i="44" s="1"/>
  <c r="AE145" i="44" s="1"/>
  <c r="AE152" i="44" s="1"/>
  <c r="AE154" i="44" s="1"/>
  <c r="AB217" i="44"/>
  <c r="AB219" i="44"/>
  <c r="AB68" i="44" s="1"/>
  <c r="AB69" i="44" s="1"/>
  <c r="BG111" i="44"/>
  <c r="BH107" i="44" s="1"/>
  <c r="BG121" i="44"/>
  <c r="BG123" i="44" s="1"/>
  <c r="BG127" i="44" s="1"/>
  <c r="BJ126" i="44"/>
  <c r="BJ138" i="44"/>
  <c r="AC181" i="44"/>
  <c r="AC195" i="44"/>
  <c r="AC204" i="44" s="1"/>
  <c r="BK89" i="44"/>
  <c r="BK101" i="44" s="1"/>
  <c r="BK103" i="44" s="1"/>
  <c r="AD172" i="44"/>
  <c r="AD173" i="44" s="1"/>
  <c r="AE167" i="44" s="1"/>
  <c r="AB220" i="44" l="1"/>
  <c r="AB222" i="44" s="1"/>
  <c r="AB49" i="44"/>
  <c r="AB50" i="44" s="1"/>
  <c r="BG60" i="44"/>
  <c r="BG128" i="44"/>
  <c r="BG130" i="44" s="1"/>
  <c r="BG139" i="44" s="1"/>
  <c r="BG140" i="44" s="1"/>
  <c r="BH135" i="44" s="1"/>
  <c r="BH137" i="44" s="1"/>
  <c r="BK90" i="44"/>
  <c r="BK97" i="44" s="1"/>
  <c r="BK98" i="44" s="1"/>
  <c r="BL95" i="44" s="1"/>
  <c r="BH109" i="44"/>
  <c r="BH121" i="44" s="1"/>
  <c r="BH123" i="44" s="1"/>
  <c r="BH127" i="44" s="1"/>
  <c r="BK126" i="44"/>
  <c r="BK138" i="44"/>
  <c r="AC205" i="44"/>
  <c r="AD198" i="44" s="1"/>
  <c r="AC208" i="44"/>
  <c r="AE171" i="44"/>
  <c r="AE157" i="44"/>
  <c r="AE169" i="44"/>
  <c r="AC182" i="44"/>
  <c r="AD177" i="44" s="1"/>
  <c r="BJ147" i="44"/>
  <c r="BJ170" i="44"/>
  <c r="BJ45" i="44"/>
  <c r="BK91" i="44" l="1"/>
  <c r="BL87" i="44" s="1"/>
  <c r="BL89" i="44" s="1"/>
  <c r="BL101" i="44" s="1"/>
  <c r="BL103" i="44" s="1"/>
  <c r="BH110" i="44"/>
  <c r="BH117" i="44" s="1"/>
  <c r="BH118" i="44" s="1"/>
  <c r="BI115" i="44" s="1"/>
  <c r="BH60" i="44"/>
  <c r="BH128" i="44"/>
  <c r="BH130" i="44" s="1"/>
  <c r="BH139" i="44" s="1"/>
  <c r="BH140" i="44" s="1"/>
  <c r="BI135" i="44" s="1"/>
  <c r="AE158" i="44"/>
  <c r="AE61" i="44" s="1"/>
  <c r="AE159" i="44"/>
  <c r="AE62" i="44" s="1"/>
  <c r="AE46" i="44"/>
  <c r="AC210" i="44"/>
  <c r="AC66" i="44" s="1"/>
  <c r="AC48" i="44"/>
  <c r="AC209" i="44"/>
  <c r="AC65" i="44" s="1"/>
  <c r="AD200" i="44"/>
  <c r="AE202" i="44"/>
  <c r="AE180" i="44"/>
  <c r="AD185" i="44"/>
  <c r="AD187" i="44" s="1"/>
  <c r="BK170" i="44"/>
  <c r="BK147" i="44"/>
  <c r="BJ179" i="44"/>
  <c r="BJ201" i="44"/>
  <c r="BK45" i="44"/>
  <c r="BH111" i="44" l="1"/>
  <c r="BI107" i="44" s="1"/>
  <c r="BI109" i="44" s="1"/>
  <c r="BI121" i="44" s="1"/>
  <c r="BI123" i="44" s="1"/>
  <c r="BI127" i="44" s="1"/>
  <c r="AE160" i="44"/>
  <c r="AE162" i="44" s="1"/>
  <c r="AE172" i="44" s="1"/>
  <c r="AE173" i="44" s="1"/>
  <c r="AF167" i="44" s="1"/>
  <c r="BI137" i="44"/>
  <c r="E137" i="44" s="1"/>
  <c r="BL90" i="44"/>
  <c r="BL138" i="44"/>
  <c r="BL126" i="44"/>
  <c r="AD190" i="44"/>
  <c r="AD203" i="44"/>
  <c r="AC211" i="44"/>
  <c r="AC213" i="44" s="1"/>
  <c r="BK201" i="44"/>
  <c r="BK179" i="44"/>
  <c r="BI60" i="44" l="1"/>
  <c r="BI128" i="44"/>
  <c r="BI130" i="44" s="1"/>
  <c r="BI139" i="44" s="1"/>
  <c r="E139" i="44" s="1"/>
  <c r="E140" i="44" s="1"/>
  <c r="AE148" i="44"/>
  <c r="AE149" i="44" s="1"/>
  <c r="AF145" i="44" s="1"/>
  <c r="AF152" i="44" s="1"/>
  <c r="AF154" i="44" s="1"/>
  <c r="AF171" i="44" s="1"/>
  <c r="BI110" i="44"/>
  <c r="BI117" i="44" s="1"/>
  <c r="AD192" i="44"/>
  <c r="AD64" i="44" s="1"/>
  <c r="AD191" i="44"/>
  <c r="AD63" i="44" s="1"/>
  <c r="AD47" i="44"/>
  <c r="BL45" i="44"/>
  <c r="BL147" i="44"/>
  <c r="BL170" i="44"/>
  <c r="AC217" i="44"/>
  <c r="AC218" i="44"/>
  <c r="AC67" i="44" s="1"/>
  <c r="AC219" i="44"/>
  <c r="AC68" i="44" s="1"/>
  <c r="AF169" i="44"/>
  <c r="BL97" i="44"/>
  <c r="BL98" i="44" s="1"/>
  <c r="BM95" i="44" s="1"/>
  <c r="BL91" i="44"/>
  <c r="BM87" i="44" s="1"/>
  <c r="AC69" i="44" l="1"/>
  <c r="AD193" i="44"/>
  <c r="AD181" i="44" s="1"/>
  <c r="AF157" i="44"/>
  <c r="AF46" i="44" s="1"/>
  <c r="BI118" i="44"/>
  <c r="BJ115" i="44" s="1"/>
  <c r="BI111" i="44"/>
  <c r="BJ107" i="44" s="1"/>
  <c r="BI140" i="44"/>
  <c r="BJ135" i="44" s="1"/>
  <c r="BJ137" i="44" s="1"/>
  <c r="AC49" i="44"/>
  <c r="AC50" i="44" s="1"/>
  <c r="AC220" i="44"/>
  <c r="AC222" i="44" s="1"/>
  <c r="BM89" i="44"/>
  <c r="BM101" i="44" s="1"/>
  <c r="BM103" i="44" s="1"/>
  <c r="AF202" i="44"/>
  <c r="AF180" i="44"/>
  <c r="BL179" i="44"/>
  <c r="BL201" i="44"/>
  <c r="AF159" i="44" l="1"/>
  <c r="AF62" i="44" s="1"/>
  <c r="AD195" i="44"/>
  <c r="AD204" i="44" s="1"/>
  <c r="AD208" i="44" s="1"/>
  <c r="AF158" i="44"/>
  <c r="AF61" i="44" s="1"/>
  <c r="BJ109" i="44"/>
  <c r="BJ110" i="44" s="1"/>
  <c r="BJ117" i="44" s="1"/>
  <c r="BM90" i="44"/>
  <c r="BM97" i="44" s="1"/>
  <c r="BM98" i="44" s="1"/>
  <c r="BN95" i="44" s="1"/>
  <c r="E95" i="44" s="1"/>
  <c r="AD182" i="44"/>
  <c r="AE177" i="44" s="1"/>
  <c r="BM138" i="44"/>
  <c r="BM126" i="44"/>
  <c r="AD205" i="44" l="1"/>
  <c r="AE198" i="44" s="1"/>
  <c r="AE200" i="44" s="1"/>
  <c r="BM91" i="44"/>
  <c r="BN87" i="44" s="1"/>
  <c r="BN89" i="44" s="1"/>
  <c r="BN90" i="44" s="1"/>
  <c r="BN97" i="44" s="1"/>
  <c r="AF160" i="44"/>
  <c r="AF148" i="44" s="1"/>
  <c r="AF149" i="44" s="1"/>
  <c r="AG145" i="44" s="1"/>
  <c r="BJ111" i="44"/>
  <c r="BK107" i="44" s="1"/>
  <c r="BK109" i="44" s="1"/>
  <c r="BK110" i="44" s="1"/>
  <c r="BK117" i="44" s="1"/>
  <c r="BJ121" i="44"/>
  <c r="BJ123" i="44" s="1"/>
  <c r="BJ127" i="44" s="1"/>
  <c r="BJ60" i="44" s="1"/>
  <c r="BJ118" i="44"/>
  <c r="BK115" i="44" s="1"/>
  <c r="BM45" i="44"/>
  <c r="BM147" i="44"/>
  <c r="BM170" i="44"/>
  <c r="AE185" i="44"/>
  <c r="AE187" i="44" s="1"/>
  <c r="AD210" i="44"/>
  <c r="AD66" i="44" s="1"/>
  <c r="AD209" i="44"/>
  <c r="AD65" i="44" s="1"/>
  <c r="AD48" i="44"/>
  <c r="BJ128" i="44" l="1"/>
  <c r="BJ130" i="44" s="1"/>
  <c r="BJ139" i="44" s="1"/>
  <c r="BJ140" i="44" s="1"/>
  <c r="BK135" i="44" s="1"/>
  <c r="BK137" i="44" s="1"/>
  <c r="AF162" i="44"/>
  <c r="AF172" i="44" s="1"/>
  <c r="AF173" i="44" s="1"/>
  <c r="AG167" i="44" s="1"/>
  <c r="AG169" i="44" s="1"/>
  <c r="BK111" i="44"/>
  <c r="BL107" i="44" s="1"/>
  <c r="BK118" i="44"/>
  <c r="BL115" i="44" s="1"/>
  <c r="BK121" i="44"/>
  <c r="BK123" i="44" s="1"/>
  <c r="BK127" i="44" s="1"/>
  <c r="BN91" i="44"/>
  <c r="BO87" i="44" s="1"/>
  <c r="E97" i="44"/>
  <c r="BN98" i="44"/>
  <c r="BO95" i="44" s="1"/>
  <c r="BN101" i="44"/>
  <c r="BN103" i="44" s="1"/>
  <c r="BM179" i="44"/>
  <c r="BM201" i="44"/>
  <c r="AG152" i="44"/>
  <c r="AG154" i="44" s="1"/>
  <c r="AE190" i="44"/>
  <c r="AE203" i="44"/>
  <c r="AD211" i="44"/>
  <c r="AD213" i="44" s="1"/>
  <c r="BK60" i="44" l="1"/>
  <c r="BK128" i="44"/>
  <c r="BK130" i="44" s="1"/>
  <c r="BK139" i="44" s="1"/>
  <c r="BK140" i="44" s="1"/>
  <c r="BL135" i="44" s="1"/>
  <c r="BL137" i="44" s="1"/>
  <c r="BL109" i="44"/>
  <c r="BL110" i="44" s="1"/>
  <c r="BL117" i="44" s="1"/>
  <c r="AE47" i="44"/>
  <c r="AE192" i="44"/>
  <c r="AE64" i="44" s="1"/>
  <c r="AE191" i="44"/>
  <c r="AE63" i="44" s="1"/>
  <c r="AD217" i="44"/>
  <c r="AD218" i="44"/>
  <c r="AD67" i="44" s="1"/>
  <c r="AD219" i="44"/>
  <c r="AD68" i="44" s="1"/>
  <c r="F44" i="45" s="1"/>
  <c r="AG157" i="44"/>
  <c r="AG171" i="44"/>
  <c r="BO89" i="44"/>
  <c r="BO90" i="44" s="1"/>
  <c r="BO97" i="44" s="1"/>
  <c r="BO98" i="44" s="1"/>
  <c r="BP95" i="44" s="1"/>
  <c r="BN138" i="44"/>
  <c r="BN126" i="44"/>
  <c r="BL111" i="44" l="1"/>
  <c r="BM107" i="44" s="1"/>
  <c r="BM109" i="44" s="1"/>
  <c r="BM110" i="44" s="1"/>
  <c r="BL121" i="44"/>
  <c r="BL123" i="44" s="1"/>
  <c r="BL127" i="44" s="1"/>
  <c r="BL118" i="44"/>
  <c r="BM115" i="44" s="1"/>
  <c r="AE193" i="44"/>
  <c r="AE195" i="44" s="1"/>
  <c r="AE204" i="44" s="1"/>
  <c r="AG159" i="44"/>
  <c r="AG62" i="44" s="1"/>
  <c r="AG46" i="44"/>
  <c r="AG158" i="44"/>
  <c r="AG61" i="44" s="1"/>
  <c r="BO101" i="44"/>
  <c r="BO103" i="44" s="1"/>
  <c r="AG180" i="44"/>
  <c r="AG202" i="44"/>
  <c r="AD69" i="44"/>
  <c r="BN45" i="44"/>
  <c r="I21" i="45" s="1"/>
  <c r="BN147" i="44"/>
  <c r="E147" i="44" s="1"/>
  <c r="BN170" i="44"/>
  <c r="AD49" i="44"/>
  <c r="AD50" i="44" s="1"/>
  <c r="AD220" i="44"/>
  <c r="AD222" i="44" s="1"/>
  <c r="BO91" i="44"/>
  <c r="BP87" i="44" s="1"/>
  <c r="BM117" i="44" l="1"/>
  <c r="BM111" i="44"/>
  <c r="BN107" i="44" s="1"/>
  <c r="AE181" i="44"/>
  <c r="AE182" i="44" s="1"/>
  <c r="AF177" i="44" s="1"/>
  <c r="BL60" i="44"/>
  <c r="BL128" i="44"/>
  <c r="BL130" i="44" s="1"/>
  <c r="BL139" i="44" s="1"/>
  <c r="BL140" i="44" s="1"/>
  <c r="BM135" i="44" s="1"/>
  <c r="BM137" i="44" s="1"/>
  <c r="AG160" i="44"/>
  <c r="AG148" i="44" s="1"/>
  <c r="AG149" i="44" s="1"/>
  <c r="AH145" i="44" s="1"/>
  <c r="BM121" i="44"/>
  <c r="BM123" i="44" s="1"/>
  <c r="BM127" i="44" s="1"/>
  <c r="BO126" i="44"/>
  <c r="BO138" i="44"/>
  <c r="BP89" i="44"/>
  <c r="BP90" i="44" s="1"/>
  <c r="BP97" i="44" s="1"/>
  <c r="BP98" i="44" s="1"/>
  <c r="BQ95" i="44" s="1"/>
  <c r="BN201" i="44"/>
  <c r="BN179" i="44"/>
  <c r="AE208" i="44"/>
  <c r="AE205" i="44"/>
  <c r="AF198" i="44" s="1"/>
  <c r="AG162" i="44" l="1"/>
  <c r="AG172" i="44" s="1"/>
  <c r="AG173" i="44" s="1"/>
  <c r="AH167" i="44" s="1"/>
  <c r="AH169" i="44" s="1"/>
  <c r="BN109" i="44"/>
  <c r="BM60" i="44"/>
  <c r="BM128" i="44"/>
  <c r="BM130" i="44" s="1"/>
  <c r="BM139" i="44" s="1"/>
  <c r="BM140" i="44" s="1"/>
  <c r="BN135" i="44" s="1"/>
  <c r="BN137" i="44" s="1"/>
  <c r="BM118" i="44"/>
  <c r="BN115" i="44" s="1"/>
  <c r="AE210" i="44"/>
  <c r="AE66" i="44" s="1"/>
  <c r="AE209" i="44"/>
  <c r="AE65" i="44" s="1"/>
  <c r="AE48" i="44"/>
  <c r="BO170" i="44"/>
  <c r="BO147" i="44"/>
  <c r="AF200" i="44"/>
  <c r="BO45" i="44"/>
  <c r="AF185" i="44"/>
  <c r="AF187" i="44" s="1"/>
  <c r="AH152" i="44"/>
  <c r="AH154" i="44" s="1"/>
  <c r="BP91" i="44"/>
  <c r="BQ87" i="44" s="1"/>
  <c r="BP101" i="44"/>
  <c r="BP103" i="44" s="1"/>
  <c r="BN121" i="44" l="1"/>
  <c r="BN123" i="44" s="1"/>
  <c r="BN127" i="44" s="1"/>
  <c r="BN60" i="44" s="1"/>
  <c r="I36" i="45" s="1"/>
  <c r="AE211" i="44"/>
  <c r="AE213" i="44" s="1"/>
  <c r="AE219" i="44" s="1"/>
  <c r="AE68" i="44" s="1"/>
  <c r="E115" i="44"/>
  <c r="BN110" i="44"/>
  <c r="BN117" i="44" s="1"/>
  <c r="E117" i="44" s="1"/>
  <c r="AH171" i="44"/>
  <c r="AH157" i="44"/>
  <c r="AF190" i="44"/>
  <c r="AF203" i="44"/>
  <c r="BO201" i="44"/>
  <c r="BO179" i="44"/>
  <c r="BQ89" i="44"/>
  <c r="BQ90" i="44" s="1"/>
  <c r="BQ97" i="44" s="1"/>
  <c r="BQ98" i="44" s="1"/>
  <c r="BR95" i="44" s="1"/>
  <c r="BP126" i="44"/>
  <c r="BP138" i="44"/>
  <c r="BN128" i="44" l="1"/>
  <c r="BN130" i="44" s="1"/>
  <c r="BN139" i="44" s="1"/>
  <c r="BN140" i="44" s="1"/>
  <c r="BO135" i="44" s="1"/>
  <c r="BO137" i="44" s="1"/>
  <c r="AE218" i="44"/>
  <c r="AE67" i="44" s="1"/>
  <c r="AE69" i="44" s="1"/>
  <c r="AE217" i="44"/>
  <c r="AE49" i="44" s="1"/>
  <c r="AE50" i="44" s="1"/>
  <c r="BN118" i="44"/>
  <c r="BO115" i="44" s="1"/>
  <c r="BN111" i="44"/>
  <c r="BO107" i="44" s="1"/>
  <c r="BP147" i="44"/>
  <c r="BP170" i="44"/>
  <c r="AF192" i="44"/>
  <c r="AF64" i="44" s="1"/>
  <c r="AF191" i="44"/>
  <c r="AF63" i="44" s="1"/>
  <c r="AF47" i="44"/>
  <c r="AH158" i="44"/>
  <c r="AH61" i="44" s="1"/>
  <c r="AH159" i="44"/>
  <c r="AH62" i="44" s="1"/>
  <c r="AH46" i="44"/>
  <c r="BQ101" i="44"/>
  <c r="BQ103" i="44" s="1"/>
  <c r="BP45" i="44"/>
  <c r="BQ91" i="44"/>
  <c r="BR87" i="44" s="1"/>
  <c r="AH180" i="44"/>
  <c r="AH202" i="44"/>
  <c r="AE220" i="44" l="1"/>
  <c r="AE222" i="44" s="1"/>
  <c r="AH160" i="44"/>
  <c r="AH148" i="44" s="1"/>
  <c r="AH149" i="44" s="1"/>
  <c r="AI145" i="44" s="1"/>
  <c r="BO109" i="44"/>
  <c r="BO110" i="44" s="1"/>
  <c r="BO117" i="44" s="1"/>
  <c r="BO118" i="44" s="1"/>
  <c r="BP115" i="44" s="1"/>
  <c r="AF193" i="44"/>
  <c r="AF195" i="44" s="1"/>
  <c r="AF204" i="44" s="1"/>
  <c r="BQ126" i="44"/>
  <c r="BQ138" i="44"/>
  <c r="BR89" i="44"/>
  <c r="BR90" i="44" s="1"/>
  <c r="BR97" i="44" s="1"/>
  <c r="BR98" i="44" s="1"/>
  <c r="BS95" i="44" s="1"/>
  <c r="BP179" i="44"/>
  <c r="BP201" i="44"/>
  <c r="AH162" i="44" l="1"/>
  <c r="AH172" i="44" s="1"/>
  <c r="AH173" i="44" s="1"/>
  <c r="AI167" i="44" s="1"/>
  <c r="AI169" i="44" s="1"/>
  <c r="AF181" i="44"/>
  <c r="AF182" i="44" s="1"/>
  <c r="AG177" i="44" s="1"/>
  <c r="BO121" i="44"/>
  <c r="BO123" i="44" s="1"/>
  <c r="BO127" i="44" s="1"/>
  <c r="BO60" i="44" s="1"/>
  <c r="BR101" i="44"/>
  <c r="BR103" i="44" s="1"/>
  <c r="BR126" i="44" s="1"/>
  <c r="BO111" i="44"/>
  <c r="BP107" i="44" s="1"/>
  <c r="BR91" i="44"/>
  <c r="BS87" i="44" s="1"/>
  <c r="BQ45" i="44"/>
  <c r="AI152" i="44"/>
  <c r="AI154" i="44" s="1"/>
  <c r="BQ170" i="44"/>
  <c r="BQ147" i="44"/>
  <c r="AF208" i="44"/>
  <c r="AF205" i="44"/>
  <c r="AG198" i="44" s="1"/>
  <c r="BO128" i="44" l="1"/>
  <c r="BO130" i="44" s="1"/>
  <c r="BO139" i="44" s="1"/>
  <c r="BO140" i="44" s="1"/>
  <c r="BP135" i="44" s="1"/>
  <c r="BP137" i="44" s="1"/>
  <c r="BR138" i="44"/>
  <c r="BR170" i="44" s="1"/>
  <c r="BP109" i="44"/>
  <c r="BP110" i="44" s="1"/>
  <c r="BP117" i="44" s="1"/>
  <c r="BP118" i="44" s="1"/>
  <c r="BQ115" i="44" s="1"/>
  <c r="AG200" i="44"/>
  <c r="AI171" i="44"/>
  <c r="AI157" i="44"/>
  <c r="BR45" i="44"/>
  <c r="AG185" i="44"/>
  <c r="AG187" i="44" s="1"/>
  <c r="BQ179" i="44"/>
  <c r="BQ201" i="44"/>
  <c r="AF210" i="44"/>
  <c r="AF66" i="44" s="1"/>
  <c r="AF209" i="44"/>
  <c r="AF65" i="44" s="1"/>
  <c r="AF48" i="44"/>
  <c r="BS89" i="44"/>
  <c r="BS101" i="44" s="1"/>
  <c r="BS103" i="44" s="1"/>
  <c r="BR147" i="44" l="1"/>
  <c r="BP111" i="44"/>
  <c r="BQ107" i="44" s="1"/>
  <c r="BQ109" i="44" s="1"/>
  <c r="BQ110" i="44" s="1"/>
  <c r="BQ117" i="44" s="1"/>
  <c r="BQ118" i="44" s="1"/>
  <c r="BR115" i="44" s="1"/>
  <c r="BP121" i="44"/>
  <c r="BP123" i="44" s="1"/>
  <c r="BP127" i="44" s="1"/>
  <c r="BP60" i="44" s="1"/>
  <c r="BS90" i="44"/>
  <c r="BS97" i="44" s="1"/>
  <c r="BS98" i="44" s="1"/>
  <c r="BT95" i="44" s="1"/>
  <c r="AF211" i="44"/>
  <c r="AF213" i="44" s="1"/>
  <c r="AF219" i="44" s="1"/>
  <c r="AF68" i="44" s="1"/>
  <c r="BS138" i="44"/>
  <c r="BS126" i="44"/>
  <c r="AI159" i="44"/>
  <c r="AI62" i="44" s="1"/>
  <c r="AI158" i="44"/>
  <c r="AI61" i="44" s="1"/>
  <c r="AI46" i="44"/>
  <c r="AG203" i="44"/>
  <c r="AG190" i="44"/>
  <c r="AI202" i="44"/>
  <c r="AI180" i="44"/>
  <c r="BR179" i="44"/>
  <c r="BR201" i="44"/>
  <c r="BP128" i="44" l="1"/>
  <c r="BP130" i="44" s="1"/>
  <c r="BP139" i="44" s="1"/>
  <c r="BP140" i="44" s="1"/>
  <c r="BQ135" i="44" s="1"/>
  <c r="BQ137" i="44" s="1"/>
  <c r="BS91" i="44"/>
  <c r="BT87" i="44" s="1"/>
  <c r="BT89" i="44" s="1"/>
  <c r="BT90" i="44" s="1"/>
  <c r="BT97" i="44" s="1"/>
  <c r="BT98" i="44" s="1"/>
  <c r="BU95" i="44" s="1"/>
  <c r="AF218" i="44"/>
  <c r="AF67" i="44" s="1"/>
  <c r="AF69" i="44" s="1"/>
  <c r="AI160" i="44"/>
  <c r="AI162" i="44" s="1"/>
  <c r="AI172" i="44" s="1"/>
  <c r="AI173" i="44" s="1"/>
  <c r="AJ167" i="44" s="1"/>
  <c r="AF217" i="44"/>
  <c r="AF49" i="44" s="1"/>
  <c r="AF50" i="44" s="1"/>
  <c r="BQ111" i="44"/>
  <c r="BR107" i="44" s="1"/>
  <c r="BQ121" i="44"/>
  <c r="BQ123" i="44" s="1"/>
  <c r="BQ127" i="44" s="1"/>
  <c r="AG191" i="44"/>
  <c r="AG63" i="44" s="1"/>
  <c r="AG192" i="44"/>
  <c r="AG64" i="44" s="1"/>
  <c r="AG47" i="44"/>
  <c r="BS45" i="44"/>
  <c r="BS170" i="44"/>
  <c r="BS147" i="44"/>
  <c r="AI148" i="44" l="1"/>
  <c r="AI149" i="44" s="1"/>
  <c r="AJ145" i="44" s="1"/>
  <c r="AJ152" i="44" s="1"/>
  <c r="AJ154" i="44" s="1"/>
  <c r="AF220" i="44"/>
  <c r="AF222" i="44" s="1"/>
  <c r="BQ60" i="44"/>
  <c r="BQ128" i="44"/>
  <c r="BQ130" i="44" s="1"/>
  <c r="BQ139" i="44" s="1"/>
  <c r="BQ140" i="44" s="1"/>
  <c r="BR135" i="44" s="1"/>
  <c r="BR137" i="44" s="1"/>
  <c r="BR109" i="44"/>
  <c r="BR121" i="44" s="1"/>
  <c r="BR123" i="44" s="1"/>
  <c r="BR127" i="44" s="1"/>
  <c r="AG193" i="44"/>
  <c r="AG195" i="44" s="1"/>
  <c r="AG204" i="44" s="1"/>
  <c r="BT101" i="44"/>
  <c r="BT103" i="44" s="1"/>
  <c r="BT91" i="44"/>
  <c r="BU87" i="44" s="1"/>
  <c r="AJ169" i="44"/>
  <c r="BS201" i="44"/>
  <c r="BS179" i="44"/>
  <c r="AG181" i="44" l="1"/>
  <c r="AG182" i="44" s="1"/>
  <c r="AH177" i="44" s="1"/>
  <c r="BR110" i="44"/>
  <c r="BR60" i="44"/>
  <c r="BR128" i="44"/>
  <c r="BR130" i="44" s="1"/>
  <c r="BR139" i="44" s="1"/>
  <c r="BR140" i="44" s="1"/>
  <c r="BS135" i="44" s="1"/>
  <c r="BS137" i="44" s="1"/>
  <c r="AJ171" i="44"/>
  <c r="AJ157" i="44"/>
  <c r="BU89" i="44"/>
  <c r="BU101" i="44" s="1"/>
  <c r="BU103" i="44" s="1"/>
  <c r="AG208" i="44"/>
  <c r="AG205" i="44"/>
  <c r="AH198" i="44" s="1"/>
  <c r="BT126" i="44"/>
  <c r="BT138" i="44"/>
  <c r="BR117" i="44" l="1"/>
  <c r="BR118" i="44" s="1"/>
  <c r="BS115" i="44" s="1"/>
  <c r="BR111" i="44"/>
  <c r="BS107" i="44" s="1"/>
  <c r="BT170" i="44"/>
  <c r="BT147" i="44"/>
  <c r="AJ158" i="44"/>
  <c r="AJ61" i="44" s="1"/>
  <c r="AJ159" i="44"/>
  <c r="AJ62" i="44" s="1"/>
  <c r="AJ46" i="44"/>
  <c r="AH185" i="44"/>
  <c r="AH187" i="44" s="1"/>
  <c r="AH200" i="44"/>
  <c r="AJ180" i="44"/>
  <c r="AJ202" i="44"/>
  <c r="BT45" i="44"/>
  <c r="AG210" i="44"/>
  <c r="AG66" i="44" s="1"/>
  <c r="AG48" i="44"/>
  <c r="AG209" i="44"/>
  <c r="AG65" i="44" s="1"/>
  <c r="BU138" i="44"/>
  <c r="BU126" i="44"/>
  <c r="BU90" i="44"/>
  <c r="BU97" i="44" s="1"/>
  <c r="BU98" i="44" s="1"/>
  <c r="BV95" i="44" s="1"/>
  <c r="AJ160" i="44" l="1"/>
  <c r="AJ162" i="44" s="1"/>
  <c r="AJ172" i="44" s="1"/>
  <c r="AJ173" i="44" s="1"/>
  <c r="AK167" i="44" s="1"/>
  <c r="BS109" i="44"/>
  <c r="BS121" i="44" s="1"/>
  <c r="BS123" i="44" s="1"/>
  <c r="BS127" i="44" s="1"/>
  <c r="AH203" i="44"/>
  <c r="AH190" i="44"/>
  <c r="BU45" i="44"/>
  <c r="AG211" i="44"/>
  <c r="AG213" i="44" s="1"/>
  <c r="BU147" i="44"/>
  <c r="BU170" i="44"/>
  <c r="BU91" i="44"/>
  <c r="BV87" i="44" s="1"/>
  <c r="BT179" i="44"/>
  <c r="BT201" i="44"/>
  <c r="AJ148" i="44" l="1"/>
  <c r="AJ149" i="44" s="1"/>
  <c r="AK145" i="44" s="1"/>
  <c r="AK152" i="44" s="1"/>
  <c r="AK154" i="44" s="1"/>
  <c r="BS60" i="44"/>
  <c r="BS128" i="44"/>
  <c r="BS130" i="44" s="1"/>
  <c r="BS139" i="44" s="1"/>
  <c r="BS140" i="44" s="1"/>
  <c r="BT135" i="44" s="1"/>
  <c r="BT137" i="44" s="1"/>
  <c r="BS110" i="44"/>
  <c r="AG218" i="44"/>
  <c r="AG67" i="44" s="1"/>
  <c r="AG219" i="44"/>
  <c r="AG68" i="44" s="1"/>
  <c r="AG217" i="44"/>
  <c r="BV89" i="44"/>
  <c r="BV90" i="44" s="1"/>
  <c r="BV97" i="44" s="1"/>
  <c r="BV98" i="44" s="1"/>
  <c r="BW95" i="44" s="1"/>
  <c r="AK169" i="44"/>
  <c r="BU201" i="44"/>
  <c r="BU179" i="44"/>
  <c r="AH192" i="44"/>
  <c r="AH64" i="44" s="1"/>
  <c r="AH47" i="44"/>
  <c r="AH191" i="44"/>
  <c r="AH63" i="44" s="1"/>
  <c r="AG69" i="44" l="1"/>
  <c r="BV101" i="44"/>
  <c r="BV103" i="44" s="1"/>
  <c r="BV126" i="44" s="1"/>
  <c r="AH193" i="44"/>
  <c r="AH181" i="44" s="1"/>
  <c r="AH182" i="44" s="1"/>
  <c r="AI177" i="44" s="1"/>
  <c r="BS117" i="44"/>
  <c r="BS118" i="44" s="1"/>
  <c r="BT115" i="44" s="1"/>
  <c r="BS111" i="44"/>
  <c r="BT107" i="44" s="1"/>
  <c r="AK157" i="44"/>
  <c r="AK171" i="44"/>
  <c r="BV91" i="44"/>
  <c r="BW87" i="44" s="1"/>
  <c r="AG220" i="44"/>
  <c r="AG222" i="44" s="1"/>
  <c r="AG49" i="44"/>
  <c r="AG50" i="44" s="1"/>
  <c r="BV138" i="44" l="1"/>
  <c r="BV147" i="44" s="1"/>
  <c r="AH195" i="44"/>
  <c r="AH204" i="44" s="1"/>
  <c r="AH208" i="44" s="1"/>
  <c r="BT109" i="44"/>
  <c r="BT110" i="44" s="1"/>
  <c r="BT117" i="44" s="1"/>
  <c r="BT118" i="44" s="1"/>
  <c r="BU115" i="44" s="1"/>
  <c r="BW89" i="44"/>
  <c r="BW101" i="44" s="1"/>
  <c r="BW103" i="44" s="1"/>
  <c r="BV45" i="44"/>
  <c r="AK202" i="44"/>
  <c r="AK180" i="44"/>
  <c r="AI185" i="44"/>
  <c r="AI187" i="44" s="1"/>
  <c r="AK46" i="44"/>
  <c r="AK159" i="44"/>
  <c r="AK62" i="44" s="1"/>
  <c r="AK158" i="44"/>
  <c r="AK61" i="44" s="1"/>
  <c r="BW90" i="44" l="1"/>
  <c r="BW97" i="44" s="1"/>
  <c r="BW98" i="44" s="1"/>
  <c r="BX95" i="44" s="1"/>
  <c r="BV170" i="44"/>
  <c r="BV201" i="44" s="1"/>
  <c r="AH205" i="44"/>
  <c r="AI198" i="44" s="1"/>
  <c r="AI200" i="44" s="1"/>
  <c r="BT121" i="44"/>
  <c r="BT123" i="44" s="1"/>
  <c r="BT127" i="44" s="1"/>
  <c r="BT60" i="44" s="1"/>
  <c r="BT111" i="44"/>
  <c r="BU107" i="44" s="1"/>
  <c r="AK160" i="44"/>
  <c r="AK162" i="44" s="1"/>
  <c r="AK172" i="44" s="1"/>
  <c r="AK173" i="44" s="1"/>
  <c r="AL167" i="44" s="1"/>
  <c r="AH209" i="44"/>
  <c r="AH65" i="44" s="1"/>
  <c r="AH210" i="44"/>
  <c r="AH66" i="44" s="1"/>
  <c r="AH48" i="44"/>
  <c r="AI203" i="44"/>
  <c r="AI190" i="44"/>
  <c r="BW126" i="44"/>
  <c r="BW138" i="44"/>
  <c r="BV179" i="44" l="1"/>
  <c r="BW91" i="44"/>
  <c r="BX87" i="44" s="1"/>
  <c r="BX89" i="44" s="1"/>
  <c r="BX90" i="44" s="1"/>
  <c r="BX97" i="44" s="1"/>
  <c r="BX98" i="44" s="1"/>
  <c r="BY95" i="44" s="1"/>
  <c r="AK148" i="44"/>
  <c r="AK149" i="44" s="1"/>
  <c r="AL145" i="44" s="1"/>
  <c r="AL152" i="44" s="1"/>
  <c r="AL154" i="44" s="1"/>
  <c r="BT128" i="44"/>
  <c r="BT130" i="44" s="1"/>
  <c r="BT139" i="44" s="1"/>
  <c r="BT140" i="44" s="1"/>
  <c r="BU135" i="44" s="1"/>
  <c r="BU137" i="44" s="1"/>
  <c r="AH211" i="44"/>
  <c r="AH213" i="44" s="1"/>
  <c r="AH217" i="44" s="1"/>
  <c r="BU109" i="44"/>
  <c r="BU121" i="44" s="1"/>
  <c r="BU123" i="44" s="1"/>
  <c r="BU127" i="44" s="1"/>
  <c r="BW45" i="44"/>
  <c r="AL169" i="44"/>
  <c r="BW170" i="44"/>
  <c r="BW147" i="44"/>
  <c r="AI192" i="44"/>
  <c r="AI64" i="44" s="1"/>
  <c r="AI47" i="44"/>
  <c r="AI191" i="44"/>
  <c r="AI63" i="44" s="1"/>
  <c r="BX101" i="44" l="1"/>
  <c r="BX103" i="44" s="1"/>
  <c r="BX126" i="44" s="1"/>
  <c r="BX45" i="44" s="1"/>
  <c r="BX91" i="44"/>
  <c r="BY87" i="44" s="1"/>
  <c r="BY89" i="44" s="1"/>
  <c r="BY90" i="44" s="1"/>
  <c r="BY97" i="44" s="1"/>
  <c r="BY98" i="44" s="1"/>
  <c r="BZ95" i="44" s="1"/>
  <c r="AH218" i="44"/>
  <c r="AH67" i="44" s="1"/>
  <c r="AH219" i="44"/>
  <c r="AH68" i="44" s="1"/>
  <c r="BU110" i="44"/>
  <c r="BU60" i="44"/>
  <c r="BU128" i="44"/>
  <c r="BU130" i="44" s="1"/>
  <c r="BU139" i="44" s="1"/>
  <c r="BU140" i="44" s="1"/>
  <c r="BV135" i="44" s="1"/>
  <c r="BV137" i="44" s="1"/>
  <c r="AL157" i="44"/>
  <c r="AL171" i="44"/>
  <c r="BW179" i="44"/>
  <c r="BW201" i="44"/>
  <c r="AI193" i="44"/>
  <c r="AH49" i="44"/>
  <c r="AH50" i="44" s="1"/>
  <c r="BY91" i="44" l="1"/>
  <c r="BZ87" i="44" s="1"/>
  <c r="BZ89" i="44" s="1"/>
  <c r="BZ101" i="44" s="1"/>
  <c r="BZ103" i="44" s="1"/>
  <c r="BZ138" i="44" s="1"/>
  <c r="BY101" i="44"/>
  <c r="BY103" i="44" s="1"/>
  <c r="BY126" i="44" s="1"/>
  <c r="BX138" i="44"/>
  <c r="AH69" i="44"/>
  <c r="AH220" i="44"/>
  <c r="AH222" i="44" s="1"/>
  <c r="BU117" i="44"/>
  <c r="BU118" i="44" s="1"/>
  <c r="BV115" i="44" s="1"/>
  <c r="BU111" i="44"/>
  <c r="BV107" i="44" s="1"/>
  <c r="AI195" i="44"/>
  <c r="AI204" i="44" s="1"/>
  <c r="AI181" i="44"/>
  <c r="AI182" i="44" s="1"/>
  <c r="AJ177" i="44" s="1"/>
  <c r="AL180" i="44"/>
  <c r="AL202" i="44"/>
  <c r="AL46" i="44"/>
  <c r="AL159" i="44"/>
  <c r="AL62" i="44" s="1"/>
  <c r="AL158" i="44"/>
  <c r="AL61" i="44" s="1"/>
  <c r="BY138" i="44" l="1"/>
  <c r="BY147" i="44" s="1"/>
  <c r="BZ126" i="44"/>
  <c r="BZ45" i="44" s="1"/>
  <c r="BZ90" i="44"/>
  <c r="BZ97" i="44" s="1"/>
  <c r="BZ98" i="44" s="1"/>
  <c r="CA95" i="44" s="1"/>
  <c r="BX170" i="44"/>
  <c r="BX147" i="44"/>
  <c r="BV109" i="44"/>
  <c r="BV121" i="44" s="1"/>
  <c r="BV123" i="44" s="1"/>
  <c r="BV127" i="44" s="1"/>
  <c r="BY45" i="44"/>
  <c r="BZ147" i="44"/>
  <c r="BZ170" i="44"/>
  <c r="AJ185" i="44"/>
  <c r="AJ187" i="44" s="1"/>
  <c r="AL160" i="44"/>
  <c r="AI208" i="44"/>
  <c r="AI205" i="44"/>
  <c r="AJ198" i="44" s="1"/>
  <c r="BY170" i="44" l="1"/>
  <c r="BY201" i="44" s="1"/>
  <c r="BZ91" i="44"/>
  <c r="CA87" i="44" s="1"/>
  <c r="CA89" i="44" s="1"/>
  <c r="CA90" i="44" s="1"/>
  <c r="CA97" i="44" s="1"/>
  <c r="CA98" i="44" s="1"/>
  <c r="CB95" i="44" s="1"/>
  <c r="BX201" i="44"/>
  <c r="BX179" i="44"/>
  <c r="BV110" i="44"/>
  <c r="BV117" i="44" s="1"/>
  <c r="BV118" i="44" s="1"/>
  <c r="BW115" i="44" s="1"/>
  <c r="BV60" i="44"/>
  <c r="BV128" i="44"/>
  <c r="BV130" i="44" s="1"/>
  <c r="BV139" i="44" s="1"/>
  <c r="BV140" i="44" s="1"/>
  <c r="BW135" i="44" s="1"/>
  <c r="BW137" i="44" s="1"/>
  <c r="AJ203" i="44"/>
  <c r="AJ190" i="44"/>
  <c r="AL162" i="44"/>
  <c r="AL172" i="44" s="1"/>
  <c r="AL173" i="44" s="1"/>
  <c r="AM167" i="44" s="1"/>
  <c r="AL148" i="44"/>
  <c r="AL149" i="44" s="1"/>
  <c r="AM145" i="44" s="1"/>
  <c r="AJ200" i="44"/>
  <c r="BZ179" i="44"/>
  <c r="BZ201" i="44"/>
  <c r="AI209" i="44"/>
  <c r="AI65" i="44" s="1"/>
  <c r="AI210" i="44"/>
  <c r="AI66" i="44" s="1"/>
  <c r="AI48" i="44"/>
  <c r="BY179" i="44" l="1"/>
  <c r="CA91" i="44"/>
  <c r="CB87" i="44" s="1"/>
  <c r="CB89" i="44" s="1"/>
  <c r="CB90" i="44" s="1"/>
  <c r="CB97" i="44" s="1"/>
  <c r="CB98" i="44" s="1"/>
  <c r="CC95" i="44" s="1"/>
  <c r="CA101" i="44"/>
  <c r="CA103" i="44" s="1"/>
  <c r="CA138" i="44" s="1"/>
  <c r="CA147" i="44" s="1"/>
  <c r="AI211" i="44"/>
  <c r="AI213" i="44" s="1"/>
  <c r="AI217" i="44" s="1"/>
  <c r="BV111" i="44"/>
  <c r="BW107" i="44" s="1"/>
  <c r="AJ191" i="44"/>
  <c r="AJ63" i="44" s="1"/>
  <c r="AJ47" i="44"/>
  <c r="AJ192" i="44"/>
  <c r="AJ64" i="44" s="1"/>
  <c r="AM152" i="44"/>
  <c r="AM154" i="44" s="1"/>
  <c r="AM169" i="44"/>
  <c r="CA170" i="44" l="1"/>
  <c r="CA201" i="44" s="1"/>
  <c r="CB101" i="44"/>
  <c r="CB103" i="44" s="1"/>
  <c r="CB138" i="44" s="1"/>
  <c r="CB91" i="44"/>
  <c r="CC87" i="44" s="1"/>
  <c r="CC89" i="44" s="1"/>
  <c r="CC101" i="44" s="1"/>
  <c r="CC103" i="44" s="1"/>
  <c r="CA126" i="44"/>
  <c r="CA45" i="44" s="1"/>
  <c r="AI218" i="44"/>
  <c r="AI67" i="44" s="1"/>
  <c r="AI219" i="44"/>
  <c r="AI68" i="44" s="1"/>
  <c r="AJ193" i="44"/>
  <c r="AJ195" i="44" s="1"/>
  <c r="AJ204" i="44" s="1"/>
  <c r="BW109" i="44"/>
  <c r="BW110" i="44" s="1"/>
  <c r="BW117" i="44" s="1"/>
  <c r="BW118" i="44" s="1"/>
  <c r="BX115" i="44" s="1"/>
  <c r="AM157" i="44"/>
  <c r="AM171" i="44"/>
  <c r="AI49" i="44"/>
  <c r="AI50" i="44" s="1"/>
  <c r="CA179" i="44" l="1"/>
  <c r="CB126" i="44"/>
  <c r="CB45" i="44" s="1"/>
  <c r="AI220" i="44"/>
  <c r="AI222" i="44" s="1"/>
  <c r="AI69" i="44"/>
  <c r="AJ181" i="44"/>
  <c r="AJ182" i="44" s="1"/>
  <c r="AK177" i="44" s="1"/>
  <c r="AK185" i="44" s="1"/>
  <c r="AK187" i="44" s="1"/>
  <c r="BW111" i="44"/>
  <c r="BX107" i="44" s="1"/>
  <c r="BW121" i="44"/>
  <c r="BW123" i="44" s="1"/>
  <c r="BW127" i="44" s="1"/>
  <c r="CC90" i="44"/>
  <c r="CC97" i="44" s="1"/>
  <c r="CC98" i="44" s="1"/>
  <c r="CD95" i="44" s="1"/>
  <c r="CC138" i="44"/>
  <c r="CC126" i="44"/>
  <c r="CB147" i="44"/>
  <c r="CB170" i="44"/>
  <c r="AJ208" i="44"/>
  <c r="AJ205" i="44"/>
  <c r="AK198" i="44" s="1"/>
  <c r="AM180" i="44"/>
  <c r="AM202" i="44"/>
  <c r="AM159" i="44"/>
  <c r="AM62" i="44" s="1"/>
  <c r="AM158" i="44"/>
  <c r="AM61" i="44" s="1"/>
  <c r="AM46" i="44"/>
  <c r="CC91" i="44" l="1"/>
  <c r="CD87" i="44" s="1"/>
  <c r="CD89" i="44" s="1"/>
  <c r="AM160" i="44"/>
  <c r="AM148" i="44" s="1"/>
  <c r="AM149" i="44" s="1"/>
  <c r="AN145" i="44" s="1"/>
  <c r="BW60" i="44"/>
  <c r="BW128" i="44"/>
  <c r="BW130" i="44" s="1"/>
  <c r="BW139" i="44" s="1"/>
  <c r="BW140" i="44" s="1"/>
  <c r="BX135" i="44" s="1"/>
  <c r="BX137" i="44" s="1"/>
  <c r="BX109" i="44"/>
  <c r="BX121" i="44" s="1"/>
  <c r="BX123" i="44" s="1"/>
  <c r="BX127" i="44" s="1"/>
  <c r="AJ209" i="44"/>
  <c r="AJ65" i="44" s="1"/>
  <c r="AJ48" i="44"/>
  <c r="AJ210" i="44"/>
  <c r="AJ66" i="44" s="1"/>
  <c r="CB179" i="44"/>
  <c r="CB201" i="44"/>
  <c r="CC45" i="44"/>
  <c r="AK203" i="44"/>
  <c r="AK190" i="44"/>
  <c r="CC147" i="44"/>
  <c r="CC170" i="44"/>
  <c r="AK200" i="44"/>
  <c r="AM162" i="44" l="1"/>
  <c r="AM172" i="44" s="1"/>
  <c r="AM173" i="44" s="1"/>
  <c r="AN167" i="44" s="1"/>
  <c r="AN169" i="44" s="1"/>
  <c r="CD90" i="44"/>
  <c r="CD97" i="44" s="1"/>
  <c r="CD98" i="44" s="1"/>
  <c r="CE95" i="44" s="1"/>
  <c r="BX110" i="44"/>
  <c r="AJ211" i="44"/>
  <c r="AJ213" i="44" s="1"/>
  <c r="AJ219" i="44" s="1"/>
  <c r="AJ68" i="44" s="1"/>
  <c r="BX60" i="44"/>
  <c r="BX128" i="44"/>
  <c r="BX130" i="44" s="1"/>
  <c r="BX139" i="44" s="1"/>
  <c r="BX140" i="44" s="1"/>
  <c r="BY135" i="44" s="1"/>
  <c r="BY137" i="44" s="1"/>
  <c r="AK47" i="44"/>
  <c r="AK192" i="44"/>
  <c r="AK64" i="44" s="1"/>
  <c r="AK191" i="44"/>
  <c r="AK63" i="44" s="1"/>
  <c r="CD101" i="44"/>
  <c r="CD103" i="44" s="1"/>
  <c r="CC179" i="44"/>
  <c r="CC201" i="44"/>
  <c r="AN152" i="44"/>
  <c r="AN154" i="44" s="1"/>
  <c r="AJ217" i="44" l="1"/>
  <c r="AJ49" i="44" s="1"/>
  <c r="AJ50" i="44" s="1"/>
  <c r="AJ218" i="44"/>
  <c r="AJ67" i="44" s="1"/>
  <c r="AJ69" i="44" s="1"/>
  <c r="AK193" i="44"/>
  <c r="AK195" i="44" s="1"/>
  <c r="AK204" i="44" s="1"/>
  <c r="CD91" i="44"/>
  <c r="CE87" i="44" s="1"/>
  <c r="BX117" i="44"/>
  <c r="BX118" i="44" s="1"/>
  <c r="BY115" i="44" s="1"/>
  <c r="BX111" i="44"/>
  <c r="BY107" i="44" s="1"/>
  <c r="AN171" i="44"/>
  <c r="AN157" i="44"/>
  <c r="CD138" i="44"/>
  <c r="CD126" i="44"/>
  <c r="AK181" i="44" l="1"/>
  <c r="AK182" i="44" s="1"/>
  <c r="AL177" i="44" s="1"/>
  <c r="AL185" i="44" s="1"/>
  <c r="AL187" i="44" s="1"/>
  <c r="AJ220" i="44"/>
  <c r="AJ222" i="44" s="1"/>
  <c r="CE89" i="44"/>
  <c r="CE101" i="44" s="1"/>
  <c r="CE103" i="44" s="1"/>
  <c r="BY109" i="44"/>
  <c r="BY110" i="44" s="1"/>
  <c r="BY117" i="44" s="1"/>
  <c r="BY118" i="44" s="1"/>
  <c r="BZ115" i="44" s="1"/>
  <c r="AN180" i="44"/>
  <c r="AN202" i="44"/>
  <c r="AK208" i="44"/>
  <c r="AK205" i="44"/>
  <c r="AL198" i="44" s="1"/>
  <c r="CD45" i="44"/>
  <c r="CD147" i="44"/>
  <c r="CD170" i="44"/>
  <c r="AN158" i="44"/>
  <c r="AN61" i="44" s="1"/>
  <c r="AN159" i="44"/>
  <c r="AN62" i="44" s="1"/>
  <c r="AN46" i="44"/>
  <c r="CE126" i="44" l="1"/>
  <c r="CE45" i="44" s="1"/>
  <c r="CE138" i="44"/>
  <c r="AN160" i="44"/>
  <c r="AN162" i="44" s="1"/>
  <c r="AN172" i="44" s="1"/>
  <c r="AN173" i="44" s="1"/>
  <c r="AO167" i="44" s="1"/>
  <c r="BY111" i="44"/>
  <c r="BZ107" i="44" s="1"/>
  <c r="BZ109" i="44" s="1"/>
  <c r="BZ110" i="44" s="1"/>
  <c r="BZ117" i="44" s="1"/>
  <c r="BZ118" i="44" s="1"/>
  <c r="CA115" i="44" s="1"/>
  <c r="CE90" i="44"/>
  <c r="CE97" i="44" s="1"/>
  <c r="CE98" i="44" s="1"/>
  <c r="CF95" i="44" s="1"/>
  <c r="BY121" i="44"/>
  <c r="BY123" i="44" s="1"/>
  <c r="BY127" i="44" s="1"/>
  <c r="AL203" i="44"/>
  <c r="AL190" i="44"/>
  <c r="AL200" i="44"/>
  <c r="CD201" i="44"/>
  <c r="CD179" i="44"/>
  <c r="AK209" i="44"/>
  <c r="AK65" i="44" s="1"/>
  <c r="AK48" i="44"/>
  <c r="AK210" i="44"/>
  <c r="AK66" i="44" s="1"/>
  <c r="AN148" i="44" l="1"/>
  <c r="AN149" i="44" s="1"/>
  <c r="AO145" i="44" s="1"/>
  <c r="AO152" i="44" s="1"/>
  <c r="AO154" i="44" s="1"/>
  <c r="BZ121" i="44"/>
  <c r="BZ123" i="44" s="1"/>
  <c r="BZ127" i="44" s="1"/>
  <c r="BZ128" i="44" s="1"/>
  <c r="BZ130" i="44" s="1"/>
  <c r="CE91" i="44"/>
  <c r="CF87" i="44" s="1"/>
  <c r="CE170" i="44"/>
  <c r="CE147" i="44"/>
  <c r="BY60" i="44"/>
  <c r="BY128" i="44"/>
  <c r="BY130" i="44" s="1"/>
  <c r="BY139" i="44" s="1"/>
  <c r="BY140" i="44" s="1"/>
  <c r="BZ135" i="44" s="1"/>
  <c r="BZ137" i="44" s="1"/>
  <c r="BZ111" i="44"/>
  <c r="CA107" i="44" s="1"/>
  <c r="AO169" i="44"/>
  <c r="AK211" i="44"/>
  <c r="AK213" i="44" s="1"/>
  <c r="AL191" i="44"/>
  <c r="AL63" i="44" s="1"/>
  <c r="AL192" i="44"/>
  <c r="AL64" i="44" s="1"/>
  <c r="AL47" i="44"/>
  <c r="BZ60" i="44" l="1"/>
  <c r="CF89" i="44"/>
  <c r="CF90" i="44" s="1"/>
  <c r="CF97" i="44" s="1"/>
  <c r="CF98" i="44" s="1"/>
  <c r="CG95" i="44" s="1"/>
  <c r="BZ139" i="44"/>
  <c r="BZ140" i="44" s="1"/>
  <c r="CA135" i="44" s="1"/>
  <c r="CA137" i="44" s="1"/>
  <c r="CE201" i="44"/>
  <c r="CE179" i="44"/>
  <c r="CA109" i="44"/>
  <c r="CA121" i="44" s="1"/>
  <c r="CA123" i="44" s="1"/>
  <c r="CA127" i="44" s="1"/>
  <c r="AK219" i="44"/>
  <c r="AK68" i="44" s="1"/>
  <c r="AK217" i="44"/>
  <c r="AK218" i="44"/>
  <c r="AK67" i="44" s="1"/>
  <c r="AL193" i="44"/>
  <c r="AO171" i="44"/>
  <c r="AO157" i="44"/>
  <c r="AK69" i="44" l="1"/>
  <c r="CA110" i="44"/>
  <c r="CA117" i="44" s="1"/>
  <c r="CA118" i="44" s="1"/>
  <c r="CB115" i="44" s="1"/>
  <c r="CF101" i="44"/>
  <c r="CF103" i="44" s="1"/>
  <c r="CF91" i="44"/>
  <c r="CG87" i="44" s="1"/>
  <c r="CA60" i="44"/>
  <c r="CA128" i="44"/>
  <c r="CA130" i="44" s="1"/>
  <c r="CA139" i="44" s="1"/>
  <c r="CA140" i="44" s="1"/>
  <c r="CB135" i="44" s="1"/>
  <c r="CB137" i="44" s="1"/>
  <c r="AK49" i="44"/>
  <c r="AK50" i="44" s="1"/>
  <c r="AK220" i="44"/>
  <c r="AK222" i="44" s="1"/>
  <c r="AO180" i="44"/>
  <c r="AO202" i="44"/>
  <c r="AO158" i="44"/>
  <c r="AO61" i="44" s="1"/>
  <c r="AO46" i="44"/>
  <c r="AO159" i="44"/>
  <c r="AO62" i="44" s="1"/>
  <c r="AL195" i="44"/>
  <c r="AL204" i="44" s="1"/>
  <c r="AL181" i="44"/>
  <c r="CA111" i="44" l="1"/>
  <c r="CB107" i="44" s="1"/>
  <c r="CB109" i="44" s="1"/>
  <c r="CB121" i="44" s="1"/>
  <c r="CB123" i="44" s="1"/>
  <c r="CB127" i="44" s="1"/>
  <c r="CG89" i="44"/>
  <c r="CG90" i="44" s="1"/>
  <c r="CG97" i="44" s="1"/>
  <c r="CG98" i="44" s="1"/>
  <c r="CH95" i="44" s="1"/>
  <c r="CF126" i="44"/>
  <c r="CF45" i="44" s="1"/>
  <c r="CF138" i="44"/>
  <c r="AO160" i="44"/>
  <c r="AO148" i="44" s="1"/>
  <c r="AO149" i="44" s="1"/>
  <c r="AP145" i="44" s="1"/>
  <c r="E181" i="44"/>
  <c r="E182" i="44" s="1"/>
  <c r="AL182" i="44"/>
  <c r="AM177" i="44" s="1"/>
  <c r="AL208" i="44"/>
  <c r="AL205" i="44"/>
  <c r="AM198" i="44" s="1"/>
  <c r="CF147" i="44" l="1"/>
  <c r="CF170" i="44"/>
  <c r="AO162" i="44"/>
  <c r="AO172" i="44" s="1"/>
  <c r="AO173" i="44" s="1"/>
  <c r="AP167" i="44" s="1"/>
  <c r="AP169" i="44" s="1"/>
  <c r="CG101" i="44"/>
  <c r="CG103" i="44" s="1"/>
  <c r="CG91" i="44"/>
  <c r="CH87" i="44" s="1"/>
  <c r="CB110" i="44"/>
  <c r="CB117" i="44" s="1"/>
  <c r="CB118" i="44" s="1"/>
  <c r="CC115" i="44" s="1"/>
  <c r="CB60" i="44"/>
  <c r="CB128" i="44"/>
  <c r="CB130" i="44" s="1"/>
  <c r="CB139" i="44" s="1"/>
  <c r="CB140" i="44" s="1"/>
  <c r="CC135" i="44" s="1"/>
  <c r="CC137" i="44" s="1"/>
  <c r="AM185" i="44"/>
  <c r="AM187" i="44" s="1"/>
  <c r="AM200" i="44"/>
  <c r="AL48" i="44"/>
  <c r="AL210" i="44"/>
  <c r="AL66" i="44" s="1"/>
  <c r="AL209" i="44"/>
  <c r="AL65" i="44" s="1"/>
  <c r="AP152" i="44"/>
  <c r="AP154" i="44" s="1"/>
  <c r="CH89" i="44" l="1"/>
  <c r="CH90" i="44" s="1"/>
  <c r="CH97" i="44" s="1"/>
  <c r="CH98" i="44" s="1"/>
  <c r="CI95" i="44" s="1"/>
  <c r="CG126" i="44"/>
  <c r="CG45" i="44" s="1"/>
  <c r="CG138" i="44"/>
  <c r="CF201" i="44"/>
  <c r="CF179" i="44"/>
  <c r="CB111" i="44"/>
  <c r="CC107" i="44" s="1"/>
  <c r="AP171" i="44"/>
  <c r="AP157" i="44"/>
  <c r="AM203" i="44"/>
  <c r="AM190" i="44"/>
  <c r="AL211" i="44"/>
  <c r="AL213" i="44" s="1"/>
  <c r="CH101" i="44" l="1"/>
  <c r="CH103" i="44" s="1"/>
  <c r="CH138" i="44" s="1"/>
  <c r="CG170" i="44"/>
  <c r="CG147" i="44"/>
  <c r="CH91" i="44"/>
  <c r="CI87" i="44" s="1"/>
  <c r="CC109" i="44"/>
  <c r="CC121" i="44" s="1"/>
  <c r="CC123" i="44" s="1"/>
  <c r="CC127" i="44" s="1"/>
  <c r="AM191" i="44"/>
  <c r="AM63" i="44" s="1"/>
  <c r="AM47" i="44"/>
  <c r="AM192" i="44"/>
  <c r="AM64" i="44" s="1"/>
  <c r="AP202" i="44"/>
  <c r="AP180" i="44"/>
  <c r="AL219" i="44"/>
  <c r="AL68" i="44" s="1"/>
  <c r="AL217" i="44"/>
  <c r="AL218" i="44"/>
  <c r="AL67" i="44" s="1"/>
  <c r="AP159" i="44"/>
  <c r="AP62" i="44" s="1"/>
  <c r="AP46" i="44"/>
  <c r="AP158" i="44"/>
  <c r="AP61" i="44" s="1"/>
  <c r="CH126" i="44" l="1"/>
  <c r="CH45" i="44" s="1"/>
  <c r="CI89" i="44"/>
  <c r="CI90" i="44" s="1"/>
  <c r="CI97" i="44" s="1"/>
  <c r="CI98" i="44" s="1"/>
  <c r="CJ95" i="44" s="1"/>
  <c r="CH170" i="44"/>
  <c r="CH147" i="44"/>
  <c r="CG201" i="44"/>
  <c r="CG179" i="44"/>
  <c r="AL69" i="44"/>
  <c r="AM193" i="44"/>
  <c r="AM195" i="44" s="1"/>
  <c r="AM204" i="44" s="1"/>
  <c r="CC60" i="44"/>
  <c r="CC128" i="44"/>
  <c r="CC130" i="44" s="1"/>
  <c r="CC139" i="44" s="1"/>
  <c r="CC140" i="44" s="1"/>
  <c r="CD135" i="44" s="1"/>
  <c r="CD137" i="44" s="1"/>
  <c r="CC110" i="44"/>
  <c r="CC117" i="44" s="1"/>
  <c r="CC118" i="44" s="1"/>
  <c r="CD115" i="44" s="1"/>
  <c r="AP160" i="44"/>
  <c r="AL49" i="44"/>
  <c r="AL50" i="44" s="1"/>
  <c r="AL220" i="44"/>
  <c r="AL222" i="44" s="1"/>
  <c r="CH179" i="44" l="1"/>
  <c r="CH201" i="44"/>
  <c r="AM181" i="44"/>
  <c r="AM182" i="44" s="1"/>
  <c r="AN177" i="44" s="1"/>
  <c r="AN185" i="44" s="1"/>
  <c r="AN187" i="44" s="1"/>
  <c r="CI101" i="44"/>
  <c r="CI103" i="44" s="1"/>
  <c r="CI91" i="44"/>
  <c r="CJ87" i="44" s="1"/>
  <c r="CC111" i="44"/>
  <c r="CD107" i="44" s="1"/>
  <c r="AM208" i="44"/>
  <c r="AM205" i="44"/>
  <c r="AN198" i="44" s="1"/>
  <c r="AP162" i="44"/>
  <c r="AP172" i="44" s="1"/>
  <c r="AP173" i="44" s="1"/>
  <c r="AQ167" i="44" s="1"/>
  <c r="AP148" i="44"/>
  <c r="AP149" i="44" s="1"/>
  <c r="AQ145" i="44" s="1"/>
  <c r="CJ89" i="44" l="1"/>
  <c r="CJ90" i="44" s="1"/>
  <c r="CJ97" i="44" s="1"/>
  <c r="CJ98" i="44" s="1"/>
  <c r="CK95" i="44" s="1"/>
  <c r="CI126" i="44"/>
  <c r="CI45" i="44" s="1"/>
  <c r="CI138" i="44"/>
  <c r="CD109" i="44"/>
  <c r="CD110" i="44" s="1"/>
  <c r="CD117" i="44" s="1"/>
  <c r="CD118" i="44" s="1"/>
  <c r="CE115" i="44" s="1"/>
  <c r="AQ152" i="44"/>
  <c r="AQ154" i="44" s="1"/>
  <c r="AQ169" i="44"/>
  <c r="AN190" i="44"/>
  <c r="AN203" i="44"/>
  <c r="AN200" i="44"/>
  <c r="AM210" i="44"/>
  <c r="AM66" i="44" s="1"/>
  <c r="AM209" i="44"/>
  <c r="AM65" i="44" s="1"/>
  <c r="AM48" i="44"/>
  <c r="CD121" i="44" l="1"/>
  <c r="CD123" i="44" s="1"/>
  <c r="CD127" i="44" s="1"/>
  <c r="CD128" i="44" s="1"/>
  <c r="CD130" i="44" s="1"/>
  <c r="CD139" i="44" s="1"/>
  <c r="CD140" i="44" s="1"/>
  <c r="CE135" i="44" s="1"/>
  <c r="CE137" i="44" s="1"/>
  <c r="CI170" i="44"/>
  <c r="CI147" i="44"/>
  <c r="CJ101" i="44"/>
  <c r="CJ103" i="44" s="1"/>
  <c r="CJ91" i="44"/>
  <c r="CK87" i="44" s="1"/>
  <c r="CD111" i="44"/>
  <c r="CE107" i="44" s="1"/>
  <c r="AM211" i="44"/>
  <c r="AM213" i="44" s="1"/>
  <c r="AM219" i="44" s="1"/>
  <c r="AM68" i="44" s="1"/>
  <c r="AN47" i="44"/>
  <c r="AN192" i="44"/>
  <c r="AN64" i="44" s="1"/>
  <c r="AN191" i="44"/>
  <c r="AN63" i="44" s="1"/>
  <c r="AQ157" i="44"/>
  <c r="AQ171" i="44"/>
  <c r="E21" i="45"/>
  <c r="CD60" i="44" l="1"/>
  <c r="AM217" i="44"/>
  <c r="AM49" i="44" s="1"/>
  <c r="AM50" i="44" s="1"/>
  <c r="CK89" i="44"/>
  <c r="CK101" i="44" s="1"/>
  <c r="CK103" i="44" s="1"/>
  <c r="CJ138" i="44"/>
  <c r="CJ126" i="44"/>
  <c r="CJ45" i="44" s="1"/>
  <c r="AM218" i="44"/>
  <c r="AM67" i="44" s="1"/>
  <c r="AM69" i="44" s="1"/>
  <c r="CI179" i="44"/>
  <c r="CI201" i="44"/>
  <c r="CE109" i="44"/>
  <c r="CE121" i="44" s="1"/>
  <c r="CE123" i="44" s="1"/>
  <c r="CE127" i="44" s="1"/>
  <c r="AN193" i="44"/>
  <c r="AN195" i="44" s="1"/>
  <c r="AN204" i="44" s="1"/>
  <c r="AQ202" i="44"/>
  <c r="AQ180" i="44"/>
  <c r="AQ46" i="44"/>
  <c r="AQ158" i="44"/>
  <c r="AQ61" i="44" s="1"/>
  <c r="AQ159" i="44"/>
  <c r="AQ62" i="44" s="1"/>
  <c r="E36" i="45"/>
  <c r="CK90" i="44" l="1"/>
  <c r="CK97" i="44" s="1"/>
  <c r="CK98" i="44" s="1"/>
  <c r="CL95" i="44" s="1"/>
  <c r="AM220" i="44"/>
  <c r="AM222" i="44" s="1"/>
  <c r="CJ170" i="44"/>
  <c r="CJ147" i="44"/>
  <c r="CK126" i="44"/>
  <c r="CK45" i="44" s="1"/>
  <c r="CK138" i="44"/>
  <c r="CE60" i="44"/>
  <c r="CE128" i="44"/>
  <c r="CE130" i="44" s="1"/>
  <c r="CE139" i="44" s="1"/>
  <c r="CE140" i="44" s="1"/>
  <c r="CF135" i="44" s="1"/>
  <c r="CF137" i="44" s="1"/>
  <c r="AN181" i="44"/>
  <c r="AN182" i="44" s="1"/>
  <c r="AO177" i="44" s="1"/>
  <c r="AO185" i="44" s="1"/>
  <c r="AO187" i="44" s="1"/>
  <c r="CE110" i="44"/>
  <c r="CE117" i="44" s="1"/>
  <c r="CE118" i="44" s="1"/>
  <c r="CF115" i="44" s="1"/>
  <c r="AQ160" i="44"/>
  <c r="AQ162" i="44" s="1"/>
  <c r="AQ172" i="44" s="1"/>
  <c r="AQ173" i="44" s="1"/>
  <c r="AR167" i="44" s="1"/>
  <c r="AN208" i="44"/>
  <c r="AN205" i="44"/>
  <c r="AO198" i="44" s="1"/>
  <c r="AQ148" i="44" l="1"/>
  <c r="AQ149" i="44" s="1"/>
  <c r="AR145" i="44" s="1"/>
  <c r="AR152" i="44" s="1"/>
  <c r="AR154" i="44" s="1"/>
  <c r="CK91" i="44"/>
  <c r="CL87" i="44" s="1"/>
  <c r="CL89" i="44" s="1"/>
  <c r="CL90" i="44" s="1"/>
  <c r="CL97" i="44" s="1"/>
  <c r="CL98" i="44" s="1"/>
  <c r="CM95" i="44" s="1"/>
  <c r="CK170" i="44"/>
  <c r="CK147" i="44"/>
  <c r="CJ179" i="44"/>
  <c r="CJ201" i="44"/>
  <c r="CE111" i="44"/>
  <c r="CF107" i="44" s="1"/>
  <c r="AR169" i="44"/>
  <c r="AO203" i="44"/>
  <c r="AO190" i="44"/>
  <c r="AO200" i="44"/>
  <c r="AN48" i="44"/>
  <c r="AN210" i="44"/>
  <c r="AN66" i="44" s="1"/>
  <c r="AN209" i="44"/>
  <c r="AN65" i="44" s="1"/>
  <c r="CL101" i="44" l="1"/>
  <c r="CL103" i="44" s="1"/>
  <c r="CL138" i="44" s="1"/>
  <c r="CL91" i="44"/>
  <c r="CM87" i="44" s="1"/>
  <c r="CK201" i="44"/>
  <c r="CK179" i="44"/>
  <c r="CF109" i="44"/>
  <c r="CF121" i="44" s="1"/>
  <c r="CF123" i="44" s="1"/>
  <c r="CF127" i="44" s="1"/>
  <c r="AO47" i="44"/>
  <c r="AO192" i="44"/>
  <c r="AO64" i="44" s="1"/>
  <c r="AO191" i="44"/>
  <c r="AO63" i="44" s="1"/>
  <c r="AR171" i="44"/>
  <c r="AR157" i="44"/>
  <c r="AN211" i="44"/>
  <c r="AN213" i="44" s="1"/>
  <c r="CL126" i="44" l="1"/>
  <c r="CL45" i="44" s="1"/>
  <c r="CM89" i="44"/>
  <c r="CM90" i="44" s="1"/>
  <c r="CM97" i="44" s="1"/>
  <c r="CM98" i="44" s="1"/>
  <c r="CN95" i="44" s="1"/>
  <c r="CF110" i="44"/>
  <c r="CF117" i="44" s="1"/>
  <c r="CF118" i="44" s="1"/>
  <c r="CG115" i="44" s="1"/>
  <c r="CL147" i="44"/>
  <c r="CL170" i="44"/>
  <c r="CF60" i="44"/>
  <c r="CF128" i="44"/>
  <c r="CF130" i="44" s="1"/>
  <c r="CF139" i="44" s="1"/>
  <c r="CF140" i="44" s="1"/>
  <c r="CG135" i="44" s="1"/>
  <c r="CG137" i="44" s="1"/>
  <c r="AO193" i="44"/>
  <c r="AO181" i="44" s="1"/>
  <c r="AO182" i="44" s="1"/>
  <c r="AP177" i="44" s="1"/>
  <c r="AN218" i="44"/>
  <c r="AN67" i="44" s="1"/>
  <c r="AN217" i="44"/>
  <c r="AN219" i="44"/>
  <c r="AN68" i="44" s="1"/>
  <c r="AR158" i="44"/>
  <c r="AR61" i="44" s="1"/>
  <c r="AR159" i="44"/>
  <c r="AR62" i="44" s="1"/>
  <c r="AR46" i="44"/>
  <c r="AR202" i="44"/>
  <c r="AR180" i="44"/>
  <c r="AN69" i="44" l="1"/>
  <c r="CM101" i="44"/>
  <c r="CM103" i="44" s="1"/>
  <c r="CM138" i="44" s="1"/>
  <c r="CL179" i="44"/>
  <c r="CL201" i="44"/>
  <c r="CM91" i="44"/>
  <c r="CN87" i="44" s="1"/>
  <c r="CF111" i="44"/>
  <c r="CG107" i="44" s="1"/>
  <c r="CG109" i="44" s="1"/>
  <c r="CG110" i="44" s="1"/>
  <c r="CG117" i="44" s="1"/>
  <c r="CG118" i="44" s="1"/>
  <c r="CH115" i="44" s="1"/>
  <c r="AO195" i="44"/>
  <c r="AO204" i="44" s="1"/>
  <c r="AO205" i="44" s="1"/>
  <c r="AP198" i="44" s="1"/>
  <c r="AP185" i="44"/>
  <c r="AP187" i="44" s="1"/>
  <c r="AN49" i="44"/>
  <c r="AN50" i="44" s="1"/>
  <c r="AN220" i="44"/>
  <c r="AN222" i="44" s="1"/>
  <c r="AR160" i="44"/>
  <c r="CM126" i="44" l="1"/>
  <c r="CM45" i="44" s="1"/>
  <c r="AO208" i="44"/>
  <c r="AO210" i="44" s="1"/>
  <c r="AO66" i="44" s="1"/>
  <c r="CN89" i="44"/>
  <c r="CN101" i="44" s="1"/>
  <c r="CN103" i="44" s="1"/>
  <c r="CM147" i="44"/>
  <c r="CM170" i="44"/>
  <c r="CG121" i="44"/>
  <c r="CG123" i="44" s="1"/>
  <c r="CG127" i="44" s="1"/>
  <c r="CG111" i="44"/>
  <c r="CH107" i="44" s="1"/>
  <c r="AP200" i="44"/>
  <c r="AP203" i="44"/>
  <c r="AP190" i="44"/>
  <c r="AR162" i="44"/>
  <c r="AR172" i="44" s="1"/>
  <c r="AR173" i="44" s="1"/>
  <c r="AS167" i="44" s="1"/>
  <c r="AR148" i="44"/>
  <c r="AR149" i="44" s="1"/>
  <c r="AS145" i="44" s="1"/>
  <c r="AO209" i="44" l="1"/>
  <c r="AO65" i="44" s="1"/>
  <c r="AO48" i="44"/>
  <c r="CN90" i="44"/>
  <c r="CN97" i="44" s="1"/>
  <c r="CN98" i="44" s="1"/>
  <c r="CO95" i="44" s="1"/>
  <c r="CM179" i="44"/>
  <c r="CM201" i="44"/>
  <c r="CN138" i="44"/>
  <c r="CN126" i="44"/>
  <c r="CN45" i="44" s="1"/>
  <c r="CG60" i="44"/>
  <c r="CG128" i="44"/>
  <c r="CG130" i="44" s="1"/>
  <c r="CG139" i="44" s="1"/>
  <c r="CG140" i="44" s="1"/>
  <c r="CH135" i="44" s="1"/>
  <c r="CH137" i="44" s="1"/>
  <c r="CH109" i="44"/>
  <c r="CH121" i="44" s="1"/>
  <c r="CH123" i="44" s="1"/>
  <c r="CH127" i="44" s="1"/>
  <c r="AP192" i="44"/>
  <c r="AP64" i="44" s="1"/>
  <c r="AP191" i="44"/>
  <c r="AP63" i="44" s="1"/>
  <c r="AP47" i="44"/>
  <c r="AS152" i="44"/>
  <c r="AS154" i="44" s="1"/>
  <c r="AS169" i="44"/>
  <c r="AO211" i="44" l="1"/>
  <c r="AO213" i="44" s="1"/>
  <c r="AO218" i="44" s="1"/>
  <c r="AO67" i="44" s="1"/>
  <c r="CN91" i="44"/>
  <c r="CO87" i="44" s="1"/>
  <c r="CO89" i="44" s="1"/>
  <c r="CO90" i="44" s="1"/>
  <c r="CO97" i="44" s="1"/>
  <c r="CO98" i="44" s="1"/>
  <c r="CP95" i="44" s="1"/>
  <c r="CN147" i="44"/>
  <c r="CN170" i="44"/>
  <c r="CH110" i="44"/>
  <c r="CH117" i="44" s="1"/>
  <c r="CH118" i="44" s="1"/>
  <c r="CI115" i="44" s="1"/>
  <c r="CH60" i="44"/>
  <c r="CH128" i="44"/>
  <c r="CH130" i="44" s="1"/>
  <c r="CH139" i="44" s="1"/>
  <c r="CH140" i="44" s="1"/>
  <c r="CI135" i="44" s="1"/>
  <c r="CI137" i="44" s="1"/>
  <c r="AS171" i="44"/>
  <c r="AS157" i="44"/>
  <c r="AP193" i="44"/>
  <c r="AO219" i="44" l="1"/>
  <c r="AO68" i="44" s="1"/>
  <c r="AO69" i="44" s="1"/>
  <c r="AO217" i="44"/>
  <c r="CO91" i="44"/>
  <c r="CP87" i="44" s="1"/>
  <c r="CO101" i="44"/>
  <c r="CO103" i="44" s="1"/>
  <c r="CO138" i="44" s="1"/>
  <c r="CO170" i="44" s="1"/>
  <c r="CO179" i="44" s="1"/>
  <c r="CH111" i="44"/>
  <c r="CI107" i="44" s="1"/>
  <c r="CI109" i="44" s="1"/>
  <c r="CI121" i="44" s="1"/>
  <c r="CI123" i="44" s="1"/>
  <c r="CI127" i="44" s="1"/>
  <c r="CN201" i="44"/>
  <c r="CN179" i="44"/>
  <c r="AS202" i="44"/>
  <c r="AS180" i="44"/>
  <c r="AS159" i="44"/>
  <c r="AS62" i="44" s="1"/>
  <c r="AS158" i="44"/>
  <c r="AS61" i="44" s="1"/>
  <c r="AS46" i="44"/>
  <c r="AP195" i="44"/>
  <c r="AP204" i="44" s="1"/>
  <c r="AP181" i="44"/>
  <c r="AP182" i="44" s="1"/>
  <c r="AQ177" i="44" s="1"/>
  <c r="AO220" i="44" l="1"/>
  <c r="AO222" i="44" s="1"/>
  <c r="AO49" i="44"/>
  <c r="AO50" i="44" s="1"/>
  <c r="CO201" i="44"/>
  <c r="CO126" i="44"/>
  <c r="CO45" i="44" s="1"/>
  <c r="CO147" i="44"/>
  <c r="CP89" i="44"/>
  <c r="CP90" i="44" s="1"/>
  <c r="CP97" i="44" s="1"/>
  <c r="CP98" i="44" s="1"/>
  <c r="CQ95" i="44" s="1"/>
  <c r="CI60" i="44"/>
  <c r="CI128" i="44"/>
  <c r="CI130" i="44" s="1"/>
  <c r="CI139" i="44" s="1"/>
  <c r="CI140" i="44" s="1"/>
  <c r="CJ135" i="44" s="1"/>
  <c r="CJ137" i="44" s="1"/>
  <c r="CI110" i="44"/>
  <c r="AQ185" i="44"/>
  <c r="AQ187" i="44" s="1"/>
  <c r="AP208" i="44"/>
  <c r="AP205" i="44"/>
  <c r="AQ198" i="44" s="1"/>
  <c r="AS160" i="44"/>
  <c r="CP91" i="44" l="1"/>
  <c r="CQ87" i="44" s="1"/>
  <c r="CP101" i="44"/>
  <c r="CP103" i="44" s="1"/>
  <c r="CI117" i="44"/>
  <c r="CI118" i="44" s="1"/>
  <c r="CJ115" i="44" s="1"/>
  <c r="CI111" i="44"/>
  <c r="CJ107" i="44" s="1"/>
  <c r="AP48" i="44"/>
  <c r="AP209" i="44"/>
  <c r="AP65" i="44" s="1"/>
  <c r="AP210" i="44"/>
  <c r="AP66" i="44" s="1"/>
  <c r="AS162" i="44"/>
  <c r="AS172" i="44" s="1"/>
  <c r="AS173" i="44" s="1"/>
  <c r="AT167" i="44" s="1"/>
  <c r="AS148" i="44"/>
  <c r="AS149" i="44" s="1"/>
  <c r="AT145" i="44" s="1"/>
  <c r="AQ203" i="44"/>
  <c r="AQ190" i="44"/>
  <c r="AQ200" i="44"/>
  <c r="CP126" i="44" l="1"/>
  <c r="CP45" i="44" s="1"/>
  <c r="CP138" i="44"/>
  <c r="CQ89" i="44"/>
  <c r="CQ101" i="44" s="1"/>
  <c r="CQ103" i="44" s="1"/>
  <c r="AP211" i="44"/>
  <c r="AP213" i="44" s="1"/>
  <c r="AP217" i="44" s="1"/>
  <c r="CJ109" i="44"/>
  <c r="CJ110" i="44" s="1"/>
  <c r="CJ117" i="44" s="1"/>
  <c r="CJ118" i="44" s="1"/>
  <c r="CK115" i="44" s="1"/>
  <c r="AT152" i="44"/>
  <c r="AT154" i="44" s="1"/>
  <c r="AT169" i="44"/>
  <c r="AQ47" i="44"/>
  <c r="AQ192" i="44"/>
  <c r="AQ64" i="44" s="1"/>
  <c r="AQ191" i="44"/>
  <c r="AQ63" i="44" s="1"/>
  <c r="CQ90" i="44" l="1"/>
  <c r="CQ97" i="44" s="1"/>
  <c r="CQ98" i="44" s="1"/>
  <c r="CR95" i="44" s="1"/>
  <c r="CQ126" i="44"/>
  <c r="CQ45" i="44" s="1"/>
  <c r="CQ138" i="44"/>
  <c r="CP147" i="44"/>
  <c r="CP170" i="44"/>
  <c r="AQ193" i="44"/>
  <c r="AQ181" i="44" s="1"/>
  <c r="AQ182" i="44" s="1"/>
  <c r="AR177" i="44" s="1"/>
  <c r="AP219" i="44"/>
  <c r="AP68" i="44" s="1"/>
  <c r="AP218" i="44"/>
  <c r="AP67" i="44" s="1"/>
  <c r="CJ111" i="44"/>
  <c r="CK107" i="44" s="1"/>
  <c r="CJ121" i="44"/>
  <c r="CJ123" i="44" s="1"/>
  <c r="CJ127" i="44" s="1"/>
  <c r="AP49" i="44"/>
  <c r="AP50" i="44" s="1"/>
  <c r="AT171" i="44"/>
  <c r="AT157" i="44"/>
  <c r="CQ91" i="44" l="1"/>
  <c r="CR87" i="44" s="1"/>
  <c r="AQ195" i="44"/>
  <c r="AQ204" i="44" s="1"/>
  <c r="AQ205" i="44" s="1"/>
  <c r="AR198" i="44" s="1"/>
  <c r="CP179" i="44"/>
  <c r="CP201" i="44"/>
  <c r="CQ147" i="44"/>
  <c r="CQ170" i="44"/>
  <c r="AP69" i="44"/>
  <c r="AP220" i="44"/>
  <c r="AP222" i="44" s="1"/>
  <c r="CK109" i="44"/>
  <c r="CK121" i="44" s="1"/>
  <c r="CK123" i="44" s="1"/>
  <c r="CK127" i="44" s="1"/>
  <c r="CJ60" i="44"/>
  <c r="CJ128" i="44"/>
  <c r="CJ130" i="44" s="1"/>
  <c r="CJ139" i="44" s="1"/>
  <c r="CJ140" i="44" s="1"/>
  <c r="CK135" i="44" s="1"/>
  <c r="CK137" i="44" s="1"/>
  <c r="AT202" i="44"/>
  <c r="AT180" i="44"/>
  <c r="AT158" i="44"/>
  <c r="AT61" i="44" s="1"/>
  <c r="AT159" i="44"/>
  <c r="AT62" i="44" s="1"/>
  <c r="AT46" i="44"/>
  <c r="AR185" i="44"/>
  <c r="AR187" i="44" s="1"/>
  <c r="J21" i="45"/>
  <c r="K21" i="45"/>
  <c r="AQ208" i="44" l="1"/>
  <c r="AQ210" i="44" s="1"/>
  <c r="AQ66" i="44" s="1"/>
  <c r="CR89" i="44"/>
  <c r="CR101" i="44" s="1"/>
  <c r="CR103" i="44" s="1"/>
  <c r="CQ201" i="44"/>
  <c r="CQ179" i="44"/>
  <c r="CK60" i="44"/>
  <c r="CK128" i="44"/>
  <c r="CK130" i="44" s="1"/>
  <c r="CK139" i="44" s="1"/>
  <c r="CK140" i="44" s="1"/>
  <c r="CL135" i="44" s="1"/>
  <c r="CL137" i="44" s="1"/>
  <c r="CK110" i="44"/>
  <c r="AR200" i="44"/>
  <c r="AR203" i="44"/>
  <c r="AR190" i="44"/>
  <c r="AT160" i="44"/>
  <c r="CR90" i="44" l="1"/>
  <c r="CR91" i="44" s="1"/>
  <c r="CS87" i="44" s="1"/>
  <c r="AQ48" i="44"/>
  <c r="AQ209" i="44"/>
  <c r="AQ65" i="44" s="1"/>
  <c r="CR126" i="44"/>
  <c r="CR45" i="44" s="1"/>
  <c r="CR138" i="44"/>
  <c r="CR170" i="44" s="1"/>
  <c r="CK117" i="44"/>
  <c r="CK118" i="44" s="1"/>
  <c r="CL115" i="44" s="1"/>
  <c r="CK111" i="44"/>
  <c r="CL107" i="44" s="1"/>
  <c r="AR191" i="44"/>
  <c r="AR63" i="44" s="1"/>
  <c r="AR192" i="44"/>
  <c r="AR64" i="44" s="1"/>
  <c r="AR47" i="44"/>
  <c r="AT162" i="44"/>
  <c r="AT172" i="44" s="1"/>
  <c r="AT173" i="44" s="1"/>
  <c r="AU167" i="44" s="1"/>
  <c r="AT148" i="44"/>
  <c r="AT149" i="44" s="1"/>
  <c r="AU145" i="44" s="1"/>
  <c r="J36" i="45"/>
  <c r="AQ211" i="44" l="1"/>
  <c r="AQ213" i="44" s="1"/>
  <c r="AQ218" i="44" s="1"/>
  <c r="AQ67" i="44" s="1"/>
  <c r="CR147" i="44"/>
  <c r="CR97" i="44"/>
  <c r="CR98" i="44" s="1"/>
  <c r="CS95" i="44" s="1"/>
  <c r="CS89" i="44"/>
  <c r="CS90" i="44" s="1"/>
  <c r="CS97" i="44" s="1"/>
  <c r="CR179" i="44"/>
  <c r="CR201" i="44"/>
  <c r="AR193" i="44"/>
  <c r="AR195" i="44" s="1"/>
  <c r="AR204" i="44" s="1"/>
  <c r="CL109" i="44"/>
  <c r="CL121" i="44" s="1"/>
  <c r="CL123" i="44" s="1"/>
  <c r="CL127" i="44" s="1"/>
  <c r="AU169" i="44"/>
  <c r="AU152" i="44"/>
  <c r="AU154" i="44" s="1"/>
  <c r="CS98" i="44" l="1"/>
  <c r="CT95" i="44" s="1"/>
  <c r="AQ219" i="44"/>
  <c r="AQ68" i="44" s="1"/>
  <c r="AQ69" i="44" s="1"/>
  <c r="AQ217" i="44"/>
  <c r="AQ49" i="44" s="1"/>
  <c r="AQ50" i="44" s="1"/>
  <c r="CS101" i="44"/>
  <c r="CS103" i="44" s="1"/>
  <c r="CS138" i="44" s="1"/>
  <c r="CS91" i="44"/>
  <c r="CT87" i="44" s="1"/>
  <c r="CT89" i="44" s="1"/>
  <c r="CT90" i="44" s="1"/>
  <c r="CT97" i="44" s="1"/>
  <c r="AR181" i="44"/>
  <c r="AR182" i="44" s="1"/>
  <c r="AS177" i="44" s="1"/>
  <c r="AS185" i="44" s="1"/>
  <c r="AS187" i="44" s="1"/>
  <c r="CL110" i="44"/>
  <c r="CL117" i="44" s="1"/>
  <c r="CL118" i="44" s="1"/>
  <c r="CM115" i="44" s="1"/>
  <c r="CL60" i="44"/>
  <c r="K36" i="45" s="1"/>
  <c r="CL128" i="44"/>
  <c r="CL130" i="44" s="1"/>
  <c r="CL139" i="44" s="1"/>
  <c r="CL140" i="44" s="1"/>
  <c r="CM135" i="44" s="1"/>
  <c r="CM137" i="44" s="1"/>
  <c r="AU171" i="44"/>
  <c r="AU157" i="44"/>
  <c r="AR208" i="44"/>
  <c r="AR205" i="44"/>
  <c r="AS198" i="44" s="1"/>
  <c r="CT98" i="44" l="1"/>
  <c r="CU95" i="44" s="1"/>
  <c r="AQ220" i="44"/>
  <c r="AQ222" i="44" s="1"/>
  <c r="CS126" i="44"/>
  <c r="CS45" i="44" s="1"/>
  <c r="CT101" i="44"/>
  <c r="CT103" i="44" s="1"/>
  <c r="CT126" i="44" s="1"/>
  <c r="CT45" i="44" s="1"/>
  <c r="CT91" i="44"/>
  <c r="CU87" i="44" s="1"/>
  <c r="CS170" i="44"/>
  <c r="CS147" i="44"/>
  <c r="CL111" i="44"/>
  <c r="CM107" i="44" s="1"/>
  <c r="CM109" i="44" s="1"/>
  <c r="CM121" i="44" s="1"/>
  <c r="CM123" i="44" s="1"/>
  <c r="CM127" i="44" s="1"/>
  <c r="AU46" i="44"/>
  <c r="AU158" i="44"/>
  <c r="AU61" i="44" s="1"/>
  <c r="AU159" i="44"/>
  <c r="AU62" i="44" s="1"/>
  <c r="AU202" i="44"/>
  <c r="AU180" i="44"/>
  <c r="AS203" i="44"/>
  <c r="AS190" i="44"/>
  <c r="AS200" i="44"/>
  <c r="AR209" i="44"/>
  <c r="AR65" i="44" s="1"/>
  <c r="AR210" i="44"/>
  <c r="AR66" i="44" s="1"/>
  <c r="AR48" i="44"/>
  <c r="CT138" i="44" l="1"/>
  <c r="CT170" i="44" s="1"/>
  <c r="CS179" i="44"/>
  <c r="CS201" i="44"/>
  <c r="CU89" i="44"/>
  <c r="CU90" i="44" s="1"/>
  <c r="CU97" i="44" s="1"/>
  <c r="CU98" i="44" s="1"/>
  <c r="CV95" i="44" s="1"/>
  <c r="CM60" i="44"/>
  <c r="CM128" i="44"/>
  <c r="CM130" i="44" s="1"/>
  <c r="CM139" i="44" s="1"/>
  <c r="CM140" i="44" s="1"/>
  <c r="CN135" i="44" s="1"/>
  <c r="CN137" i="44" s="1"/>
  <c r="AU160" i="44"/>
  <c r="AU148" i="44" s="1"/>
  <c r="AU149" i="44" s="1"/>
  <c r="AV145" i="44" s="1"/>
  <c r="CM110" i="44"/>
  <c r="CM117" i="44" s="1"/>
  <c r="CM118" i="44" s="1"/>
  <c r="CN115" i="44" s="1"/>
  <c r="AS192" i="44"/>
  <c r="AS64" i="44" s="1"/>
  <c r="AS191" i="44"/>
  <c r="AS63" i="44" s="1"/>
  <c r="AS47" i="44"/>
  <c r="AR211" i="44"/>
  <c r="AR213" i="44" s="1"/>
  <c r="CT147" i="44" l="1"/>
  <c r="CU101" i="44"/>
  <c r="CU103" i="44" s="1"/>
  <c r="CU91" i="44"/>
  <c r="CV87" i="44" s="1"/>
  <c r="CV89" i="44" s="1"/>
  <c r="CV90" i="44" s="1"/>
  <c r="CV97" i="44" s="1"/>
  <c r="CV98" i="44" s="1"/>
  <c r="CW95" i="44" s="1"/>
  <c r="CT201" i="44"/>
  <c r="CT179" i="44"/>
  <c r="AU162" i="44"/>
  <c r="AU172" i="44" s="1"/>
  <c r="AU173" i="44" s="1"/>
  <c r="AV167" i="44" s="1"/>
  <c r="AV169" i="44" s="1"/>
  <c r="AS193" i="44"/>
  <c r="AS195" i="44" s="1"/>
  <c r="AS204" i="44" s="1"/>
  <c r="CM111" i="44"/>
  <c r="CN107" i="44" s="1"/>
  <c r="AR219" i="44"/>
  <c r="AR68" i="44" s="1"/>
  <c r="AR217" i="44"/>
  <c r="AR218" i="44"/>
  <c r="AR67" i="44" s="1"/>
  <c r="AV152" i="44"/>
  <c r="AV154" i="44" s="1"/>
  <c r="CV91" i="44" l="1"/>
  <c r="CW87" i="44" s="1"/>
  <c r="CW89" i="44" s="1"/>
  <c r="CW101" i="44" s="1"/>
  <c r="CW103" i="44" s="1"/>
  <c r="CW126" i="44" s="1"/>
  <c r="CW45" i="44" s="1"/>
  <c r="CV101" i="44"/>
  <c r="CV103" i="44" s="1"/>
  <c r="CV138" i="44" s="1"/>
  <c r="CU126" i="44"/>
  <c r="CU45" i="44" s="1"/>
  <c r="CU138" i="44"/>
  <c r="AR69" i="44"/>
  <c r="AS181" i="44"/>
  <c r="AS182" i="44" s="1"/>
  <c r="AT177" i="44" s="1"/>
  <c r="AT185" i="44" s="1"/>
  <c r="AT187" i="44" s="1"/>
  <c r="CN109" i="44"/>
  <c r="CN110" i="44" s="1"/>
  <c r="CN117" i="44" s="1"/>
  <c r="CN118" i="44" s="1"/>
  <c r="CO115" i="44" s="1"/>
  <c r="AR220" i="44"/>
  <c r="AR222" i="44" s="1"/>
  <c r="AR49" i="44"/>
  <c r="AR50" i="44" s="1"/>
  <c r="AV171" i="44"/>
  <c r="AV157" i="44"/>
  <c r="AS208" i="44"/>
  <c r="AS205" i="44"/>
  <c r="AT198" i="44" s="1"/>
  <c r="CV126" i="44" l="1"/>
  <c r="CV45" i="44" s="1"/>
  <c r="CW90" i="44"/>
  <c r="CW91" i="44" s="1"/>
  <c r="CX87" i="44" s="1"/>
  <c r="CX89" i="44" s="1"/>
  <c r="CX90" i="44" s="1"/>
  <c r="CX97" i="44" s="1"/>
  <c r="CW138" i="44"/>
  <c r="CW170" i="44" s="1"/>
  <c r="CW201" i="44" s="1"/>
  <c r="CU147" i="44"/>
  <c r="CU170" i="44"/>
  <c r="CV170" i="44"/>
  <c r="CV147" i="44"/>
  <c r="CN111" i="44"/>
  <c r="CO107" i="44" s="1"/>
  <c r="CN121" i="44"/>
  <c r="CN123" i="44" s="1"/>
  <c r="CN127" i="44" s="1"/>
  <c r="AT190" i="44"/>
  <c r="AT203" i="44"/>
  <c r="AT200" i="44"/>
  <c r="AS209" i="44"/>
  <c r="AS65" i="44" s="1"/>
  <c r="AS210" i="44"/>
  <c r="AS66" i="44" s="1"/>
  <c r="AS48" i="44"/>
  <c r="AV159" i="44"/>
  <c r="AV62" i="44" s="1"/>
  <c r="AV46" i="44"/>
  <c r="AV158" i="44"/>
  <c r="AV61" i="44" s="1"/>
  <c r="AV202" i="44"/>
  <c r="AV180" i="44"/>
  <c r="CW179" i="44" l="1"/>
  <c r="CW147" i="44"/>
  <c r="CW97" i="44"/>
  <c r="CW98" i="44" s="1"/>
  <c r="CX95" i="44" s="1"/>
  <c r="CX101" i="44" s="1"/>
  <c r="CX103" i="44" s="1"/>
  <c r="CX138" i="44" s="1"/>
  <c r="CX147" i="44" s="1"/>
  <c r="CX91" i="44"/>
  <c r="CY87" i="44" s="1"/>
  <c r="CY89" i="44" s="1"/>
  <c r="CY90" i="44" s="1"/>
  <c r="CY97" i="44" s="1"/>
  <c r="CU201" i="44"/>
  <c r="CU179" i="44"/>
  <c r="AS211" i="44"/>
  <c r="AS213" i="44" s="1"/>
  <c r="AS219" i="44" s="1"/>
  <c r="AS68" i="44" s="1"/>
  <c r="CV201" i="44"/>
  <c r="CV179" i="44"/>
  <c r="CN60" i="44"/>
  <c r="CN128" i="44"/>
  <c r="CN130" i="44" s="1"/>
  <c r="CN139" i="44" s="1"/>
  <c r="CN140" i="44" s="1"/>
  <c r="CO135" i="44" s="1"/>
  <c r="CO137" i="44" s="1"/>
  <c r="CO109" i="44"/>
  <c r="CO121" i="44" s="1"/>
  <c r="CO123" i="44" s="1"/>
  <c r="CO127" i="44" s="1"/>
  <c r="AT191" i="44"/>
  <c r="AT63" i="44" s="1"/>
  <c r="AT192" i="44"/>
  <c r="AT64" i="44" s="1"/>
  <c r="AT47" i="44"/>
  <c r="AV160" i="44"/>
  <c r="CX98" i="44" l="1"/>
  <c r="CY95" i="44" s="1"/>
  <c r="CY101" i="44" s="1"/>
  <c r="CY103" i="44" s="1"/>
  <c r="CX170" i="44"/>
  <c r="CX201" i="44" s="1"/>
  <c r="CX126" i="44"/>
  <c r="CX45" i="44" s="1"/>
  <c r="AS218" i="44"/>
  <c r="AS67" i="44" s="1"/>
  <c r="AS69" i="44" s="1"/>
  <c r="AS217" i="44"/>
  <c r="AS49" i="44" s="1"/>
  <c r="AS50" i="44" s="1"/>
  <c r="CO60" i="44"/>
  <c r="CO128" i="44"/>
  <c r="CO130" i="44" s="1"/>
  <c r="CO139" i="44" s="1"/>
  <c r="CO140" i="44" s="1"/>
  <c r="CP135" i="44" s="1"/>
  <c r="CP137" i="44" s="1"/>
  <c r="CO110" i="44"/>
  <c r="CO117" i="44" s="1"/>
  <c r="CO118" i="44" s="1"/>
  <c r="CP115" i="44" s="1"/>
  <c r="CY91" i="44"/>
  <c r="CZ87" i="44" s="1"/>
  <c r="AV162" i="44"/>
  <c r="AV172" i="44" s="1"/>
  <c r="AV173" i="44" s="1"/>
  <c r="AW167" i="44" s="1"/>
  <c r="AV148" i="44"/>
  <c r="AV149" i="44" s="1"/>
  <c r="AW145" i="44" s="1"/>
  <c r="AT193" i="44"/>
  <c r="CY98" i="44" l="1"/>
  <c r="CZ95" i="44" s="1"/>
  <c r="CX179" i="44"/>
  <c r="AS220" i="44"/>
  <c r="AS222" i="44" s="1"/>
  <c r="CY126" i="44"/>
  <c r="CY138" i="44"/>
  <c r="CZ89" i="44"/>
  <c r="CZ90" i="44" s="1"/>
  <c r="CZ97" i="44" s="1"/>
  <c r="CO111" i="44"/>
  <c r="CP107" i="44" s="1"/>
  <c r="AW169" i="44"/>
  <c r="AW152" i="44"/>
  <c r="AW154" i="44" s="1"/>
  <c r="AT195" i="44"/>
  <c r="AT204" i="44" s="1"/>
  <c r="AT181" i="44"/>
  <c r="AT182" i="44" s="1"/>
  <c r="AU177" i="44" s="1"/>
  <c r="CZ98" i="44" l="1"/>
  <c r="DA95" i="44" s="1"/>
  <c r="CZ91" i="44"/>
  <c r="DA87" i="44" s="1"/>
  <c r="CP109" i="44"/>
  <c r="CP110" i="44" s="1"/>
  <c r="CP117" i="44" s="1"/>
  <c r="CP118" i="44" s="1"/>
  <c r="CQ115" i="44" s="1"/>
  <c r="CZ101" i="44"/>
  <c r="CZ103" i="44" s="1"/>
  <c r="CY147" i="44"/>
  <c r="CY170" i="44"/>
  <c r="CY45" i="44"/>
  <c r="AW157" i="44"/>
  <c r="AW171" i="44"/>
  <c r="AU185" i="44"/>
  <c r="AU187" i="44" s="1"/>
  <c r="AT208" i="44"/>
  <c r="AT205" i="44"/>
  <c r="AU198" i="44" s="1"/>
  <c r="CP121" i="44" l="1"/>
  <c r="CP123" i="44" s="1"/>
  <c r="CP127" i="44" s="1"/>
  <c r="CP128" i="44" s="1"/>
  <c r="CP130" i="44" s="1"/>
  <c r="CP139" i="44" s="1"/>
  <c r="CP140" i="44" s="1"/>
  <c r="CQ135" i="44" s="1"/>
  <c r="CQ137" i="44" s="1"/>
  <c r="CP111" i="44"/>
  <c r="CQ107" i="44" s="1"/>
  <c r="CQ109" i="44" s="1"/>
  <c r="CQ121" i="44" s="1"/>
  <c r="CQ123" i="44" s="1"/>
  <c r="CQ127" i="44" s="1"/>
  <c r="CZ138" i="44"/>
  <c r="CZ126" i="44"/>
  <c r="CY201" i="44"/>
  <c r="CY179" i="44"/>
  <c r="DA89" i="44"/>
  <c r="DA90" i="44" s="1"/>
  <c r="DA97" i="44" s="1"/>
  <c r="DA98" i="44" s="1"/>
  <c r="DB95" i="44" s="1"/>
  <c r="AU203" i="44"/>
  <c r="AU190" i="44"/>
  <c r="AU200" i="44"/>
  <c r="AW202" i="44"/>
  <c r="AW180" i="44"/>
  <c r="AT209" i="44"/>
  <c r="AT65" i="44" s="1"/>
  <c r="AT210" i="44"/>
  <c r="AT66" i="44" s="1"/>
  <c r="AT48" i="44"/>
  <c r="AW158" i="44"/>
  <c r="AW61" i="44" s="1"/>
  <c r="AW159" i="44"/>
  <c r="AW62" i="44" s="1"/>
  <c r="AW46" i="44"/>
  <c r="CP60" i="44" l="1"/>
  <c r="CQ110" i="44"/>
  <c r="CQ117" i="44" s="1"/>
  <c r="CQ118" i="44" s="1"/>
  <c r="CR115" i="44" s="1"/>
  <c r="DA91" i="44"/>
  <c r="DB87" i="44" s="1"/>
  <c r="DB89" i="44" s="1"/>
  <c r="DB90" i="44" s="1"/>
  <c r="DB97" i="44" s="1"/>
  <c r="DB98" i="44" s="1"/>
  <c r="DC95" i="44" s="1"/>
  <c r="AT211" i="44"/>
  <c r="AT213" i="44" s="1"/>
  <c r="AT218" i="44" s="1"/>
  <c r="AT67" i="44" s="1"/>
  <c r="CQ60" i="44"/>
  <c r="CQ128" i="44"/>
  <c r="CQ130" i="44" s="1"/>
  <c r="CQ139" i="44" s="1"/>
  <c r="CQ140" i="44" s="1"/>
  <c r="CR135" i="44" s="1"/>
  <c r="CR137" i="44" s="1"/>
  <c r="DA101" i="44"/>
  <c r="DA103" i="44" s="1"/>
  <c r="CZ45" i="44"/>
  <c r="CZ147" i="44"/>
  <c r="CZ170" i="44"/>
  <c r="AU192" i="44"/>
  <c r="AU64" i="44" s="1"/>
  <c r="AU47" i="44"/>
  <c r="AU191" i="44"/>
  <c r="AU63" i="44" s="1"/>
  <c r="AW160" i="44"/>
  <c r="AT219" i="44" l="1"/>
  <c r="AT68" i="44" s="1"/>
  <c r="AT69" i="44" s="1"/>
  <c r="CQ111" i="44"/>
  <c r="CR107" i="44" s="1"/>
  <c r="CR109" i="44" s="1"/>
  <c r="CR121" i="44" s="1"/>
  <c r="CR123" i="44" s="1"/>
  <c r="CR127" i="44" s="1"/>
  <c r="AT217" i="44"/>
  <c r="AT49" i="44" s="1"/>
  <c r="AT50" i="44" s="1"/>
  <c r="DB101" i="44"/>
  <c r="DB103" i="44" s="1"/>
  <c r="DB126" i="44" s="1"/>
  <c r="AU193" i="44"/>
  <c r="AU195" i="44" s="1"/>
  <c r="AU204" i="44" s="1"/>
  <c r="CZ179" i="44"/>
  <c r="CZ201" i="44"/>
  <c r="DB91" i="44"/>
  <c r="DC87" i="44" s="1"/>
  <c r="DA138" i="44"/>
  <c r="DA126" i="44"/>
  <c r="AW162" i="44"/>
  <c r="AW172" i="44" s="1"/>
  <c r="AW173" i="44" s="1"/>
  <c r="AX167" i="44" s="1"/>
  <c r="AX169" i="44" s="1"/>
  <c r="AW148" i="44"/>
  <c r="AW149" i="44" s="1"/>
  <c r="AX145" i="44" s="1"/>
  <c r="AT220" i="44" l="1"/>
  <c r="AT222" i="44" s="1"/>
  <c r="AU181" i="44"/>
  <c r="AU182" i="44" s="1"/>
  <c r="AV177" i="44" s="1"/>
  <c r="AV185" i="44" s="1"/>
  <c r="AV187" i="44" s="1"/>
  <c r="DB138" i="44"/>
  <c r="DB170" i="44" s="1"/>
  <c r="DC89" i="44"/>
  <c r="DC90" i="44" s="1"/>
  <c r="DC97" i="44" s="1"/>
  <c r="DC98" i="44" s="1"/>
  <c r="DD95" i="44" s="1"/>
  <c r="CR110" i="44"/>
  <c r="CR60" i="44"/>
  <c r="CR128" i="44"/>
  <c r="CR130" i="44" s="1"/>
  <c r="CR139" i="44" s="1"/>
  <c r="CR140" i="44" s="1"/>
  <c r="CS135" i="44" s="1"/>
  <c r="CS137" i="44" s="1"/>
  <c r="DB45" i="44"/>
  <c r="DA45" i="44"/>
  <c r="DA147" i="44"/>
  <c r="DA170" i="44"/>
  <c r="AX152" i="44"/>
  <c r="AX154" i="44" s="1"/>
  <c r="AU208" i="44"/>
  <c r="AU205" i="44"/>
  <c r="AV198" i="44" s="1"/>
  <c r="DB147" i="44" l="1"/>
  <c r="DC101" i="44"/>
  <c r="DC103" i="44" s="1"/>
  <c r="DC126" i="44" s="1"/>
  <c r="DB201" i="44"/>
  <c r="DB179" i="44"/>
  <c r="CR117" i="44"/>
  <c r="CR118" i="44" s="1"/>
  <c r="CS115" i="44" s="1"/>
  <c r="CR111" i="44"/>
  <c r="CS107" i="44" s="1"/>
  <c r="DC91" i="44"/>
  <c r="DD87" i="44" s="1"/>
  <c r="DA179" i="44"/>
  <c r="DA201" i="44"/>
  <c r="AU210" i="44"/>
  <c r="AU66" i="44" s="1"/>
  <c r="AU209" i="44"/>
  <c r="AU65" i="44" s="1"/>
  <c r="AU48" i="44"/>
  <c r="AX171" i="44"/>
  <c r="AX157" i="44"/>
  <c r="AV200" i="44"/>
  <c r="AV203" i="44"/>
  <c r="AV190" i="44"/>
  <c r="DC138" i="44" l="1"/>
  <c r="DC147" i="44" s="1"/>
  <c r="CS109" i="44"/>
  <c r="CS110" i="44" s="1"/>
  <c r="CS117" i="44" s="1"/>
  <c r="CS118" i="44" s="1"/>
  <c r="CT115" i="44" s="1"/>
  <c r="DD89" i="44"/>
  <c r="DD90" i="44" s="1"/>
  <c r="DD97" i="44" s="1"/>
  <c r="DD98" i="44" s="1"/>
  <c r="DE95" i="44" s="1"/>
  <c r="DC45" i="44"/>
  <c r="AX158" i="44"/>
  <c r="AX61" i="44" s="1"/>
  <c r="AX46" i="44"/>
  <c r="AX159" i="44"/>
  <c r="AX62" i="44" s="1"/>
  <c r="AV47" i="44"/>
  <c r="AV192" i="44"/>
  <c r="AV64" i="44" s="1"/>
  <c r="AV191" i="44"/>
  <c r="AV63" i="44" s="1"/>
  <c r="AX180" i="44"/>
  <c r="AX202" i="44"/>
  <c r="AU211" i="44"/>
  <c r="AU213" i="44" s="1"/>
  <c r="DC170" i="44" l="1"/>
  <c r="DC201" i="44" s="1"/>
  <c r="AX160" i="44"/>
  <c r="AX148" i="44" s="1"/>
  <c r="AX149" i="44" s="1"/>
  <c r="AY145" i="44" s="1"/>
  <c r="DD91" i="44"/>
  <c r="DE87" i="44" s="1"/>
  <c r="DD101" i="44"/>
  <c r="DD103" i="44" s="1"/>
  <c r="CS121" i="44"/>
  <c r="CS123" i="44" s="1"/>
  <c r="CS127" i="44" s="1"/>
  <c r="AV193" i="44"/>
  <c r="AV181" i="44" s="1"/>
  <c r="AV182" i="44" s="1"/>
  <c r="AW177" i="44" s="1"/>
  <c r="CS111" i="44"/>
  <c r="CT107" i="44" s="1"/>
  <c r="AU218" i="44"/>
  <c r="AU67" i="44" s="1"/>
  <c r="AU217" i="44"/>
  <c r="AU219" i="44"/>
  <c r="AU68" i="44" s="1"/>
  <c r="AX162" i="44" l="1"/>
  <c r="AX172" i="44" s="1"/>
  <c r="AX173" i="44" s="1"/>
  <c r="AY167" i="44" s="1"/>
  <c r="AY169" i="44" s="1"/>
  <c r="DC179" i="44"/>
  <c r="AV195" i="44"/>
  <c r="AV204" i="44" s="1"/>
  <c r="AV208" i="44" s="1"/>
  <c r="CT109" i="44"/>
  <c r="CT110" i="44" s="1"/>
  <c r="CT117" i="44" s="1"/>
  <c r="CT118" i="44" s="1"/>
  <c r="CU115" i="44" s="1"/>
  <c r="AU69" i="44"/>
  <c r="CS60" i="44"/>
  <c r="CS128" i="44"/>
  <c r="CS130" i="44" s="1"/>
  <c r="CS139" i="44" s="1"/>
  <c r="CS140" i="44" s="1"/>
  <c r="CT135" i="44" s="1"/>
  <c r="CT137" i="44" s="1"/>
  <c r="DD126" i="44"/>
  <c r="DD138" i="44"/>
  <c r="DE89" i="44"/>
  <c r="DE90" i="44" s="1"/>
  <c r="DE97" i="44" s="1"/>
  <c r="DE98" i="44" s="1"/>
  <c r="DF95" i="44" s="1"/>
  <c r="AW185" i="44"/>
  <c r="AW187" i="44" s="1"/>
  <c r="AU49" i="44"/>
  <c r="AU50" i="44" s="1"/>
  <c r="AU220" i="44"/>
  <c r="AU222" i="44" s="1"/>
  <c r="AY152" i="44"/>
  <c r="AY154" i="44" s="1"/>
  <c r="AV205" i="44" l="1"/>
  <c r="AW198" i="44" s="1"/>
  <c r="AW200" i="44" s="1"/>
  <c r="CT111" i="44"/>
  <c r="CU107" i="44" s="1"/>
  <c r="CU109" i="44" s="1"/>
  <c r="CU110" i="44" s="1"/>
  <c r="CU117" i="44" s="1"/>
  <c r="CU118" i="44" s="1"/>
  <c r="CV115" i="44" s="1"/>
  <c r="DE101" i="44"/>
  <c r="DE103" i="44" s="1"/>
  <c r="DE138" i="44" s="1"/>
  <c r="CT121" i="44"/>
  <c r="CT123" i="44" s="1"/>
  <c r="CT127" i="44" s="1"/>
  <c r="CT60" i="44" s="1"/>
  <c r="DD45" i="44"/>
  <c r="DD147" i="44"/>
  <c r="DD170" i="44"/>
  <c r="DE91" i="44"/>
  <c r="DF87" i="44" s="1"/>
  <c r="AV210" i="44"/>
  <c r="AV66" i="44" s="1"/>
  <c r="AV209" i="44"/>
  <c r="AV65" i="44" s="1"/>
  <c r="AV48" i="44"/>
  <c r="AW203" i="44"/>
  <c r="AW190" i="44"/>
  <c r="AY171" i="44"/>
  <c r="AY157" i="44"/>
  <c r="DE126" i="44" l="1"/>
  <c r="DE45" i="44" s="1"/>
  <c r="CT128" i="44"/>
  <c r="CT130" i="44" s="1"/>
  <c r="CT139" i="44" s="1"/>
  <c r="CT140" i="44" s="1"/>
  <c r="CU135" i="44" s="1"/>
  <c r="CU137" i="44" s="1"/>
  <c r="CU121" i="44"/>
  <c r="CU123" i="44" s="1"/>
  <c r="CU127" i="44" s="1"/>
  <c r="CU60" i="44" s="1"/>
  <c r="DE147" i="44"/>
  <c r="DE170" i="44"/>
  <c r="DD179" i="44"/>
  <c r="DD201" i="44"/>
  <c r="AV211" i="44"/>
  <c r="AV213" i="44" s="1"/>
  <c r="AV217" i="44" s="1"/>
  <c r="DF89" i="44"/>
  <c r="DF90" i="44" s="1"/>
  <c r="DF97" i="44" s="1"/>
  <c r="DF98" i="44" s="1"/>
  <c r="DG95" i="44" s="1"/>
  <c r="CU111" i="44"/>
  <c r="CV107" i="44" s="1"/>
  <c r="AY46" i="44"/>
  <c r="AY159" i="44"/>
  <c r="AY62" i="44" s="1"/>
  <c r="AY158" i="44"/>
  <c r="AY61" i="44" s="1"/>
  <c r="AY202" i="44"/>
  <c r="AY180" i="44"/>
  <c r="AW191" i="44"/>
  <c r="AW63" i="44" s="1"/>
  <c r="AW192" i="44"/>
  <c r="AW64" i="44" s="1"/>
  <c r="AW47" i="44"/>
  <c r="AY160" i="44" l="1"/>
  <c r="AY162" i="44" s="1"/>
  <c r="AY172" i="44" s="1"/>
  <c r="AY173" i="44" s="1"/>
  <c r="AZ167" i="44" s="1"/>
  <c r="AV218" i="44"/>
  <c r="AV67" i="44" s="1"/>
  <c r="AV219" i="44"/>
  <c r="AV68" i="44" s="1"/>
  <c r="CU128" i="44"/>
  <c r="CU130" i="44" s="1"/>
  <c r="CU139" i="44" s="1"/>
  <c r="CU140" i="44" s="1"/>
  <c r="CV135" i="44" s="1"/>
  <c r="CV137" i="44" s="1"/>
  <c r="AW193" i="44"/>
  <c r="AW195" i="44" s="1"/>
  <c r="AW204" i="44" s="1"/>
  <c r="DF101" i="44"/>
  <c r="DF103" i="44" s="1"/>
  <c r="DF126" i="44" s="1"/>
  <c r="CV109" i="44"/>
  <c r="CV110" i="44" s="1"/>
  <c r="CV117" i="44" s="1"/>
  <c r="CV118" i="44" s="1"/>
  <c r="CW115" i="44" s="1"/>
  <c r="DF91" i="44"/>
  <c r="DG87" i="44" s="1"/>
  <c r="DE201" i="44"/>
  <c r="DE179" i="44"/>
  <c r="AV49" i="44"/>
  <c r="AV50" i="44" s="1"/>
  <c r="AY148" i="44" l="1"/>
  <c r="AY149" i="44" s="1"/>
  <c r="AZ145" i="44" s="1"/>
  <c r="AZ152" i="44" s="1"/>
  <c r="AZ154" i="44" s="1"/>
  <c r="AV69" i="44"/>
  <c r="AV220" i="44"/>
  <c r="AV222" i="44" s="1"/>
  <c r="AW181" i="44"/>
  <c r="AW182" i="44" s="1"/>
  <c r="AX177" i="44" s="1"/>
  <c r="AX185" i="44" s="1"/>
  <c r="AX187" i="44" s="1"/>
  <c r="DF138" i="44"/>
  <c r="DF170" i="44" s="1"/>
  <c r="DG89" i="44"/>
  <c r="DG90" i="44" s="1"/>
  <c r="DG97" i="44" s="1"/>
  <c r="DG98" i="44" s="1"/>
  <c r="DH95" i="44" s="1"/>
  <c r="DF45" i="44"/>
  <c r="CV111" i="44"/>
  <c r="CW107" i="44" s="1"/>
  <c r="CV121" i="44"/>
  <c r="CV123" i="44" s="1"/>
  <c r="CV127" i="44" s="1"/>
  <c r="AZ169" i="44"/>
  <c r="AW208" i="44"/>
  <c r="AW205" i="44"/>
  <c r="AX198" i="44" s="1"/>
  <c r="DF147" i="44" l="1"/>
  <c r="DG91" i="44"/>
  <c r="DH87" i="44" s="1"/>
  <c r="DH89" i="44" s="1"/>
  <c r="DH101" i="44" s="1"/>
  <c r="DH103" i="44" s="1"/>
  <c r="DG101" i="44"/>
  <c r="DG103" i="44" s="1"/>
  <c r="DG138" i="44" s="1"/>
  <c r="CW109" i="44"/>
  <c r="CW110" i="44" s="1"/>
  <c r="CW117" i="44" s="1"/>
  <c r="CW118" i="44" s="1"/>
  <c r="CX115" i="44" s="1"/>
  <c r="DF201" i="44"/>
  <c r="DF179" i="44"/>
  <c r="CV60" i="44"/>
  <c r="CV128" i="44"/>
  <c r="CV130" i="44" s="1"/>
  <c r="CV139" i="44" s="1"/>
  <c r="CV140" i="44" s="1"/>
  <c r="CW135" i="44" s="1"/>
  <c r="CW137" i="44" s="1"/>
  <c r="AX200" i="44"/>
  <c r="AZ157" i="44"/>
  <c r="AZ171" i="44"/>
  <c r="AW48" i="44"/>
  <c r="AW210" i="44"/>
  <c r="AW66" i="44" s="1"/>
  <c r="AW209" i="44"/>
  <c r="AW65" i="44" s="1"/>
  <c r="AX203" i="44"/>
  <c r="AX190" i="44"/>
  <c r="DG126" i="44" l="1"/>
  <c r="DG45" i="44" s="1"/>
  <c r="AW211" i="44"/>
  <c r="AW213" i="44" s="1"/>
  <c r="AW217" i="44" s="1"/>
  <c r="CW121" i="44"/>
  <c r="CW123" i="44" s="1"/>
  <c r="CW127" i="44" s="1"/>
  <c r="CW60" i="44" s="1"/>
  <c r="DH90" i="44"/>
  <c r="DH126" i="44"/>
  <c r="DH138" i="44"/>
  <c r="CW111" i="44"/>
  <c r="CX107" i="44" s="1"/>
  <c r="DG170" i="44"/>
  <c r="DG147" i="44"/>
  <c r="AZ180" i="44"/>
  <c r="AZ202" i="44"/>
  <c r="AZ159" i="44"/>
  <c r="AZ62" i="44" s="1"/>
  <c r="AZ158" i="44"/>
  <c r="AZ61" i="44" s="1"/>
  <c r="AZ46" i="44"/>
  <c r="AX47" i="44"/>
  <c r="AX192" i="44"/>
  <c r="AX64" i="44" s="1"/>
  <c r="AX191" i="44"/>
  <c r="AX63" i="44" s="1"/>
  <c r="AW218" i="44" l="1"/>
  <c r="AW67" i="44" s="1"/>
  <c r="AW219" i="44"/>
  <c r="AW68" i="44" s="1"/>
  <c r="AZ160" i="44"/>
  <c r="AZ148" i="44" s="1"/>
  <c r="AZ149" i="44" s="1"/>
  <c r="BA145" i="44" s="1"/>
  <c r="CW128" i="44"/>
  <c r="CW130" i="44" s="1"/>
  <c r="CW139" i="44" s="1"/>
  <c r="CW140" i="44" s="1"/>
  <c r="CX135" i="44" s="1"/>
  <c r="CX137" i="44" s="1"/>
  <c r="CX109" i="44"/>
  <c r="CX121" i="44" s="1"/>
  <c r="CX123" i="44" s="1"/>
  <c r="CX127" i="44" s="1"/>
  <c r="DH170" i="44"/>
  <c r="DH147" i="44"/>
  <c r="DH45" i="44"/>
  <c r="DG179" i="44"/>
  <c r="DG201" i="44"/>
  <c r="DH97" i="44"/>
  <c r="DH98" i="44" s="1"/>
  <c r="DI95" i="44" s="1"/>
  <c r="DH91" i="44"/>
  <c r="DI87" i="44" s="1"/>
  <c r="AW49" i="44"/>
  <c r="AW50" i="44" s="1"/>
  <c r="AX193" i="44"/>
  <c r="AW69" i="44" l="1"/>
  <c r="AW220" i="44"/>
  <c r="AW222" i="44" s="1"/>
  <c r="AZ162" i="44"/>
  <c r="AZ172" i="44" s="1"/>
  <c r="AZ173" i="44" s="1"/>
  <c r="BA167" i="44" s="1"/>
  <c r="BA169" i="44" s="1"/>
  <c r="CX110" i="44"/>
  <c r="CX117" i="44" s="1"/>
  <c r="CX118" i="44" s="1"/>
  <c r="CY115" i="44" s="1"/>
  <c r="DH201" i="44"/>
  <c r="DH179" i="44"/>
  <c r="DI89" i="44"/>
  <c r="DI90" i="44" s="1"/>
  <c r="DI97" i="44" s="1"/>
  <c r="DI98" i="44" s="1"/>
  <c r="DJ95" i="44" s="1"/>
  <c r="CX60" i="44"/>
  <c r="CX128" i="44"/>
  <c r="CX130" i="44" s="1"/>
  <c r="CX139" i="44" s="1"/>
  <c r="CX140" i="44" s="1"/>
  <c r="CY135" i="44" s="1"/>
  <c r="CY137" i="44" s="1"/>
  <c r="AX195" i="44"/>
  <c r="AX204" i="44" s="1"/>
  <c r="AX181" i="44"/>
  <c r="AX182" i="44" s="1"/>
  <c r="AY177" i="44" s="1"/>
  <c r="BA152" i="44"/>
  <c r="BA154" i="44" s="1"/>
  <c r="CX111" i="44" l="1"/>
  <c r="CY107" i="44" s="1"/>
  <c r="CY109" i="44" s="1"/>
  <c r="CY110" i="44" s="1"/>
  <c r="CY117" i="44" s="1"/>
  <c r="CY118" i="44" s="1"/>
  <c r="CZ115" i="44" s="1"/>
  <c r="DI101" i="44"/>
  <c r="DI103" i="44" s="1"/>
  <c r="DI91" i="44"/>
  <c r="DJ87" i="44" s="1"/>
  <c r="AY185" i="44"/>
  <c r="AY187" i="44" s="1"/>
  <c r="AX208" i="44"/>
  <c r="AX205" i="44"/>
  <c r="AY198" i="44" s="1"/>
  <c r="BA171" i="44"/>
  <c r="BA157" i="44"/>
  <c r="CY111" i="44" l="1"/>
  <c r="CZ107" i="44" s="1"/>
  <c r="CZ109" i="44" s="1"/>
  <c r="CZ121" i="44" s="1"/>
  <c r="CZ123" i="44" s="1"/>
  <c r="CZ127" i="44" s="1"/>
  <c r="CY121" i="44"/>
  <c r="CY123" i="44" s="1"/>
  <c r="CY127" i="44" s="1"/>
  <c r="DJ89" i="44"/>
  <c r="DJ90" i="44" s="1"/>
  <c r="DJ97" i="44" s="1"/>
  <c r="DJ98" i="44" s="1"/>
  <c r="DK95" i="44" s="1"/>
  <c r="DI138" i="44"/>
  <c r="DI126" i="44"/>
  <c r="BA46" i="44"/>
  <c r="BA159" i="44"/>
  <c r="BA62" i="44" s="1"/>
  <c r="BA158" i="44"/>
  <c r="BA61" i="44" s="1"/>
  <c r="AX209" i="44"/>
  <c r="AX65" i="44" s="1"/>
  <c r="AX210" i="44"/>
  <c r="AX66" i="44" s="1"/>
  <c r="AX48" i="44"/>
  <c r="AY190" i="44"/>
  <c r="AY203" i="44"/>
  <c r="AY200" i="44"/>
  <c r="BA202" i="44"/>
  <c r="BA180" i="44"/>
  <c r="CY60" i="44" l="1"/>
  <c r="CY128" i="44"/>
  <c r="CY130" i="44" s="1"/>
  <c r="CY139" i="44" s="1"/>
  <c r="CY140" i="44" s="1"/>
  <c r="CZ135" i="44" s="1"/>
  <c r="CZ137" i="44" s="1"/>
  <c r="DJ101" i="44"/>
  <c r="DJ103" i="44" s="1"/>
  <c r="DJ126" i="44" s="1"/>
  <c r="BA160" i="44"/>
  <c r="BA162" i="44" s="1"/>
  <c r="BA172" i="44" s="1"/>
  <c r="BA173" i="44" s="1"/>
  <c r="BB167" i="44" s="1"/>
  <c r="CZ110" i="44"/>
  <c r="DI45" i="44"/>
  <c r="CZ60" i="44"/>
  <c r="CZ128" i="44"/>
  <c r="CZ130" i="44" s="1"/>
  <c r="AX211" i="44"/>
  <c r="AX213" i="44" s="1"/>
  <c r="AX218" i="44" s="1"/>
  <c r="AX67" i="44" s="1"/>
  <c r="DI170" i="44"/>
  <c r="DI147" i="44"/>
  <c r="DJ91" i="44"/>
  <c r="DK87" i="44" s="1"/>
  <c r="G36" i="45"/>
  <c r="H36" i="45"/>
  <c r="AY47" i="44"/>
  <c r="AY192" i="44"/>
  <c r="AY64" i="44" s="1"/>
  <c r="AY191" i="44"/>
  <c r="AY63" i="44" s="1"/>
  <c r="CZ139" i="44" l="1"/>
  <c r="CZ140" i="44" s="1"/>
  <c r="DA135" i="44" s="1"/>
  <c r="DA137" i="44" s="1"/>
  <c r="DJ138" i="44"/>
  <c r="DJ147" i="44" s="1"/>
  <c r="BA148" i="44"/>
  <c r="BA149" i="44" s="1"/>
  <c r="BB145" i="44" s="1"/>
  <c r="BB152" i="44" s="1"/>
  <c r="BB154" i="44" s="1"/>
  <c r="DI201" i="44"/>
  <c r="DI179" i="44"/>
  <c r="AX217" i="44"/>
  <c r="AX49" i="44" s="1"/>
  <c r="AX50" i="44" s="1"/>
  <c r="AX219" i="44"/>
  <c r="AX68" i="44" s="1"/>
  <c r="AX69" i="44" s="1"/>
  <c r="DJ45" i="44"/>
  <c r="AY193" i="44"/>
  <c r="AY195" i="44" s="1"/>
  <c r="AY204" i="44" s="1"/>
  <c r="DK89" i="44"/>
  <c r="DK101" i="44" s="1"/>
  <c r="DK103" i="44" s="1"/>
  <c r="CZ117" i="44"/>
  <c r="CZ118" i="44" s="1"/>
  <c r="DA115" i="44" s="1"/>
  <c r="CZ111" i="44"/>
  <c r="DA107" i="44" s="1"/>
  <c r="BB169" i="44"/>
  <c r="DJ170" i="44" l="1"/>
  <c r="DJ179" i="44" s="1"/>
  <c r="AY181" i="44"/>
  <c r="AY182" i="44" s="1"/>
  <c r="AZ177" i="44" s="1"/>
  <c r="AZ185" i="44" s="1"/>
  <c r="AZ187" i="44" s="1"/>
  <c r="DA109" i="44"/>
  <c r="DA121" i="44" s="1"/>
  <c r="DA123" i="44" s="1"/>
  <c r="DA127" i="44" s="1"/>
  <c r="DK90" i="44"/>
  <c r="DK126" i="44"/>
  <c r="DK138" i="44"/>
  <c r="AX220" i="44"/>
  <c r="AX222" i="44" s="1"/>
  <c r="BB157" i="44"/>
  <c r="BB171" i="44"/>
  <c r="AY208" i="44"/>
  <c r="AY205" i="44"/>
  <c r="AZ198" i="44" s="1"/>
  <c r="DJ201" i="44" l="1"/>
  <c r="DA110" i="44"/>
  <c r="DA111" i="44" s="1"/>
  <c r="DB107" i="44" s="1"/>
  <c r="DB109" i="44" s="1"/>
  <c r="DB110" i="44" s="1"/>
  <c r="DK170" i="44"/>
  <c r="DK147" i="44"/>
  <c r="DK97" i="44"/>
  <c r="DK98" i="44" s="1"/>
  <c r="DL95" i="44" s="1"/>
  <c r="DK91" i="44"/>
  <c r="DL87" i="44" s="1"/>
  <c r="DK45" i="44"/>
  <c r="DA60" i="44"/>
  <c r="DA128" i="44"/>
  <c r="DA130" i="44" s="1"/>
  <c r="DA139" i="44" s="1"/>
  <c r="DA140" i="44" s="1"/>
  <c r="DB135" i="44" s="1"/>
  <c r="DB137" i="44" s="1"/>
  <c r="AZ203" i="44"/>
  <c r="AZ190" i="44"/>
  <c r="BB180" i="44"/>
  <c r="BB202" i="44"/>
  <c r="AZ200" i="44"/>
  <c r="AY209" i="44"/>
  <c r="AY65" i="44" s="1"/>
  <c r="AY210" i="44"/>
  <c r="AY66" i="44" s="1"/>
  <c r="AY48" i="44"/>
  <c r="BB159" i="44"/>
  <c r="BB62" i="44" s="1"/>
  <c r="BB158" i="44"/>
  <c r="BB61" i="44" s="1"/>
  <c r="BB46" i="44"/>
  <c r="BB160" i="44" l="1"/>
  <c r="BB162" i="44" s="1"/>
  <c r="BB172" i="44" s="1"/>
  <c r="BB173" i="44" s="1"/>
  <c r="BC167" i="44" s="1"/>
  <c r="DA117" i="44"/>
  <c r="DA118" i="44" s="1"/>
  <c r="DB115" i="44" s="1"/>
  <c r="DB121" i="44" s="1"/>
  <c r="DB123" i="44" s="1"/>
  <c r="DB127" i="44" s="1"/>
  <c r="DB117" i="44"/>
  <c r="DB111" i="44"/>
  <c r="DC107" i="44" s="1"/>
  <c r="DL89" i="44"/>
  <c r="DL90" i="44" s="1"/>
  <c r="DL97" i="44" s="1"/>
  <c r="DL98" i="44" s="1"/>
  <c r="DM95" i="44" s="1"/>
  <c r="DK201" i="44"/>
  <c r="DK179" i="44"/>
  <c r="AY211" i="44"/>
  <c r="AY213" i="44" s="1"/>
  <c r="AY218" i="44" s="1"/>
  <c r="AY67" i="44" s="1"/>
  <c r="AZ192" i="44"/>
  <c r="AZ64" i="44" s="1"/>
  <c r="AZ191" i="44"/>
  <c r="AZ63" i="44" s="1"/>
  <c r="AZ47" i="44"/>
  <c r="BB148" i="44" l="1"/>
  <c r="BB149" i="44" s="1"/>
  <c r="BC145" i="44" s="1"/>
  <c r="BC152" i="44" s="1"/>
  <c r="BC154" i="44" s="1"/>
  <c r="DB118" i="44"/>
  <c r="DC115" i="44" s="1"/>
  <c r="AZ193" i="44"/>
  <c r="AZ195" i="44" s="1"/>
  <c r="AZ204" i="44" s="1"/>
  <c r="AY219" i="44"/>
  <c r="AY68" i="44" s="1"/>
  <c r="AY69" i="44" s="1"/>
  <c r="AY217" i="44"/>
  <c r="AY49" i="44" s="1"/>
  <c r="AY50" i="44" s="1"/>
  <c r="DL91" i="44"/>
  <c r="DM87" i="44" s="1"/>
  <c r="DB60" i="44"/>
  <c r="DB128" i="44"/>
  <c r="DB130" i="44" s="1"/>
  <c r="DB139" i="44" s="1"/>
  <c r="DB140" i="44" s="1"/>
  <c r="DC135" i="44" s="1"/>
  <c r="DC137" i="44" s="1"/>
  <c r="DL101" i="44"/>
  <c r="DL103" i="44" s="1"/>
  <c r="DC109" i="44"/>
  <c r="DC110" i="44" s="1"/>
  <c r="BC169" i="44"/>
  <c r="AY220" i="44" l="1"/>
  <c r="AY222" i="44" s="1"/>
  <c r="AZ181" i="44"/>
  <c r="AZ182" i="44" s="1"/>
  <c r="BA177" i="44" s="1"/>
  <c r="BA185" i="44" s="1"/>
  <c r="BA187" i="44" s="1"/>
  <c r="DC117" i="44"/>
  <c r="DC118" i="44" s="1"/>
  <c r="DD115" i="44" s="1"/>
  <c r="DC121" i="44"/>
  <c r="DC123" i="44" s="1"/>
  <c r="DC127" i="44" s="1"/>
  <c r="DL138" i="44"/>
  <c r="DL126" i="44"/>
  <c r="DC111" i="44"/>
  <c r="DD107" i="44" s="1"/>
  <c r="DM89" i="44"/>
  <c r="DM90" i="44" s="1"/>
  <c r="DM97" i="44" s="1"/>
  <c r="DM98" i="44" s="1"/>
  <c r="DN95" i="44" s="1"/>
  <c r="BC171" i="44"/>
  <c r="BC157" i="44"/>
  <c r="AZ208" i="44"/>
  <c r="AZ205" i="44"/>
  <c r="BA198" i="44" s="1"/>
  <c r="DL45" i="44" l="1"/>
  <c r="DL147" i="44"/>
  <c r="DL170" i="44"/>
  <c r="DC60" i="44"/>
  <c r="DC128" i="44"/>
  <c r="DC130" i="44" s="1"/>
  <c r="DC139" i="44" s="1"/>
  <c r="DC140" i="44" s="1"/>
  <c r="DD135" i="44" s="1"/>
  <c r="DD137" i="44" s="1"/>
  <c r="DD109" i="44"/>
  <c r="DD121" i="44" s="1"/>
  <c r="DD123" i="44" s="1"/>
  <c r="DD127" i="44" s="1"/>
  <c r="DM91" i="44"/>
  <c r="DN87" i="44" s="1"/>
  <c r="DM101" i="44"/>
  <c r="DM103" i="44" s="1"/>
  <c r="BA200" i="44"/>
  <c r="AZ210" i="44"/>
  <c r="AZ66" i="44" s="1"/>
  <c r="AZ48" i="44"/>
  <c r="AZ209" i="44"/>
  <c r="AZ65" i="44" s="1"/>
  <c r="BC159" i="44"/>
  <c r="BC62" i="44" s="1"/>
  <c r="BC158" i="44"/>
  <c r="BC61" i="44" s="1"/>
  <c r="BC46" i="44"/>
  <c r="BA203" i="44"/>
  <c r="BA190" i="44"/>
  <c r="BC202" i="44"/>
  <c r="BC180" i="44"/>
  <c r="AZ211" i="44" l="1"/>
  <c r="AZ213" i="44" s="1"/>
  <c r="AZ218" i="44" s="1"/>
  <c r="AZ67" i="44" s="1"/>
  <c r="DM126" i="44"/>
  <c r="DM138" i="44"/>
  <c r="DL201" i="44"/>
  <c r="DL179" i="44"/>
  <c r="DN89" i="44"/>
  <c r="DN101" i="44" s="1"/>
  <c r="DN103" i="44" s="1"/>
  <c r="DD60" i="44"/>
  <c r="DD128" i="44"/>
  <c r="DD130" i="44" s="1"/>
  <c r="DD139" i="44" s="1"/>
  <c r="DD140" i="44" s="1"/>
  <c r="DE135" i="44" s="1"/>
  <c r="DE137" i="44" s="1"/>
  <c r="BC160" i="44"/>
  <c r="BC148" i="44" s="1"/>
  <c r="BC149" i="44" s="1"/>
  <c r="BD145" i="44" s="1"/>
  <c r="DD110" i="44"/>
  <c r="DD111" i="44" s="1"/>
  <c r="DE107" i="44" s="1"/>
  <c r="BA192" i="44"/>
  <c r="BA64" i="44" s="1"/>
  <c r="BA47" i="44"/>
  <c r="BA191" i="44"/>
  <c r="BA63" i="44" s="1"/>
  <c r="AZ219" i="44" l="1"/>
  <c r="AZ68" i="44" s="1"/>
  <c r="AZ69" i="44" s="1"/>
  <c r="AZ217" i="44"/>
  <c r="AZ49" i="44" s="1"/>
  <c r="AZ50" i="44" s="1"/>
  <c r="DN90" i="44"/>
  <c r="DN97" i="44" s="1"/>
  <c r="DN98" i="44" s="1"/>
  <c r="DO95" i="44" s="1"/>
  <c r="BC162" i="44"/>
  <c r="BC172" i="44" s="1"/>
  <c r="BC173" i="44" s="1"/>
  <c r="BD167" i="44" s="1"/>
  <c r="DN126" i="44"/>
  <c r="DN138" i="44"/>
  <c r="DD117" i="44"/>
  <c r="DD118" i="44" s="1"/>
  <c r="DE115" i="44" s="1"/>
  <c r="DE109" i="44"/>
  <c r="DM170" i="44"/>
  <c r="DM147" i="44"/>
  <c r="DM45" i="44"/>
  <c r="BD152" i="44"/>
  <c r="BD154" i="44" s="1"/>
  <c r="BA193" i="44"/>
  <c r="AZ220" i="44" l="1"/>
  <c r="AZ222" i="44" s="1"/>
  <c r="DE121" i="44"/>
  <c r="DE123" i="44" s="1"/>
  <c r="DE127" i="44" s="1"/>
  <c r="DE60" i="44" s="1"/>
  <c r="DN91" i="44"/>
  <c r="DO87" i="44" s="1"/>
  <c r="DO89" i="44" s="1"/>
  <c r="DO90" i="44" s="1"/>
  <c r="DO97" i="44" s="1"/>
  <c r="DO98" i="44" s="1"/>
  <c r="DP95" i="44" s="1"/>
  <c r="DE110" i="44"/>
  <c r="DN170" i="44"/>
  <c r="DN147" i="44"/>
  <c r="DM201" i="44"/>
  <c r="DM179" i="44"/>
  <c r="DN45" i="44"/>
  <c r="BD169" i="44"/>
  <c r="BA195" i="44"/>
  <c r="BA204" i="44" s="1"/>
  <c r="BA181" i="44"/>
  <c r="BA182" i="44" s="1"/>
  <c r="BB177" i="44" s="1"/>
  <c r="BD171" i="44"/>
  <c r="BD157" i="44"/>
  <c r="DE128" i="44" l="1"/>
  <c r="DE130" i="44" s="1"/>
  <c r="DE139" i="44" s="1"/>
  <c r="DE140" i="44" s="1"/>
  <c r="DF135" i="44" s="1"/>
  <c r="DF137" i="44" s="1"/>
  <c r="DO91" i="44"/>
  <c r="DP87" i="44" s="1"/>
  <c r="DO101" i="44"/>
  <c r="DO103" i="44" s="1"/>
  <c r="DN179" i="44"/>
  <c r="DN201" i="44"/>
  <c r="DE117" i="44"/>
  <c r="DE118" i="44" s="1"/>
  <c r="DF115" i="44" s="1"/>
  <c r="DE111" i="44"/>
  <c r="DF107" i="44" s="1"/>
  <c r="BD159" i="44"/>
  <c r="BD62" i="44" s="1"/>
  <c r="BD46" i="44"/>
  <c r="BD158" i="44"/>
  <c r="BD61" i="44" s="1"/>
  <c r="BA208" i="44"/>
  <c r="BA205" i="44"/>
  <c r="BB198" i="44" s="1"/>
  <c r="BD202" i="44"/>
  <c r="BD180" i="44"/>
  <c r="BB185" i="44"/>
  <c r="BB187" i="44" s="1"/>
  <c r="DP89" i="44" l="1"/>
  <c r="DP101" i="44" s="1"/>
  <c r="DP103" i="44" s="1"/>
  <c r="DP138" i="44" s="1"/>
  <c r="BD160" i="44"/>
  <c r="BD162" i="44" s="1"/>
  <c r="BD172" i="44" s="1"/>
  <c r="DF109" i="44"/>
  <c r="DF110" i="44" s="1"/>
  <c r="DF117" i="44" s="1"/>
  <c r="DF118" i="44" s="1"/>
  <c r="DG115" i="44" s="1"/>
  <c r="DO126" i="44"/>
  <c r="DO138" i="44"/>
  <c r="BA48" i="44"/>
  <c r="BA209" i="44"/>
  <c r="BA65" i="44" s="1"/>
  <c r="BA210" i="44"/>
  <c r="BA66" i="44" s="1"/>
  <c r="BB203" i="44"/>
  <c r="BB190" i="44"/>
  <c r="BB200" i="44"/>
  <c r="BD148" i="44" l="1"/>
  <c r="BD149" i="44" s="1"/>
  <c r="BE145" i="44" s="1"/>
  <c r="BE152" i="44" s="1"/>
  <c r="BE154" i="44" s="1"/>
  <c r="DP126" i="44"/>
  <c r="DP45" i="44" s="1"/>
  <c r="DF121" i="44"/>
  <c r="DF123" i="44" s="1"/>
  <c r="DF127" i="44" s="1"/>
  <c r="DF128" i="44" s="1"/>
  <c r="DF130" i="44" s="1"/>
  <c r="DF139" i="44" s="1"/>
  <c r="DF140" i="44" s="1"/>
  <c r="DG135" i="44" s="1"/>
  <c r="DG137" i="44" s="1"/>
  <c r="DP90" i="44"/>
  <c r="DP91" i="44" s="1"/>
  <c r="DQ87" i="44" s="1"/>
  <c r="DQ89" i="44" s="1"/>
  <c r="DF111" i="44"/>
  <c r="DG107" i="44" s="1"/>
  <c r="DG109" i="44" s="1"/>
  <c r="DG121" i="44" s="1"/>
  <c r="DG123" i="44" s="1"/>
  <c r="DG127" i="44" s="1"/>
  <c r="DO170" i="44"/>
  <c r="DO147" i="44"/>
  <c r="DO45" i="44"/>
  <c r="DP170" i="44"/>
  <c r="DP147" i="44"/>
  <c r="G21" i="45"/>
  <c r="H21" i="45"/>
  <c r="L21" i="45"/>
  <c r="M21" i="45"/>
  <c r="BA211" i="44"/>
  <c r="BA213" i="44" s="1"/>
  <c r="BD173" i="44"/>
  <c r="BE167" i="44" s="1"/>
  <c r="BB192" i="44"/>
  <c r="BB64" i="44" s="1"/>
  <c r="BB191" i="44"/>
  <c r="BB63" i="44" s="1"/>
  <c r="BB47" i="44"/>
  <c r="BB193" i="44" l="1"/>
  <c r="BB195" i="44" s="1"/>
  <c r="BB204" i="44" s="1"/>
  <c r="DF60" i="44"/>
  <c r="DP97" i="44"/>
  <c r="DP98" i="44" s="1"/>
  <c r="DQ95" i="44" s="1"/>
  <c r="DQ101" i="44" s="1"/>
  <c r="DQ103" i="44" s="1"/>
  <c r="DQ126" i="44" s="1"/>
  <c r="DQ90" i="44"/>
  <c r="DQ97" i="44" s="1"/>
  <c r="DP179" i="44"/>
  <c r="DP201" i="44"/>
  <c r="DG60" i="44"/>
  <c r="DG128" i="44"/>
  <c r="DG130" i="44" s="1"/>
  <c r="DO179" i="44"/>
  <c r="DO201" i="44"/>
  <c r="DG110" i="44"/>
  <c r="DG117" i="44" s="1"/>
  <c r="DG118" i="44" s="1"/>
  <c r="DH115" i="44" s="1"/>
  <c r="BE169" i="44"/>
  <c r="BA218" i="44"/>
  <c r="BA67" i="44" s="1"/>
  <c r="BA217" i="44"/>
  <c r="BA219" i="44"/>
  <c r="BA68" i="44" s="1"/>
  <c r="BE157" i="44"/>
  <c r="BE171" i="44"/>
  <c r="C21" i="45"/>
  <c r="DQ98" i="44" l="1"/>
  <c r="DR95" i="44" s="1"/>
  <c r="BB181" i="44"/>
  <c r="BB182" i="44" s="1"/>
  <c r="BC177" i="44" s="1"/>
  <c r="BC185" i="44" s="1"/>
  <c r="BC187" i="44" s="1"/>
  <c r="DQ138" i="44"/>
  <c r="DQ147" i="44" s="1"/>
  <c r="DQ91" i="44"/>
  <c r="DR87" i="44" s="1"/>
  <c r="DR89" i="44" s="1"/>
  <c r="BA69" i="44"/>
  <c r="DG139" i="44"/>
  <c r="DG140" i="44" s="1"/>
  <c r="DH135" i="44" s="1"/>
  <c r="DH137" i="44" s="1"/>
  <c r="DQ45" i="44"/>
  <c r="DG111" i="44"/>
  <c r="DH107" i="44" s="1"/>
  <c r="BA220" i="44"/>
  <c r="BA222" i="44" s="1"/>
  <c r="BA49" i="44"/>
  <c r="BA50" i="44" s="1"/>
  <c r="BE202" i="44"/>
  <c r="BE180" i="44"/>
  <c r="BE46" i="44"/>
  <c r="BE159" i="44"/>
  <c r="BE62" i="44" s="1"/>
  <c r="BE158" i="44"/>
  <c r="BE61" i="44" s="1"/>
  <c r="BB208" i="44"/>
  <c r="BB205" i="44"/>
  <c r="BC198" i="44" s="1"/>
  <c r="DR101" i="44" l="1"/>
  <c r="DR103" i="44" s="1"/>
  <c r="DR126" i="44" s="1"/>
  <c r="DR45" i="44" s="1"/>
  <c r="DQ170" i="44"/>
  <c r="DQ201" i="44" s="1"/>
  <c r="DR90" i="44"/>
  <c r="DR91" i="44" s="1"/>
  <c r="DS87" i="44" s="1"/>
  <c r="DH109" i="44"/>
  <c r="DH110" i="44" s="1"/>
  <c r="BE160" i="44"/>
  <c r="BE162" i="44" s="1"/>
  <c r="BE172" i="44" s="1"/>
  <c r="BC203" i="44"/>
  <c r="BC190" i="44"/>
  <c r="BC200" i="44"/>
  <c r="BB48" i="44"/>
  <c r="BB210" i="44"/>
  <c r="BB66" i="44" s="1"/>
  <c r="BB209" i="44"/>
  <c r="BB65" i="44" s="1"/>
  <c r="DQ179" i="44" l="1"/>
  <c r="DR138" i="44"/>
  <c r="DR147" i="44" s="1"/>
  <c r="DR97" i="44"/>
  <c r="DR98" i="44" s="1"/>
  <c r="DS95" i="44" s="1"/>
  <c r="BE148" i="44"/>
  <c r="BE149" i="44" s="1"/>
  <c r="BF145" i="44" s="1"/>
  <c r="BF152" i="44" s="1"/>
  <c r="BF154" i="44" s="1"/>
  <c r="DS89" i="44"/>
  <c r="DS90" i="44" s="1"/>
  <c r="DS91" i="44" s="1"/>
  <c r="DT87" i="44" s="1"/>
  <c r="DH121" i="44"/>
  <c r="DH123" i="44" s="1"/>
  <c r="DH127" i="44" s="1"/>
  <c r="DH111" i="44"/>
  <c r="DI107" i="44" s="1"/>
  <c r="DH117" i="44"/>
  <c r="DH118" i="44" s="1"/>
  <c r="DI115" i="44" s="1"/>
  <c r="BE173" i="44"/>
  <c r="BF167" i="44" s="1"/>
  <c r="BC192" i="44"/>
  <c r="BC64" i="44" s="1"/>
  <c r="BC47" i="44"/>
  <c r="BC191" i="44"/>
  <c r="BC63" i="44" s="1"/>
  <c r="BB211" i="44"/>
  <c r="BB213" i="44" s="1"/>
  <c r="DR170" i="44" l="1"/>
  <c r="BC193" i="44"/>
  <c r="BC195" i="44" s="1"/>
  <c r="BC204" i="44" s="1"/>
  <c r="DT89" i="44"/>
  <c r="DT90" i="44" s="1"/>
  <c r="DT97" i="44" s="1"/>
  <c r="DI109" i="44"/>
  <c r="DI110" i="44" s="1"/>
  <c r="DI117" i="44" s="1"/>
  <c r="DI118" i="44" s="1"/>
  <c r="DJ115" i="44" s="1"/>
  <c r="DH60" i="44"/>
  <c r="DH128" i="44"/>
  <c r="DH130" i="44" s="1"/>
  <c r="DS97" i="44"/>
  <c r="DS98" i="44" s="1"/>
  <c r="DT95" i="44" s="1"/>
  <c r="DS101" i="44"/>
  <c r="DS103" i="44" s="1"/>
  <c r="BF169" i="44"/>
  <c r="BB217" i="44"/>
  <c r="BB219" i="44"/>
  <c r="BB68" i="44" s="1"/>
  <c r="BB218" i="44"/>
  <c r="BB67" i="44" s="1"/>
  <c r="BF171" i="44"/>
  <c r="BF157" i="44"/>
  <c r="DR179" i="44" l="1"/>
  <c r="DR201" i="44"/>
  <c r="BC181" i="44"/>
  <c r="BC182" i="44" s="1"/>
  <c r="BD177" i="44" s="1"/>
  <c r="BD185" i="44" s="1"/>
  <c r="BD187" i="44" s="1"/>
  <c r="DI121" i="44"/>
  <c r="DI123" i="44" s="1"/>
  <c r="DI127" i="44" s="1"/>
  <c r="DI60" i="44" s="1"/>
  <c r="BB69" i="44"/>
  <c r="DT98" i="44"/>
  <c r="DU95" i="44" s="1"/>
  <c r="DH139" i="44"/>
  <c r="DH140" i="44" s="1"/>
  <c r="DI135" i="44" s="1"/>
  <c r="DI137" i="44" s="1"/>
  <c r="DI111" i="44"/>
  <c r="DJ107" i="44" s="1"/>
  <c r="DS138" i="44"/>
  <c r="DS126" i="44"/>
  <c r="DT101" i="44"/>
  <c r="DT103" i="44" s="1"/>
  <c r="DT91" i="44"/>
  <c r="DU87" i="44" s="1"/>
  <c r="BB49" i="44"/>
  <c r="BB50" i="44" s="1"/>
  <c r="BB220" i="44"/>
  <c r="BB222" i="44" s="1"/>
  <c r="BF158" i="44"/>
  <c r="BF61" i="44" s="1"/>
  <c r="BF46" i="44"/>
  <c r="BF159" i="44"/>
  <c r="BF62" i="44" s="1"/>
  <c r="BF202" i="44"/>
  <c r="BF180" i="44"/>
  <c r="BC208" i="44"/>
  <c r="BC205" i="44"/>
  <c r="BD198" i="44" s="1"/>
  <c r="DI128" i="44" l="1"/>
  <c r="DI130" i="44" s="1"/>
  <c r="DI139" i="44" s="1"/>
  <c r="DI140" i="44" s="1"/>
  <c r="DJ135" i="44" s="1"/>
  <c r="DJ137" i="44" s="1"/>
  <c r="BF160" i="44"/>
  <c r="BF148" i="44" s="1"/>
  <c r="BF149" i="44" s="1"/>
  <c r="BG145" i="44" s="1"/>
  <c r="DS45" i="44"/>
  <c r="DJ109" i="44"/>
  <c r="DJ121" i="44" s="1"/>
  <c r="DJ123" i="44" s="1"/>
  <c r="DJ127" i="44" s="1"/>
  <c r="DS147" i="44"/>
  <c r="DS170" i="44"/>
  <c r="DU89" i="44"/>
  <c r="DU90" i="44" s="1"/>
  <c r="DT126" i="44"/>
  <c r="DT138" i="44"/>
  <c r="BD190" i="44"/>
  <c r="BD203" i="44"/>
  <c r="BD200" i="44"/>
  <c r="BC209" i="44"/>
  <c r="BC65" i="44" s="1"/>
  <c r="BC48" i="44"/>
  <c r="BC210" i="44"/>
  <c r="BC66" i="44" s="1"/>
  <c r="BF162" i="44" l="1"/>
  <c r="BF172" i="44" s="1"/>
  <c r="BF173" i="44" s="1"/>
  <c r="BG167" i="44" s="1"/>
  <c r="BC211" i="44"/>
  <c r="BC213" i="44" s="1"/>
  <c r="BC218" i="44" s="1"/>
  <c r="BC67" i="44" s="1"/>
  <c r="DT147" i="44"/>
  <c r="DT170" i="44"/>
  <c r="DT45" i="44"/>
  <c r="DJ110" i="44"/>
  <c r="DJ60" i="44"/>
  <c r="DJ128" i="44"/>
  <c r="DJ130" i="44" s="1"/>
  <c r="DS201" i="44"/>
  <c r="DS179" i="44"/>
  <c r="DU97" i="44"/>
  <c r="DU98" i="44" s="1"/>
  <c r="DV95" i="44" s="1"/>
  <c r="DU91" i="44"/>
  <c r="DV87" i="44" s="1"/>
  <c r="DU101" i="44"/>
  <c r="DU103" i="44" s="1"/>
  <c r="BD192" i="44"/>
  <c r="BD64" i="44" s="1"/>
  <c r="BD191" i="44"/>
  <c r="BD63" i="44" s="1"/>
  <c r="BD47" i="44"/>
  <c r="BG152" i="44"/>
  <c r="BG154" i="44" s="1"/>
  <c r="BC219" i="44" l="1"/>
  <c r="BC68" i="44" s="1"/>
  <c r="BC69" i="44" s="1"/>
  <c r="BC217" i="44"/>
  <c r="BC49" i="44" s="1"/>
  <c r="BC50" i="44" s="1"/>
  <c r="BD193" i="44"/>
  <c r="BD195" i="44" s="1"/>
  <c r="BD204" i="44" s="1"/>
  <c r="DJ139" i="44"/>
  <c r="DJ140" i="44" s="1"/>
  <c r="DK135" i="44" s="1"/>
  <c r="DK137" i="44" s="1"/>
  <c r="DV89" i="44"/>
  <c r="E89" i="44" s="1"/>
  <c r="DJ117" i="44"/>
  <c r="DJ118" i="44" s="1"/>
  <c r="DK115" i="44" s="1"/>
  <c r="DJ111" i="44"/>
  <c r="DK107" i="44" s="1"/>
  <c r="DU138" i="44"/>
  <c r="DU126" i="44"/>
  <c r="DT179" i="44"/>
  <c r="DT201" i="44"/>
  <c r="BG171" i="44"/>
  <c r="BG157" i="44"/>
  <c r="BG169" i="44"/>
  <c r="BD181" i="44" l="1"/>
  <c r="BD182" i="44" s="1"/>
  <c r="BE177" i="44" s="1"/>
  <c r="BE185" i="44" s="1"/>
  <c r="BE187" i="44" s="1"/>
  <c r="BE190" i="44" s="1"/>
  <c r="BC220" i="44"/>
  <c r="BC222" i="44" s="1"/>
  <c r="DV101" i="44"/>
  <c r="DV103" i="44" s="1"/>
  <c r="DV90" i="44"/>
  <c r="DU45" i="44"/>
  <c r="DK109" i="44"/>
  <c r="DK110" i="44" s="1"/>
  <c r="DK117" i="44" s="1"/>
  <c r="DK118" i="44" s="1"/>
  <c r="DL115" i="44" s="1"/>
  <c r="DU147" i="44"/>
  <c r="DU170" i="44"/>
  <c r="BG158" i="44"/>
  <c r="BG61" i="44" s="1"/>
  <c r="BG159" i="44"/>
  <c r="BG62" i="44" s="1"/>
  <c r="BG46" i="44"/>
  <c r="BD208" i="44"/>
  <c r="BD205" i="44"/>
  <c r="BE198" i="44" s="1"/>
  <c r="BG202" i="44"/>
  <c r="BG180" i="44"/>
  <c r="BE203" i="44" l="1"/>
  <c r="DK111" i="44"/>
  <c r="DL107" i="44" s="1"/>
  <c r="DV97" i="44"/>
  <c r="DV98" i="44" s="1"/>
  <c r="E90" i="44"/>
  <c r="E91" i="44" s="1"/>
  <c r="DU179" i="44"/>
  <c r="DU201" i="44"/>
  <c r="DV91" i="44"/>
  <c r="BG160" i="44"/>
  <c r="BG162" i="44" s="1"/>
  <c r="BG172" i="44" s="1"/>
  <c r="DK121" i="44"/>
  <c r="DK123" i="44" s="1"/>
  <c r="DK127" i="44" s="1"/>
  <c r="DV138" i="44"/>
  <c r="DV126" i="44"/>
  <c r="BD48" i="44"/>
  <c r="BD210" i="44"/>
  <c r="BD66" i="44" s="1"/>
  <c r="BD209" i="44"/>
  <c r="BD65" i="44" s="1"/>
  <c r="BE191" i="44"/>
  <c r="BE63" i="44" s="1"/>
  <c r="BE47" i="44"/>
  <c r="BE192" i="44"/>
  <c r="BE64" i="44" s="1"/>
  <c r="BE200" i="44"/>
  <c r="BD211" i="44" l="1"/>
  <c r="BD213" i="44" s="1"/>
  <c r="BD219" i="44" s="1"/>
  <c r="BD68" i="44" s="1"/>
  <c r="BG148" i="44"/>
  <c r="BG149" i="44" s="1"/>
  <c r="BH145" i="44" s="1"/>
  <c r="BH152" i="44" s="1"/>
  <c r="BH154" i="44" s="1"/>
  <c r="DV45" i="44"/>
  <c r="E126" i="44"/>
  <c r="DV147" i="44"/>
  <c r="DV170" i="44"/>
  <c r="DK60" i="44"/>
  <c r="DK128" i="44"/>
  <c r="DK130" i="44" s="1"/>
  <c r="DL109" i="44"/>
  <c r="DL121" i="44" s="1"/>
  <c r="DL123" i="44" s="1"/>
  <c r="DL127" i="44" s="1"/>
  <c r="BG173" i="44"/>
  <c r="BH167" i="44" s="1"/>
  <c r="BE193" i="44"/>
  <c r="BD217" i="44" l="1"/>
  <c r="BD49" i="44" s="1"/>
  <c r="BD50" i="44" s="1"/>
  <c r="BD218" i="44"/>
  <c r="BD67" i="44" s="1"/>
  <c r="BD69" i="44" s="1"/>
  <c r="DK139" i="44"/>
  <c r="DK140" i="44" s="1"/>
  <c r="DL135" i="44" s="1"/>
  <c r="DL137" i="44" s="1"/>
  <c r="DV179" i="44"/>
  <c r="DV201" i="44"/>
  <c r="DL60" i="44"/>
  <c r="DL128" i="44"/>
  <c r="DL130" i="44" s="1"/>
  <c r="DL110" i="44"/>
  <c r="D45" i="44"/>
  <c r="N21" i="45"/>
  <c r="T21" i="45" s="1"/>
  <c r="BE181" i="44"/>
  <c r="BE182" i="44" s="1"/>
  <c r="BF177" i="44" s="1"/>
  <c r="BE195" i="44"/>
  <c r="BE204" i="44" s="1"/>
  <c r="BH157" i="44"/>
  <c r="BH171" i="44"/>
  <c r="BH169" i="44"/>
  <c r="BD220" i="44" l="1"/>
  <c r="BD222" i="44" s="1"/>
  <c r="DL139" i="44"/>
  <c r="DL140" i="44" s="1"/>
  <c r="DM135" i="44" s="1"/>
  <c r="DM137" i="44" s="1"/>
  <c r="DL117" i="44"/>
  <c r="DL118" i="44" s="1"/>
  <c r="DM115" i="44" s="1"/>
  <c r="DL111" i="44"/>
  <c r="DM107" i="44" s="1"/>
  <c r="BH202" i="44"/>
  <c r="BH180" i="44"/>
  <c r="BH46" i="44"/>
  <c r="BH158" i="44"/>
  <c r="BH61" i="44" s="1"/>
  <c r="BH159" i="44"/>
  <c r="BH62" i="44" s="1"/>
  <c r="BE208" i="44"/>
  <c r="BE205" i="44"/>
  <c r="BF198" i="44" s="1"/>
  <c r="BF185" i="44"/>
  <c r="BF187" i="44" s="1"/>
  <c r="BH160" i="44" l="1"/>
  <c r="BH148" i="44" s="1"/>
  <c r="BH149" i="44" s="1"/>
  <c r="BI145" i="44" s="1"/>
  <c r="DM109" i="44"/>
  <c r="DM121" i="44" s="1"/>
  <c r="DM123" i="44" s="1"/>
  <c r="DM127" i="44" s="1"/>
  <c r="BF203" i="44"/>
  <c r="BF190" i="44"/>
  <c r="BE209" i="44"/>
  <c r="BE65" i="44" s="1"/>
  <c r="BE210" i="44"/>
  <c r="BE66" i="44" s="1"/>
  <c r="BE48" i="44"/>
  <c r="BF200" i="44"/>
  <c r="BH162" i="44" l="1"/>
  <c r="BH172" i="44" s="1"/>
  <c r="BH173" i="44" s="1"/>
  <c r="BI167" i="44" s="1"/>
  <c r="BI169" i="44" s="1"/>
  <c r="E169" i="44" s="1"/>
  <c r="DM60" i="44"/>
  <c r="DM128" i="44"/>
  <c r="DM130" i="44" s="1"/>
  <c r="DM139" i="44" s="1"/>
  <c r="DM140" i="44" s="1"/>
  <c r="DN135" i="44" s="1"/>
  <c r="DN137" i="44" s="1"/>
  <c r="BE211" i="44"/>
  <c r="BE213" i="44" s="1"/>
  <c r="BE219" i="44" s="1"/>
  <c r="BE68" i="44" s="1"/>
  <c r="DM110" i="44"/>
  <c r="DM117" i="44" s="1"/>
  <c r="DM118" i="44" s="1"/>
  <c r="DN115" i="44" s="1"/>
  <c r="BI152" i="44"/>
  <c r="BI154" i="44" s="1"/>
  <c r="BF47" i="44"/>
  <c r="BF191" i="44"/>
  <c r="BF63" i="44" s="1"/>
  <c r="BF192" i="44"/>
  <c r="BF64" i="44" s="1"/>
  <c r="BE217" i="44" l="1"/>
  <c r="BE49" i="44" s="1"/>
  <c r="BE50" i="44" s="1"/>
  <c r="BE218" i="44"/>
  <c r="BE67" i="44" s="1"/>
  <c r="BE69" i="44" s="1"/>
  <c r="BF193" i="44"/>
  <c r="BF195" i="44" s="1"/>
  <c r="BF204" i="44" s="1"/>
  <c r="DM111" i="44"/>
  <c r="DN107" i="44" s="1"/>
  <c r="BI157" i="44"/>
  <c r="BI171" i="44"/>
  <c r="BE220" i="44" l="1"/>
  <c r="BE222" i="44" s="1"/>
  <c r="BF181" i="44"/>
  <c r="BF182" i="44" s="1"/>
  <c r="BG177" i="44" s="1"/>
  <c r="BG185" i="44" s="1"/>
  <c r="BG187" i="44" s="1"/>
  <c r="DN109" i="44"/>
  <c r="DN121" i="44" s="1"/>
  <c r="DN123" i="44" s="1"/>
  <c r="DN127" i="44" s="1"/>
  <c r="BF208" i="44"/>
  <c r="BF205" i="44"/>
  <c r="BG198" i="44" s="1"/>
  <c r="BI202" i="44"/>
  <c r="E202" i="44" s="1"/>
  <c r="BI180" i="44"/>
  <c r="E171" i="44"/>
  <c r="BI159" i="44"/>
  <c r="BI62" i="44" s="1"/>
  <c r="BI158" i="44"/>
  <c r="BI61" i="44" s="1"/>
  <c r="BI46" i="44"/>
  <c r="BI160" i="44" l="1"/>
  <c r="BI148" i="44" s="1"/>
  <c r="BI149" i="44" s="1"/>
  <c r="BJ145" i="44" s="1"/>
  <c r="DN60" i="44"/>
  <c r="DN128" i="44"/>
  <c r="DN130" i="44" s="1"/>
  <c r="DN139" i="44" s="1"/>
  <c r="DN140" i="44" s="1"/>
  <c r="DO135" i="44" s="1"/>
  <c r="DO137" i="44" s="1"/>
  <c r="DN110" i="44"/>
  <c r="DN117" i="44" s="1"/>
  <c r="DN118" i="44" s="1"/>
  <c r="DO115" i="44" s="1"/>
  <c r="BG200" i="44"/>
  <c r="BF209" i="44"/>
  <c r="BF65" i="44" s="1"/>
  <c r="BF48" i="44"/>
  <c r="BF210" i="44"/>
  <c r="BF66" i="44" s="1"/>
  <c r="BG203" i="44"/>
  <c r="BG190" i="44"/>
  <c r="DN111" i="44" l="1"/>
  <c r="DO107" i="44" s="1"/>
  <c r="DO109" i="44" s="1"/>
  <c r="DO121" i="44" s="1"/>
  <c r="DO123" i="44" s="1"/>
  <c r="DO127" i="44" s="1"/>
  <c r="BI162" i="44"/>
  <c r="BI172" i="44" s="1"/>
  <c r="E172" i="44" s="1"/>
  <c r="E173" i="44" s="1"/>
  <c r="BF211" i="44"/>
  <c r="BF213" i="44" s="1"/>
  <c r="BF218" i="44" s="1"/>
  <c r="BF67" i="44" s="1"/>
  <c r="BG192" i="44"/>
  <c r="BG64" i="44" s="1"/>
  <c r="BG191" i="44"/>
  <c r="BG63" i="44" s="1"/>
  <c r="BG47" i="44"/>
  <c r="BJ152" i="44"/>
  <c r="BJ154" i="44" s="1"/>
  <c r="BG193" i="44" l="1"/>
  <c r="BG181" i="44" s="1"/>
  <c r="BG182" i="44" s="1"/>
  <c r="BH177" i="44" s="1"/>
  <c r="BF217" i="44"/>
  <c r="BF219" i="44"/>
  <c r="BF68" i="44" s="1"/>
  <c r="BF69" i="44" s="1"/>
  <c r="DO110" i="44"/>
  <c r="DO117" i="44" s="1"/>
  <c r="DO118" i="44" s="1"/>
  <c r="DP115" i="44" s="1"/>
  <c r="BI173" i="44"/>
  <c r="BJ167" i="44" s="1"/>
  <c r="BJ169" i="44" s="1"/>
  <c r="DO60" i="44"/>
  <c r="DO128" i="44"/>
  <c r="DO130" i="44" s="1"/>
  <c r="DO139" i="44" s="1"/>
  <c r="DO140" i="44" s="1"/>
  <c r="DP135" i="44" s="1"/>
  <c r="DP137" i="44" s="1"/>
  <c r="BJ157" i="44"/>
  <c r="BJ171" i="44"/>
  <c r="BG195" i="44" l="1"/>
  <c r="BG204" i="44" s="1"/>
  <c r="BG208" i="44" s="1"/>
  <c r="BF220" i="44"/>
  <c r="BF222" i="44" s="1"/>
  <c r="BF49" i="44"/>
  <c r="BF50" i="44" s="1"/>
  <c r="DO111" i="44"/>
  <c r="DP107" i="44" s="1"/>
  <c r="DP109" i="44" s="1"/>
  <c r="DP110" i="44" s="1"/>
  <c r="DP117" i="44" s="1"/>
  <c r="DP118" i="44" s="1"/>
  <c r="DQ115" i="44" s="1"/>
  <c r="BJ202" i="44"/>
  <c r="BJ180" i="44"/>
  <c r="BJ46" i="44"/>
  <c r="BJ159" i="44"/>
  <c r="BJ62" i="44" s="1"/>
  <c r="BJ158" i="44"/>
  <c r="BJ61" i="44" s="1"/>
  <c r="BH185" i="44"/>
  <c r="BH187" i="44" s="1"/>
  <c r="BG205" i="44" l="1"/>
  <c r="BH198" i="44" s="1"/>
  <c r="BH200" i="44" s="1"/>
  <c r="DP111" i="44"/>
  <c r="DQ107" i="44" s="1"/>
  <c r="DQ109" i="44" s="1"/>
  <c r="DQ121" i="44" s="1"/>
  <c r="DQ123" i="44" s="1"/>
  <c r="DQ127" i="44" s="1"/>
  <c r="DQ60" i="44" s="1"/>
  <c r="DP121" i="44"/>
  <c r="DP123" i="44" s="1"/>
  <c r="DP127" i="44" s="1"/>
  <c r="BJ160" i="44"/>
  <c r="BJ162" i="44" s="1"/>
  <c r="BJ172" i="44" s="1"/>
  <c r="BJ173" i="44" s="1"/>
  <c r="BK167" i="44" s="1"/>
  <c r="BG48" i="44"/>
  <c r="BG209" i="44"/>
  <c r="BG65" i="44" s="1"/>
  <c r="BG210" i="44"/>
  <c r="BG66" i="44" s="1"/>
  <c r="BH190" i="44"/>
  <c r="BH203" i="44"/>
  <c r="DQ110" i="44" l="1"/>
  <c r="DQ117" i="44" s="1"/>
  <c r="DQ118" i="44" s="1"/>
  <c r="DR115" i="44" s="1"/>
  <c r="BJ148" i="44"/>
  <c r="BJ149" i="44" s="1"/>
  <c r="BK145" i="44" s="1"/>
  <c r="BK152" i="44" s="1"/>
  <c r="BK154" i="44" s="1"/>
  <c r="DQ128" i="44"/>
  <c r="DQ130" i="44" s="1"/>
  <c r="DP60" i="44"/>
  <c r="DP128" i="44"/>
  <c r="DP130" i="44" s="1"/>
  <c r="DP139" i="44" s="1"/>
  <c r="DP140" i="44" s="1"/>
  <c r="DQ135" i="44" s="1"/>
  <c r="DQ137" i="44" s="1"/>
  <c r="BG211" i="44"/>
  <c r="BG213" i="44" s="1"/>
  <c r="BG218" i="44" s="1"/>
  <c r="BG67" i="44" s="1"/>
  <c r="BH192" i="44"/>
  <c r="BH64" i="44" s="1"/>
  <c r="BH191" i="44"/>
  <c r="BH63" i="44" s="1"/>
  <c r="BH47" i="44"/>
  <c r="BK169" i="44"/>
  <c r="DQ111" i="44" l="1"/>
  <c r="DR107" i="44" s="1"/>
  <c r="DR109" i="44" s="1"/>
  <c r="DR121" i="44" s="1"/>
  <c r="DR123" i="44" s="1"/>
  <c r="DR127" i="44" s="1"/>
  <c r="DR60" i="44" s="1"/>
  <c r="BG219" i="44"/>
  <c r="BG68" i="44" s="1"/>
  <c r="BG69" i="44" s="1"/>
  <c r="BG217" i="44"/>
  <c r="BG49" i="44" s="1"/>
  <c r="BG50" i="44" s="1"/>
  <c r="BH193" i="44"/>
  <c r="BH181" i="44" s="1"/>
  <c r="BH182" i="44" s="1"/>
  <c r="BI177" i="44" s="1"/>
  <c r="DQ139" i="44"/>
  <c r="DQ140" i="44" s="1"/>
  <c r="DR135" i="44" s="1"/>
  <c r="DR137" i="44" s="1"/>
  <c r="BK171" i="44"/>
  <c r="BK157" i="44"/>
  <c r="BH195" i="44" l="1"/>
  <c r="BH204" i="44" s="1"/>
  <c r="BH205" i="44" s="1"/>
  <c r="BI198" i="44" s="1"/>
  <c r="DR128" i="44"/>
  <c r="DR130" i="44" s="1"/>
  <c r="DR139" i="44" s="1"/>
  <c r="DR140" i="44" s="1"/>
  <c r="DS135" i="44" s="1"/>
  <c r="DS137" i="44" s="1"/>
  <c r="DR110" i="44"/>
  <c r="DR117" i="44" s="1"/>
  <c r="DR118" i="44" s="1"/>
  <c r="DS115" i="44" s="1"/>
  <c r="BG220" i="44"/>
  <c r="BG222" i="44" s="1"/>
  <c r="BI185" i="44"/>
  <c r="BI187" i="44" s="1"/>
  <c r="BK202" i="44"/>
  <c r="BK180" i="44"/>
  <c r="BK159" i="44"/>
  <c r="BK62" i="44" s="1"/>
  <c r="BK158" i="44"/>
  <c r="BK61" i="44" s="1"/>
  <c r="BK46" i="44"/>
  <c r="BH208" i="44" l="1"/>
  <c r="BH210" i="44" s="1"/>
  <c r="BH66" i="44" s="1"/>
  <c r="DR111" i="44"/>
  <c r="DS107" i="44" s="1"/>
  <c r="DS109" i="44" s="1"/>
  <c r="DS110" i="44" s="1"/>
  <c r="DS117" i="44" s="1"/>
  <c r="DS118" i="44" s="1"/>
  <c r="DT115" i="44" s="1"/>
  <c r="BI200" i="44"/>
  <c r="E200" i="44" s="1"/>
  <c r="BK160" i="44"/>
  <c r="BI203" i="44"/>
  <c r="E203" i="44" s="1"/>
  <c r="BI190" i="44"/>
  <c r="BH48" i="44" l="1"/>
  <c r="BH209" i="44"/>
  <c r="BH65" i="44" s="1"/>
  <c r="DS121" i="44"/>
  <c r="DS123" i="44" s="1"/>
  <c r="DS127" i="44" s="1"/>
  <c r="DS60" i="44" s="1"/>
  <c r="DS111" i="44"/>
  <c r="DT107" i="44" s="1"/>
  <c r="BK162" i="44"/>
  <c r="BK172" i="44" s="1"/>
  <c r="BK173" i="44" s="1"/>
  <c r="BL167" i="44" s="1"/>
  <c r="BK148" i="44"/>
  <c r="BK149" i="44" s="1"/>
  <c r="BL145" i="44" s="1"/>
  <c r="BI192" i="44"/>
  <c r="BI64" i="44" s="1"/>
  <c r="BI191" i="44"/>
  <c r="BI63" i="44" s="1"/>
  <c r="BI47" i="44"/>
  <c r="BH211" i="44" l="1"/>
  <c r="BH213" i="44" s="1"/>
  <c r="BH219" i="44" s="1"/>
  <c r="BH68" i="44" s="1"/>
  <c r="DS128" i="44"/>
  <c r="DS130" i="44" s="1"/>
  <c r="DS139" i="44" s="1"/>
  <c r="DS140" i="44" s="1"/>
  <c r="DT135" i="44" s="1"/>
  <c r="DT137" i="44" s="1"/>
  <c r="BI193" i="44"/>
  <c r="BI181" i="44" s="1"/>
  <c r="BI182" i="44" s="1"/>
  <c r="BJ177" i="44" s="1"/>
  <c r="DT109" i="44"/>
  <c r="DT121" i="44" s="1"/>
  <c r="DT123" i="44" s="1"/>
  <c r="DT127" i="44" s="1"/>
  <c r="BL152" i="44"/>
  <c r="BL154" i="44" s="1"/>
  <c r="BL169" i="44"/>
  <c r="BH218" i="44" l="1"/>
  <c r="BH67" i="44" s="1"/>
  <c r="BH69" i="44" s="1"/>
  <c r="BH217" i="44"/>
  <c r="BH49" i="44" s="1"/>
  <c r="BH50" i="44" s="1"/>
  <c r="DT110" i="44"/>
  <c r="DT117" i="44" s="1"/>
  <c r="DT118" i="44" s="1"/>
  <c r="DU115" i="44" s="1"/>
  <c r="BI195" i="44"/>
  <c r="BI204" i="44" s="1"/>
  <c r="BI208" i="44" s="1"/>
  <c r="DT60" i="44"/>
  <c r="DT128" i="44"/>
  <c r="DT130" i="44" s="1"/>
  <c r="DT139" i="44" s="1"/>
  <c r="DT140" i="44" s="1"/>
  <c r="DU135" i="44" s="1"/>
  <c r="DU137" i="44" s="1"/>
  <c r="BJ185" i="44"/>
  <c r="BJ187" i="44" s="1"/>
  <c r="BL171" i="44"/>
  <c r="BL157" i="44"/>
  <c r="BH220" i="44" l="1"/>
  <c r="BH222" i="44" s="1"/>
  <c r="DT111" i="44"/>
  <c r="DU107" i="44" s="1"/>
  <c r="DU109" i="44" s="1"/>
  <c r="DU121" i="44" s="1"/>
  <c r="DU123" i="44" s="1"/>
  <c r="DU127" i="44" s="1"/>
  <c r="E204" i="44"/>
  <c r="E205" i="44" s="1"/>
  <c r="BI205" i="44"/>
  <c r="BJ198" i="44" s="1"/>
  <c r="BJ200" i="44" s="1"/>
  <c r="BI209" i="44"/>
  <c r="BI65" i="44" s="1"/>
  <c r="BI48" i="44"/>
  <c r="BI210" i="44"/>
  <c r="BI66" i="44" s="1"/>
  <c r="BJ203" i="44"/>
  <c r="BJ190" i="44"/>
  <c r="BL158" i="44"/>
  <c r="BL61" i="44" s="1"/>
  <c r="BL46" i="44"/>
  <c r="BL159" i="44"/>
  <c r="BL62" i="44" s="1"/>
  <c r="BL202" i="44"/>
  <c r="BL180" i="44"/>
  <c r="DU110" i="44" l="1"/>
  <c r="DU117" i="44" s="1"/>
  <c r="DU118" i="44" s="1"/>
  <c r="DV115" i="44" s="1"/>
  <c r="BI211" i="44"/>
  <c r="BI213" i="44" s="1"/>
  <c r="BI219" i="44" s="1"/>
  <c r="BI68" i="44" s="1"/>
  <c r="BL160" i="44"/>
  <c r="BL162" i="44" s="1"/>
  <c r="BL172" i="44" s="1"/>
  <c r="BL173" i="44" s="1"/>
  <c r="BM167" i="44" s="1"/>
  <c r="DU60" i="44"/>
  <c r="DU128" i="44"/>
  <c r="DU130" i="44" s="1"/>
  <c r="DU139" i="44" s="1"/>
  <c r="DU140" i="44" s="1"/>
  <c r="DV135" i="44" s="1"/>
  <c r="DV137" i="44" s="1"/>
  <c r="BJ191" i="44"/>
  <c r="BJ63" i="44" s="1"/>
  <c r="BJ192" i="44"/>
  <c r="BJ64" i="44" s="1"/>
  <c r="BJ47" i="44"/>
  <c r="DU111" i="44" l="1"/>
  <c r="DV107" i="44" s="1"/>
  <c r="BI217" i="44"/>
  <c r="BI49" i="44" s="1"/>
  <c r="BI50" i="44" s="1"/>
  <c r="BI218" i="44"/>
  <c r="BI67" i="44" s="1"/>
  <c r="BI69" i="44" s="1"/>
  <c r="BJ193" i="44"/>
  <c r="BJ195" i="44" s="1"/>
  <c r="BJ204" i="44" s="1"/>
  <c r="BL148" i="44"/>
  <c r="BL149" i="44" s="1"/>
  <c r="BM145" i="44" s="1"/>
  <c r="BM152" i="44" s="1"/>
  <c r="BM154" i="44" s="1"/>
  <c r="BM169" i="44"/>
  <c r="BI220" i="44" l="1"/>
  <c r="BI222" i="44" s="1"/>
  <c r="BJ181" i="44"/>
  <c r="BJ182" i="44" s="1"/>
  <c r="BK177" i="44" s="1"/>
  <c r="BK185" i="44" s="1"/>
  <c r="BK187" i="44" s="1"/>
  <c r="DV109" i="44"/>
  <c r="E109" i="44" s="1"/>
  <c r="L36" i="45"/>
  <c r="M36" i="45"/>
  <c r="BM171" i="44"/>
  <c r="BM157" i="44"/>
  <c r="BJ208" i="44"/>
  <c r="BJ205" i="44"/>
  <c r="BK198" i="44" s="1"/>
  <c r="DV110" i="44" l="1"/>
  <c r="DV111" i="44" s="1"/>
  <c r="DV121" i="44"/>
  <c r="DV123" i="44" s="1"/>
  <c r="DV127" i="44" s="1"/>
  <c r="C36" i="45"/>
  <c r="BK200" i="44"/>
  <c r="BK203" i="44"/>
  <c r="BK190" i="44"/>
  <c r="BM180" i="44"/>
  <c r="BM202" i="44"/>
  <c r="BJ210" i="44"/>
  <c r="BJ66" i="44" s="1"/>
  <c r="BJ209" i="44"/>
  <c r="BJ65" i="44" s="1"/>
  <c r="BJ48" i="44"/>
  <c r="BM158" i="44"/>
  <c r="BM61" i="44" s="1"/>
  <c r="BM159" i="44"/>
  <c r="BM62" i="44" s="1"/>
  <c r="BM46" i="44"/>
  <c r="E110" i="44" l="1"/>
  <c r="E111" i="44" s="1"/>
  <c r="DV117" i="44"/>
  <c r="DV118" i="44" s="1"/>
  <c r="DV60" i="44"/>
  <c r="E127" i="44"/>
  <c r="E128" i="44" s="1"/>
  <c r="DV128" i="44"/>
  <c r="DV130" i="44" s="1"/>
  <c r="BM160" i="44"/>
  <c r="BM162" i="44" s="1"/>
  <c r="BM172" i="44" s="1"/>
  <c r="BM173" i="44" s="1"/>
  <c r="BN167" i="44" s="1"/>
  <c r="BJ211" i="44"/>
  <c r="BJ213" i="44" s="1"/>
  <c r="BK47" i="44"/>
  <c r="BK191" i="44"/>
  <c r="BK63" i="44" s="1"/>
  <c r="BK192" i="44"/>
  <c r="BK64" i="44" s="1"/>
  <c r="BM148" i="44" l="1"/>
  <c r="BM149" i="44" s="1"/>
  <c r="BN145" i="44" s="1"/>
  <c r="BN152" i="44" s="1"/>
  <c r="BN154" i="44" s="1"/>
  <c r="DV139" i="44"/>
  <c r="DV140" i="44" s="1"/>
  <c r="E130" i="44"/>
  <c r="N36" i="45"/>
  <c r="T36" i="45" s="1"/>
  <c r="D60" i="44"/>
  <c r="BJ219" i="44"/>
  <c r="BJ68" i="44" s="1"/>
  <c r="BJ218" i="44"/>
  <c r="BJ67" i="44" s="1"/>
  <c r="BJ217" i="44"/>
  <c r="BN169" i="44"/>
  <c r="BK193" i="44"/>
  <c r="BJ69" i="44" l="1"/>
  <c r="E145" i="44"/>
  <c r="BJ49" i="44"/>
  <c r="BJ50" i="44" s="1"/>
  <c r="BJ220" i="44"/>
  <c r="BJ222" i="44" s="1"/>
  <c r="BK195" i="44"/>
  <c r="BK204" i="44" s="1"/>
  <c r="BK181" i="44"/>
  <c r="BK182" i="44" s="1"/>
  <c r="BL177" i="44" s="1"/>
  <c r="BN157" i="44"/>
  <c r="BN171" i="44"/>
  <c r="BL185" i="44" l="1"/>
  <c r="BL187" i="44" s="1"/>
  <c r="BK208" i="44"/>
  <c r="BK205" i="44"/>
  <c r="BL198" i="44" s="1"/>
  <c r="BN202" i="44"/>
  <c r="BN180" i="44"/>
  <c r="BN159" i="44"/>
  <c r="BN62" i="44" s="1"/>
  <c r="BN158" i="44"/>
  <c r="BN61" i="44" s="1"/>
  <c r="BN46" i="44"/>
  <c r="BL200" i="44" l="1"/>
  <c r="BN160" i="44"/>
  <c r="BK210" i="44"/>
  <c r="BK66" i="44" s="1"/>
  <c r="BK48" i="44"/>
  <c r="BK209" i="44"/>
  <c r="BK65" i="44" s="1"/>
  <c r="BL190" i="44"/>
  <c r="BL203" i="44"/>
  <c r="BK211" i="44" l="1"/>
  <c r="BK213" i="44" s="1"/>
  <c r="BK219" i="44" s="1"/>
  <c r="BK68" i="44" s="1"/>
  <c r="BL192" i="44"/>
  <c r="BL64" i="44" s="1"/>
  <c r="BL191" i="44"/>
  <c r="BL63" i="44" s="1"/>
  <c r="BL47" i="44"/>
  <c r="BN162" i="44"/>
  <c r="BN172" i="44" s="1"/>
  <c r="BN173" i="44" s="1"/>
  <c r="BO167" i="44" s="1"/>
  <c r="BN148" i="44"/>
  <c r="BL193" i="44" l="1"/>
  <c r="BL181" i="44" s="1"/>
  <c r="BL182" i="44" s="1"/>
  <c r="BM177" i="44" s="1"/>
  <c r="BK217" i="44"/>
  <c r="BK218" i="44"/>
  <c r="BK67" i="44" s="1"/>
  <c r="BK69" i="44" s="1"/>
  <c r="BO169" i="44"/>
  <c r="E148" i="44"/>
  <c r="BN149" i="44"/>
  <c r="BO145" i="44" s="1"/>
  <c r="BL195" i="44" l="1"/>
  <c r="BL204" i="44" s="1"/>
  <c r="BL205" i="44" s="1"/>
  <c r="BM198" i="44" s="1"/>
  <c r="BK220" i="44"/>
  <c r="BK222" i="44" s="1"/>
  <c r="BK49" i="44"/>
  <c r="BK50" i="44" s="1"/>
  <c r="BM185" i="44"/>
  <c r="BM187" i="44" s="1"/>
  <c r="BO152" i="44"/>
  <c r="BO154" i="44" s="1"/>
  <c r="BL208" i="44" l="1"/>
  <c r="BL210" i="44" s="1"/>
  <c r="BL66" i="44" s="1"/>
  <c r="BM200" i="44"/>
  <c r="BO171" i="44"/>
  <c r="BO157" i="44"/>
  <c r="BM203" i="44"/>
  <c r="BM190" i="44"/>
  <c r="BL209" i="44" l="1"/>
  <c r="BL65" i="44" s="1"/>
  <c r="BL48" i="44"/>
  <c r="BM192" i="44"/>
  <c r="BM64" i="44" s="1"/>
  <c r="BM47" i="44"/>
  <c r="BM191" i="44"/>
  <c r="BM63" i="44" s="1"/>
  <c r="BO159" i="44"/>
  <c r="BO62" i="44" s="1"/>
  <c r="BO158" i="44"/>
  <c r="BO61" i="44" s="1"/>
  <c r="BO46" i="44"/>
  <c r="BO180" i="44"/>
  <c r="BO202" i="44"/>
  <c r="BL211" i="44" l="1"/>
  <c r="BL213" i="44" s="1"/>
  <c r="BL219" i="44" s="1"/>
  <c r="BL68" i="44" s="1"/>
  <c r="BO160" i="44"/>
  <c r="BO162" i="44" s="1"/>
  <c r="BO172" i="44" s="1"/>
  <c r="BO173" i="44" s="1"/>
  <c r="BP167" i="44" s="1"/>
  <c r="BP169" i="44" s="1"/>
  <c r="BM193" i="44"/>
  <c r="BL217" i="44" l="1"/>
  <c r="BL49" i="44" s="1"/>
  <c r="BL50" i="44" s="1"/>
  <c r="BL218" i="44"/>
  <c r="BL67" i="44" s="1"/>
  <c r="BL69" i="44" s="1"/>
  <c r="BO148" i="44"/>
  <c r="BO149" i="44" s="1"/>
  <c r="BP145" i="44" s="1"/>
  <c r="BP152" i="44" s="1"/>
  <c r="BP154" i="44" s="1"/>
  <c r="BM195" i="44"/>
  <c r="BM204" i="44" s="1"/>
  <c r="BM181" i="44"/>
  <c r="BM182" i="44" s="1"/>
  <c r="BN177" i="44" s="1"/>
  <c r="BL220" i="44" l="1"/>
  <c r="BL222" i="44" s="1"/>
  <c r="BM208" i="44"/>
  <c r="BM205" i="44"/>
  <c r="BN198" i="44" s="1"/>
  <c r="BN185" i="44"/>
  <c r="BN187" i="44" s="1"/>
  <c r="BP171" i="44"/>
  <c r="BP157" i="44"/>
  <c r="BN203" i="44" l="1"/>
  <c r="BN190" i="44"/>
  <c r="BP46" i="44"/>
  <c r="BP159" i="44"/>
  <c r="BP62" i="44" s="1"/>
  <c r="BP158" i="44"/>
  <c r="BP61" i="44" s="1"/>
  <c r="BP202" i="44"/>
  <c r="BP180" i="44"/>
  <c r="BN200" i="44"/>
  <c r="BM210" i="44"/>
  <c r="BM66" i="44" s="1"/>
  <c r="BM48" i="44"/>
  <c r="BM209" i="44"/>
  <c r="BM65" i="44" s="1"/>
  <c r="BP160" i="44" l="1"/>
  <c r="BP162" i="44" s="1"/>
  <c r="BP172" i="44" s="1"/>
  <c r="BP173" i="44" s="1"/>
  <c r="BQ167" i="44" s="1"/>
  <c r="BQ169" i="44" s="1"/>
  <c r="BM211" i="44"/>
  <c r="BM213" i="44" s="1"/>
  <c r="BM219" i="44" s="1"/>
  <c r="BM68" i="44" s="1"/>
  <c r="BN47" i="44"/>
  <c r="BN191" i="44"/>
  <c r="BN63" i="44" s="1"/>
  <c r="BN192" i="44"/>
  <c r="BN64" i="44" s="1"/>
  <c r="BP148" i="44" l="1"/>
  <c r="BP149" i="44" s="1"/>
  <c r="BQ145" i="44" s="1"/>
  <c r="BQ152" i="44" s="1"/>
  <c r="BQ154" i="44" s="1"/>
  <c r="BM218" i="44"/>
  <c r="BM67" i="44" s="1"/>
  <c r="BM69" i="44" s="1"/>
  <c r="BM217" i="44"/>
  <c r="BM49" i="44" s="1"/>
  <c r="BM50" i="44" s="1"/>
  <c r="BN193" i="44"/>
  <c r="BM220" i="44" l="1"/>
  <c r="BM222" i="44" s="1"/>
  <c r="BN195" i="44"/>
  <c r="BN204" i="44" s="1"/>
  <c r="BN181" i="44"/>
  <c r="BN182" i="44" s="1"/>
  <c r="BO177" i="44" s="1"/>
  <c r="BQ157" i="44"/>
  <c r="BQ171" i="44"/>
  <c r="BQ202" i="44" l="1"/>
  <c r="BQ180" i="44"/>
  <c r="BQ158" i="44"/>
  <c r="BQ61" i="44" s="1"/>
  <c r="BQ46" i="44"/>
  <c r="BQ159" i="44"/>
  <c r="BQ62" i="44" s="1"/>
  <c r="BO185" i="44"/>
  <c r="BO187" i="44" s="1"/>
  <c r="BN208" i="44"/>
  <c r="BN205" i="44"/>
  <c r="BO198" i="44" s="1"/>
  <c r="BQ160" i="44" l="1"/>
  <c r="BQ162" i="44" s="1"/>
  <c r="BQ172" i="44" s="1"/>
  <c r="BQ173" i="44" s="1"/>
  <c r="BR167" i="44" s="1"/>
  <c r="BO203" i="44"/>
  <c r="BO190" i="44"/>
  <c r="BO200" i="44"/>
  <c r="BN209" i="44"/>
  <c r="BN65" i="44" s="1"/>
  <c r="BN48" i="44"/>
  <c r="BN210" i="44"/>
  <c r="BN66" i="44" s="1"/>
  <c r="BQ148" i="44" l="1"/>
  <c r="BQ149" i="44" s="1"/>
  <c r="BR145" i="44" s="1"/>
  <c r="BR152" i="44" s="1"/>
  <c r="BR154" i="44" s="1"/>
  <c r="BN211" i="44"/>
  <c r="BN213" i="44" s="1"/>
  <c r="BN218" i="44" s="1"/>
  <c r="BN67" i="44" s="1"/>
  <c r="BO47" i="44"/>
  <c r="BO192" i="44"/>
  <c r="BO64" i="44" s="1"/>
  <c r="BO191" i="44"/>
  <c r="BO63" i="44" s="1"/>
  <c r="BR169" i="44"/>
  <c r="BN219" i="44" l="1"/>
  <c r="BN68" i="44" s="1"/>
  <c r="BN69" i="44" s="1"/>
  <c r="BN217" i="44"/>
  <c r="BN49" i="44" s="1"/>
  <c r="BN50" i="44" s="1"/>
  <c r="BO193" i="44"/>
  <c r="BR171" i="44"/>
  <c r="BR157" i="44"/>
  <c r="BN220" i="44" l="1"/>
  <c r="BN222" i="44" s="1"/>
  <c r="BR159" i="44"/>
  <c r="BR62" i="44" s="1"/>
  <c r="BR46" i="44"/>
  <c r="BR158" i="44"/>
  <c r="BR61" i="44" s="1"/>
  <c r="BR202" i="44"/>
  <c r="BR180" i="44"/>
  <c r="BO195" i="44"/>
  <c r="BO204" i="44" s="1"/>
  <c r="BO181" i="44"/>
  <c r="BO182" i="44" s="1"/>
  <c r="BP177" i="44" s="1"/>
  <c r="BR160" i="44" l="1"/>
  <c r="BR162" i="44" s="1"/>
  <c r="BR172" i="44" s="1"/>
  <c r="BR173" i="44" s="1"/>
  <c r="BS167" i="44" s="1"/>
  <c r="BO208" i="44"/>
  <c r="BO205" i="44"/>
  <c r="BP198" i="44" s="1"/>
  <c r="BP185" i="44"/>
  <c r="BP187" i="44" s="1"/>
  <c r="BR148" i="44" l="1"/>
  <c r="BR149" i="44" s="1"/>
  <c r="BS145" i="44" s="1"/>
  <c r="BS152" i="44" s="1"/>
  <c r="BS154" i="44" s="1"/>
  <c r="BO210" i="44"/>
  <c r="BO66" i="44" s="1"/>
  <c r="BO209" i="44"/>
  <c r="BO65" i="44" s="1"/>
  <c r="BO48" i="44"/>
  <c r="BP200" i="44"/>
  <c r="BP203" i="44"/>
  <c r="BP190" i="44"/>
  <c r="BS169" i="44"/>
  <c r="BO211" i="44" l="1"/>
  <c r="BO213" i="44" s="1"/>
  <c r="BO218" i="44" s="1"/>
  <c r="BO67" i="44" s="1"/>
  <c r="BS171" i="44"/>
  <c r="BS157" i="44"/>
  <c r="BP47" i="44"/>
  <c r="BP192" i="44"/>
  <c r="BP64" i="44" s="1"/>
  <c r="BP191" i="44"/>
  <c r="BP63" i="44" s="1"/>
  <c r="BO217" i="44" l="1"/>
  <c r="BO219" i="44"/>
  <c r="BO68" i="44" s="1"/>
  <c r="BO69" i="44" s="1"/>
  <c r="BS180" i="44"/>
  <c r="BS202" i="44"/>
  <c r="BP193" i="44"/>
  <c r="BS159" i="44"/>
  <c r="BS62" i="44" s="1"/>
  <c r="BS158" i="44"/>
  <c r="BS61" i="44" s="1"/>
  <c r="BS46" i="44"/>
  <c r="BO220" i="44" l="1"/>
  <c r="BO222" i="44" s="1"/>
  <c r="BO49" i="44"/>
  <c r="BO50" i="44" s="1"/>
  <c r="BP195" i="44"/>
  <c r="BP204" i="44" s="1"/>
  <c r="BP181" i="44"/>
  <c r="BP182" i="44" s="1"/>
  <c r="BQ177" i="44" s="1"/>
  <c r="BS160" i="44"/>
  <c r="BS162" i="44" l="1"/>
  <c r="BS172" i="44" s="1"/>
  <c r="BS173" i="44" s="1"/>
  <c r="BT167" i="44" s="1"/>
  <c r="BS148" i="44"/>
  <c r="BS149" i="44" s="1"/>
  <c r="BT145" i="44" s="1"/>
  <c r="BQ185" i="44"/>
  <c r="BQ187" i="44" s="1"/>
  <c r="BP208" i="44"/>
  <c r="BP205" i="44"/>
  <c r="BQ198" i="44" s="1"/>
  <c r="BQ203" i="44" l="1"/>
  <c r="BQ190" i="44"/>
  <c r="BT152" i="44"/>
  <c r="BT154" i="44" s="1"/>
  <c r="BQ200" i="44"/>
  <c r="BP210" i="44"/>
  <c r="BP66" i="44" s="1"/>
  <c r="BP209" i="44"/>
  <c r="BP65" i="44" s="1"/>
  <c r="BP48" i="44"/>
  <c r="BT169" i="44"/>
  <c r="BQ192" i="44" l="1"/>
  <c r="BQ64" i="44" s="1"/>
  <c r="BQ47" i="44"/>
  <c r="BQ191" i="44"/>
  <c r="BQ63" i="44" s="1"/>
  <c r="BT157" i="44"/>
  <c r="BT171" i="44"/>
  <c r="BP211" i="44"/>
  <c r="BP213" i="44" s="1"/>
  <c r="BQ193" i="44" l="1"/>
  <c r="BQ195" i="44" s="1"/>
  <c r="BQ204" i="44" s="1"/>
  <c r="BP217" i="44"/>
  <c r="BP218" i="44"/>
  <c r="BP67" i="44" s="1"/>
  <c r="BP219" i="44"/>
  <c r="BP68" i="44" s="1"/>
  <c r="BT158" i="44"/>
  <c r="BT61" i="44" s="1"/>
  <c r="BT46" i="44"/>
  <c r="BT159" i="44"/>
  <c r="BT62" i="44" s="1"/>
  <c r="BT180" i="44"/>
  <c r="BT202" i="44"/>
  <c r="BP69" i="44" l="1"/>
  <c r="BQ181" i="44"/>
  <c r="BQ182" i="44" s="1"/>
  <c r="BR177" i="44" s="1"/>
  <c r="BR185" i="44" s="1"/>
  <c r="BR187" i="44" s="1"/>
  <c r="BT160" i="44"/>
  <c r="BT162" i="44" s="1"/>
  <c r="BT172" i="44" s="1"/>
  <c r="BT173" i="44" s="1"/>
  <c r="BU167" i="44" s="1"/>
  <c r="BQ208" i="44"/>
  <c r="BQ205" i="44"/>
  <c r="BR198" i="44" s="1"/>
  <c r="BP49" i="44"/>
  <c r="BP50" i="44" s="1"/>
  <c r="BP220" i="44"/>
  <c r="BP222" i="44" s="1"/>
  <c r="BT148" i="44" l="1"/>
  <c r="BT149" i="44" s="1"/>
  <c r="BU145" i="44" s="1"/>
  <c r="BU152" i="44" s="1"/>
  <c r="BU154" i="44" s="1"/>
  <c r="BR200" i="44"/>
  <c r="BU169" i="44"/>
  <c r="BR203" i="44"/>
  <c r="BR190" i="44"/>
  <c r="BQ48" i="44"/>
  <c r="BQ210" i="44"/>
  <c r="BQ66" i="44" s="1"/>
  <c r="BQ209" i="44"/>
  <c r="BQ65" i="44" s="1"/>
  <c r="BR192" i="44" l="1"/>
  <c r="BR64" i="44" s="1"/>
  <c r="BR47" i="44"/>
  <c r="BR191" i="44"/>
  <c r="BR63" i="44" s="1"/>
  <c r="BU157" i="44"/>
  <c r="BU171" i="44"/>
  <c r="BQ211" i="44"/>
  <c r="BQ213" i="44" s="1"/>
  <c r="BR193" i="44" l="1"/>
  <c r="BR195" i="44" s="1"/>
  <c r="BR204" i="44" s="1"/>
  <c r="BU202" i="44"/>
  <c r="BU180" i="44"/>
  <c r="BU159" i="44"/>
  <c r="BU62" i="44" s="1"/>
  <c r="BU158" i="44"/>
  <c r="BU61" i="44" s="1"/>
  <c r="BU46" i="44"/>
  <c r="BQ218" i="44"/>
  <c r="BQ67" i="44" s="1"/>
  <c r="BQ217" i="44"/>
  <c r="BQ219" i="44"/>
  <c r="BQ68" i="44" s="1"/>
  <c r="BR181" i="44" l="1"/>
  <c r="BR182" i="44" s="1"/>
  <c r="BS177" i="44" s="1"/>
  <c r="BS185" i="44" s="1"/>
  <c r="BS187" i="44" s="1"/>
  <c r="BQ69" i="44"/>
  <c r="BQ49" i="44"/>
  <c r="BQ50" i="44" s="1"/>
  <c r="BQ220" i="44"/>
  <c r="BQ222" i="44" s="1"/>
  <c r="BU160" i="44"/>
  <c r="BR208" i="44"/>
  <c r="BR205" i="44"/>
  <c r="BS198" i="44" s="1"/>
  <c r="BS200" i="44" l="1"/>
  <c r="BR210" i="44"/>
  <c r="BR66" i="44" s="1"/>
  <c r="BR48" i="44"/>
  <c r="BR209" i="44"/>
  <c r="BR65" i="44" s="1"/>
  <c r="BU162" i="44"/>
  <c r="BU172" i="44" s="1"/>
  <c r="BU173" i="44" s="1"/>
  <c r="BV167" i="44" s="1"/>
  <c r="BU148" i="44"/>
  <c r="BU149" i="44" s="1"/>
  <c r="BV145" i="44" s="1"/>
  <c r="BS203" i="44"/>
  <c r="BS190" i="44"/>
  <c r="BV152" i="44" l="1"/>
  <c r="BV154" i="44" s="1"/>
  <c r="BR211" i="44"/>
  <c r="BR213" i="44" s="1"/>
  <c r="BV169" i="44"/>
  <c r="BS191" i="44"/>
  <c r="BS63" i="44" s="1"/>
  <c r="BS192" i="44"/>
  <c r="BS64" i="44" s="1"/>
  <c r="BS47" i="44"/>
  <c r="BR219" i="44" l="1"/>
  <c r="BR68" i="44" s="1"/>
  <c r="BR217" i="44"/>
  <c r="BR218" i="44"/>
  <c r="BR67" i="44" s="1"/>
  <c r="BS193" i="44"/>
  <c r="BV157" i="44"/>
  <c r="BV171" i="44"/>
  <c r="BR69" i="44" l="1"/>
  <c r="BV202" i="44"/>
  <c r="BV180" i="44"/>
  <c r="BV159" i="44"/>
  <c r="BV62" i="44" s="1"/>
  <c r="BV158" i="44"/>
  <c r="BV61" i="44" s="1"/>
  <c r="BV46" i="44"/>
  <c r="BS195" i="44"/>
  <c r="BS204" i="44" s="1"/>
  <c r="BS181" i="44"/>
  <c r="BS182" i="44" s="1"/>
  <c r="BT177" i="44" s="1"/>
  <c r="BR220" i="44"/>
  <c r="BR222" i="44" s="1"/>
  <c r="BR49" i="44"/>
  <c r="BR50" i="44" s="1"/>
  <c r="BV160" i="44" l="1"/>
  <c r="BV162" i="44" s="1"/>
  <c r="BV172" i="44" s="1"/>
  <c r="BV173" i="44" s="1"/>
  <c r="BW167" i="44" s="1"/>
  <c r="BS208" i="44"/>
  <c r="BS205" i="44"/>
  <c r="BT198" i="44" s="1"/>
  <c r="BT185" i="44"/>
  <c r="BT187" i="44" s="1"/>
  <c r="BV148" i="44" l="1"/>
  <c r="BV149" i="44" s="1"/>
  <c r="BW145" i="44" s="1"/>
  <c r="BW152" i="44" s="1"/>
  <c r="BW154" i="44" s="1"/>
  <c r="BT203" i="44"/>
  <c r="BT190" i="44"/>
  <c r="BW169" i="44"/>
  <c r="BT200" i="44"/>
  <c r="BS210" i="44"/>
  <c r="BS66" i="44" s="1"/>
  <c r="BS209" i="44"/>
  <c r="BS65" i="44" s="1"/>
  <c r="BS48" i="44"/>
  <c r="BW171" i="44" l="1"/>
  <c r="BW157" i="44"/>
  <c r="BS211" i="44"/>
  <c r="BS213" i="44" s="1"/>
  <c r="BT191" i="44"/>
  <c r="BT63" i="44" s="1"/>
  <c r="BT47" i="44"/>
  <c r="BT192" i="44"/>
  <c r="BT64" i="44" s="1"/>
  <c r="BS219" i="44" l="1"/>
  <c r="BS68" i="44" s="1"/>
  <c r="BS218" i="44"/>
  <c r="BS67" i="44" s="1"/>
  <c r="BS217" i="44"/>
  <c r="BW159" i="44"/>
  <c r="BW62" i="44" s="1"/>
  <c r="BW158" i="44"/>
  <c r="BW61" i="44" s="1"/>
  <c r="BW46" i="44"/>
  <c r="BW202" i="44"/>
  <c r="BW180" i="44"/>
  <c r="BT193" i="44"/>
  <c r="BS69" i="44" l="1"/>
  <c r="BW160" i="44"/>
  <c r="BT195" i="44"/>
  <c r="BT204" i="44" s="1"/>
  <c r="BT181" i="44"/>
  <c r="BT182" i="44" s="1"/>
  <c r="BU177" i="44" s="1"/>
  <c r="BS49" i="44"/>
  <c r="BS50" i="44" s="1"/>
  <c r="BS220" i="44"/>
  <c r="BS222" i="44" s="1"/>
  <c r="BU185" i="44" l="1"/>
  <c r="BU187" i="44" s="1"/>
  <c r="BT208" i="44"/>
  <c r="BT205" i="44"/>
  <c r="BU198" i="44" s="1"/>
  <c r="BW162" i="44"/>
  <c r="BW172" i="44" s="1"/>
  <c r="BW173" i="44" s="1"/>
  <c r="BX167" i="44" s="1"/>
  <c r="BW148" i="44"/>
  <c r="BW149" i="44" s="1"/>
  <c r="BX145" i="44" s="1"/>
  <c r="BU203" i="44" l="1"/>
  <c r="BU190" i="44"/>
  <c r="BX169" i="44"/>
  <c r="BU200" i="44"/>
  <c r="BX152" i="44"/>
  <c r="BX154" i="44" s="1"/>
  <c r="BT210" i="44"/>
  <c r="BT66" i="44" s="1"/>
  <c r="BT209" i="44"/>
  <c r="BT65" i="44" s="1"/>
  <c r="BT48" i="44"/>
  <c r="BT211" i="44" l="1"/>
  <c r="BT213" i="44" s="1"/>
  <c r="BT219" i="44" s="1"/>
  <c r="BT68" i="44" s="1"/>
  <c r="BX157" i="44"/>
  <c r="BX171" i="44"/>
  <c r="BU191" i="44"/>
  <c r="BU63" i="44" s="1"/>
  <c r="BU192" i="44"/>
  <c r="BU64" i="44" s="1"/>
  <c r="BU47" i="44"/>
  <c r="BT218" i="44" l="1"/>
  <c r="BT67" i="44" s="1"/>
  <c r="BT69" i="44" s="1"/>
  <c r="BT217" i="44"/>
  <c r="BX202" i="44"/>
  <c r="BX180" i="44"/>
  <c r="BX46" i="44"/>
  <c r="BX159" i="44"/>
  <c r="BX62" i="44" s="1"/>
  <c r="BX158" i="44"/>
  <c r="BX61" i="44" s="1"/>
  <c r="BU193" i="44"/>
  <c r="BT220" i="44" l="1"/>
  <c r="BT222" i="44" s="1"/>
  <c r="BT49" i="44"/>
  <c r="BT50" i="44" s="1"/>
  <c r="BU195" i="44"/>
  <c r="BU204" i="44" s="1"/>
  <c r="BU181" i="44"/>
  <c r="BU182" i="44" s="1"/>
  <c r="BV177" i="44" s="1"/>
  <c r="BX160" i="44"/>
  <c r="BU208" i="44" l="1"/>
  <c r="BU205" i="44"/>
  <c r="BV198" i="44" s="1"/>
  <c r="BX162" i="44"/>
  <c r="BX172" i="44" s="1"/>
  <c r="BX173" i="44" s="1"/>
  <c r="BY167" i="44" s="1"/>
  <c r="BX148" i="44"/>
  <c r="BX149" i="44" s="1"/>
  <c r="BY145" i="44" s="1"/>
  <c r="BV185" i="44"/>
  <c r="BV187" i="44" s="1"/>
  <c r="BV190" i="44" l="1"/>
  <c r="BV203" i="44"/>
  <c r="BU209" i="44"/>
  <c r="BU65" i="44" s="1"/>
  <c r="BU210" i="44"/>
  <c r="BU66" i="44" s="1"/>
  <c r="BU48" i="44"/>
  <c r="BY152" i="44"/>
  <c r="BY154" i="44" s="1"/>
  <c r="BY169" i="44"/>
  <c r="BV200" i="44"/>
  <c r="BU211" i="44" l="1"/>
  <c r="BU213" i="44" s="1"/>
  <c r="BU217" i="44" s="1"/>
  <c r="BY171" i="44"/>
  <c r="BY157" i="44"/>
  <c r="BV191" i="44"/>
  <c r="BV63" i="44" s="1"/>
  <c r="BV192" i="44"/>
  <c r="BV64" i="44" s="1"/>
  <c r="BV47" i="44"/>
  <c r="BU219" i="44" l="1"/>
  <c r="BU68" i="44" s="1"/>
  <c r="BU218" i="44"/>
  <c r="BU67" i="44" s="1"/>
  <c r="BU49" i="44"/>
  <c r="BU50" i="44" s="1"/>
  <c r="BY158" i="44"/>
  <c r="BY61" i="44" s="1"/>
  <c r="BY46" i="44"/>
  <c r="BY159" i="44"/>
  <c r="BY62" i="44" s="1"/>
  <c r="BV193" i="44"/>
  <c r="BY180" i="44"/>
  <c r="BY202" i="44"/>
  <c r="BU220" i="44" l="1"/>
  <c r="BU222" i="44" s="1"/>
  <c r="BU69" i="44"/>
  <c r="BY160" i="44"/>
  <c r="BY162" i="44" s="1"/>
  <c r="BY172" i="44" s="1"/>
  <c r="BY173" i="44" s="1"/>
  <c r="BZ167" i="44" s="1"/>
  <c r="BV195" i="44"/>
  <c r="BV204" i="44" s="1"/>
  <c r="BV181" i="44"/>
  <c r="BV182" i="44" s="1"/>
  <c r="BW177" i="44" s="1"/>
  <c r="BY148" i="44" l="1"/>
  <c r="BY149" i="44" s="1"/>
  <c r="BZ145" i="44" s="1"/>
  <c r="BZ152" i="44" s="1"/>
  <c r="BZ154" i="44" s="1"/>
  <c r="BV208" i="44"/>
  <c r="BV205" i="44"/>
  <c r="BW198" i="44" s="1"/>
  <c r="BZ169" i="44"/>
  <c r="BW185" i="44"/>
  <c r="BW187" i="44" s="1"/>
  <c r="BW190" i="44" l="1"/>
  <c r="BW203" i="44"/>
  <c r="BZ171" i="44"/>
  <c r="BZ157" i="44"/>
  <c r="BW200" i="44"/>
  <c r="BV48" i="44"/>
  <c r="BV209" i="44"/>
  <c r="BV65" i="44" s="1"/>
  <c r="BV210" i="44"/>
  <c r="BV66" i="44" s="1"/>
  <c r="BW191" i="44" l="1"/>
  <c r="BW63" i="44" s="1"/>
  <c r="BW192" i="44"/>
  <c r="BW64" i="44" s="1"/>
  <c r="BW47" i="44"/>
  <c r="BZ159" i="44"/>
  <c r="BZ62" i="44" s="1"/>
  <c r="BZ46" i="44"/>
  <c r="BZ158" i="44"/>
  <c r="BZ61" i="44" s="1"/>
  <c r="BZ180" i="44"/>
  <c r="BZ202" i="44"/>
  <c r="BV211" i="44"/>
  <c r="BV213" i="44" s="1"/>
  <c r="BW193" i="44" l="1"/>
  <c r="BW195" i="44" s="1"/>
  <c r="BW204" i="44" s="1"/>
  <c r="BV217" i="44"/>
  <c r="BV218" i="44"/>
  <c r="BV67" i="44" s="1"/>
  <c r="BV219" i="44"/>
  <c r="BV68" i="44" s="1"/>
  <c r="BZ160" i="44"/>
  <c r="BW181" i="44" l="1"/>
  <c r="BW182" i="44" s="1"/>
  <c r="BX177" i="44" s="1"/>
  <c r="BX185" i="44" s="1"/>
  <c r="BX187" i="44" s="1"/>
  <c r="BV69" i="44"/>
  <c r="BW208" i="44"/>
  <c r="BW205" i="44"/>
  <c r="BX198" i="44" s="1"/>
  <c r="BZ162" i="44"/>
  <c r="BZ172" i="44" s="1"/>
  <c r="BZ173" i="44" s="1"/>
  <c r="CA167" i="44" s="1"/>
  <c r="BZ148" i="44"/>
  <c r="BZ149" i="44" s="1"/>
  <c r="CA145" i="44" s="1"/>
  <c r="BV49" i="44"/>
  <c r="BV50" i="44" s="1"/>
  <c r="BV220" i="44"/>
  <c r="BV222" i="44" s="1"/>
  <c r="CA169" i="44" l="1"/>
  <c r="BX200" i="44"/>
  <c r="CA152" i="44"/>
  <c r="CA154" i="44" s="1"/>
  <c r="BW209" i="44"/>
  <c r="BW65" i="44" s="1"/>
  <c r="BW210" i="44"/>
  <c r="BW66" i="44" s="1"/>
  <c r="BW48" i="44"/>
  <c r="BX203" i="44"/>
  <c r="BX190" i="44"/>
  <c r="BX192" i="44" l="1"/>
  <c r="BX64" i="44" s="1"/>
  <c r="BX191" i="44"/>
  <c r="BX63" i="44" s="1"/>
  <c r="BX47" i="44"/>
  <c r="BW211" i="44"/>
  <c r="BW213" i="44" s="1"/>
  <c r="CA171" i="44"/>
  <c r="CA157" i="44"/>
  <c r="BX193" i="44" l="1"/>
  <c r="BX181" i="44" s="1"/>
  <c r="BX182" i="44" s="1"/>
  <c r="BY177" i="44" s="1"/>
  <c r="CA202" i="44"/>
  <c r="CA180" i="44"/>
  <c r="BW218" i="44"/>
  <c r="BW67" i="44" s="1"/>
  <c r="BW219" i="44"/>
  <c r="BW68" i="44" s="1"/>
  <c r="BW217" i="44"/>
  <c r="CA158" i="44"/>
  <c r="CA61" i="44" s="1"/>
  <c r="CA159" i="44"/>
  <c r="CA62" i="44" s="1"/>
  <c r="CA46" i="44"/>
  <c r="BX195" i="44" l="1"/>
  <c r="BX204" i="44" s="1"/>
  <c r="BX208" i="44" s="1"/>
  <c r="BW69" i="44"/>
  <c r="CA160" i="44"/>
  <c r="CA162" i="44" s="1"/>
  <c r="CA172" i="44" s="1"/>
  <c r="CA173" i="44" s="1"/>
  <c r="CB167" i="44" s="1"/>
  <c r="BW220" i="44"/>
  <c r="BW222" i="44" s="1"/>
  <c r="BW49" i="44"/>
  <c r="BW50" i="44" s="1"/>
  <c r="BY185" i="44"/>
  <c r="BY187" i="44" s="1"/>
  <c r="BX205" i="44" l="1"/>
  <c r="BY198" i="44" s="1"/>
  <c r="BY200" i="44" s="1"/>
  <c r="CA148" i="44"/>
  <c r="CA149" i="44" s="1"/>
  <c r="CB145" i="44" s="1"/>
  <c r="CB152" i="44" s="1"/>
  <c r="CB154" i="44" s="1"/>
  <c r="BX210" i="44"/>
  <c r="BX66" i="44" s="1"/>
  <c r="BX209" i="44"/>
  <c r="BX65" i="44" s="1"/>
  <c r="BX48" i="44"/>
  <c r="CB169" i="44"/>
  <c r="BY203" i="44"/>
  <c r="BY190" i="44"/>
  <c r="BX211" i="44" l="1"/>
  <c r="BX213" i="44" s="1"/>
  <c r="BX219" i="44" s="1"/>
  <c r="BX68" i="44" s="1"/>
  <c r="BY192" i="44"/>
  <c r="BY64" i="44" s="1"/>
  <c r="BY191" i="44"/>
  <c r="BY63" i="44" s="1"/>
  <c r="BY47" i="44"/>
  <c r="CB171" i="44"/>
  <c r="CB157" i="44"/>
  <c r="BY193" i="44" l="1"/>
  <c r="BY195" i="44" s="1"/>
  <c r="BY204" i="44" s="1"/>
  <c r="BX217" i="44"/>
  <c r="BX49" i="44" s="1"/>
  <c r="BX50" i="44" s="1"/>
  <c r="BX218" i="44"/>
  <c r="BX67" i="44" s="1"/>
  <c r="BX69" i="44" s="1"/>
  <c r="CB158" i="44"/>
  <c r="CB61" i="44" s="1"/>
  <c r="CB159" i="44"/>
  <c r="CB62" i="44" s="1"/>
  <c r="CB46" i="44"/>
  <c r="CB180" i="44"/>
  <c r="CB202" i="44"/>
  <c r="BY181" i="44" l="1"/>
  <c r="BY182" i="44" s="1"/>
  <c r="BZ177" i="44" s="1"/>
  <c r="BZ185" i="44" s="1"/>
  <c r="BZ187" i="44" s="1"/>
  <c r="BX220" i="44"/>
  <c r="BX222" i="44" s="1"/>
  <c r="CB160" i="44"/>
  <c r="BY208" i="44"/>
  <c r="BY205" i="44"/>
  <c r="BZ198" i="44" s="1"/>
  <c r="BZ200" i="44" l="1"/>
  <c r="BY209" i="44"/>
  <c r="BY65" i="44" s="1"/>
  <c r="BY48" i="44"/>
  <c r="BY210" i="44"/>
  <c r="BY66" i="44" s="1"/>
  <c r="BZ203" i="44"/>
  <c r="BZ190" i="44"/>
  <c r="CB162" i="44"/>
  <c r="CB172" i="44" s="1"/>
  <c r="CB173" i="44" s="1"/>
  <c r="CC167" i="44" s="1"/>
  <c r="CB148" i="44"/>
  <c r="CB149" i="44" s="1"/>
  <c r="CC145" i="44" s="1"/>
  <c r="CC152" i="44" s="1"/>
  <c r="CC154" i="44" s="1"/>
  <c r="BY211" i="44" l="1"/>
  <c r="BY213" i="44" s="1"/>
  <c r="BY217" i="44" s="1"/>
  <c r="BZ191" i="44"/>
  <c r="BZ63" i="44" s="1"/>
  <c r="BZ47" i="44"/>
  <c r="BZ192" i="44"/>
  <c r="BZ64" i="44" s="1"/>
  <c r="CC171" i="44"/>
  <c r="CC157" i="44"/>
  <c r="CC169" i="44"/>
  <c r="BY218" i="44" l="1"/>
  <c r="BY67" i="44" s="1"/>
  <c r="BY219" i="44"/>
  <c r="BY68" i="44" s="1"/>
  <c r="BZ193" i="44"/>
  <c r="BZ195" i="44" s="1"/>
  <c r="BZ204" i="44" s="1"/>
  <c r="CC159" i="44"/>
  <c r="CC62" i="44" s="1"/>
  <c r="CC158" i="44"/>
  <c r="CC61" i="44" s="1"/>
  <c r="CC46" i="44"/>
  <c r="CC202" i="44"/>
  <c r="CC180" i="44"/>
  <c r="BY49" i="44"/>
  <c r="BY50" i="44" s="1"/>
  <c r="BY220" i="44" l="1"/>
  <c r="BY222" i="44" s="1"/>
  <c r="BY69" i="44"/>
  <c r="BZ181" i="44"/>
  <c r="BZ182" i="44" s="1"/>
  <c r="CA177" i="44" s="1"/>
  <c r="CA185" i="44" s="1"/>
  <c r="CA187" i="44" s="1"/>
  <c r="CC160" i="44"/>
  <c r="CC148" i="44" s="1"/>
  <c r="CC149" i="44" s="1"/>
  <c r="CD145" i="44" s="1"/>
  <c r="BZ208" i="44"/>
  <c r="BZ205" i="44"/>
  <c r="CA198" i="44" s="1"/>
  <c r="CC162" i="44" l="1"/>
  <c r="CC172" i="44" s="1"/>
  <c r="CC173" i="44" s="1"/>
  <c r="CD167" i="44" s="1"/>
  <c r="CD169" i="44" s="1"/>
  <c r="CA200" i="44"/>
  <c r="CA190" i="44"/>
  <c r="CA203" i="44"/>
  <c r="BZ209" i="44"/>
  <c r="BZ65" i="44" s="1"/>
  <c r="BZ48" i="44"/>
  <c r="BZ210" i="44"/>
  <c r="BZ66" i="44" s="1"/>
  <c r="CD152" i="44"/>
  <c r="CD154" i="44" s="1"/>
  <c r="CD157" i="44" l="1"/>
  <c r="CD171" i="44"/>
  <c r="CA47" i="44"/>
  <c r="CA191" i="44"/>
  <c r="CA63" i="44" s="1"/>
  <c r="CA192" i="44"/>
  <c r="CA64" i="44" s="1"/>
  <c r="BZ211" i="44"/>
  <c r="BZ213" i="44" s="1"/>
  <c r="CD202" i="44" l="1"/>
  <c r="CD180" i="44"/>
  <c r="CD158" i="44"/>
  <c r="CD61" i="44" s="1"/>
  <c r="CD159" i="44"/>
  <c r="CD62" i="44" s="1"/>
  <c r="CD46" i="44"/>
  <c r="CA193" i="44"/>
  <c r="BZ218" i="44"/>
  <c r="BZ67" i="44" s="1"/>
  <c r="BZ219" i="44"/>
  <c r="BZ68" i="44" s="1"/>
  <c r="BZ217" i="44"/>
  <c r="CD160" i="44" l="1"/>
  <c r="CD162" i="44" s="1"/>
  <c r="CD172" i="44" s="1"/>
  <c r="CD173" i="44" s="1"/>
  <c r="CE167" i="44" s="1"/>
  <c r="BZ69" i="44"/>
  <c r="BZ49" i="44"/>
  <c r="BZ50" i="44" s="1"/>
  <c r="BZ220" i="44"/>
  <c r="BZ222" i="44" s="1"/>
  <c r="CA195" i="44"/>
  <c r="CA204" i="44" s="1"/>
  <c r="CA181" i="44"/>
  <c r="CA182" i="44" s="1"/>
  <c r="CB177" i="44" s="1"/>
  <c r="CD148" i="44" l="1"/>
  <c r="CD149" i="44" s="1"/>
  <c r="CE145" i="44" s="1"/>
  <c r="CE152" i="44" s="1"/>
  <c r="CE154" i="44" s="1"/>
  <c r="CB185" i="44"/>
  <c r="CB187" i="44" s="1"/>
  <c r="CA208" i="44"/>
  <c r="CA205" i="44"/>
  <c r="CB198" i="44" s="1"/>
  <c r="CE169" i="44"/>
  <c r="CE171" i="44" l="1"/>
  <c r="CE157" i="44"/>
  <c r="CB200" i="44"/>
  <c r="CA210" i="44"/>
  <c r="CA66" i="44" s="1"/>
  <c r="CA209" i="44"/>
  <c r="CA65" i="44" s="1"/>
  <c r="CA48" i="44"/>
  <c r="CB190" i="44"/>
  <c r="CB203" i="44"/>
  <c r="CE158" i="44" l="1"/>
  <c r="CE61" i="44" s="1"/>
  <c r="CE46" i="44"/>
  <c r="CE159" i="44"/>
  <c r="CE62" i="44" s="1"/>
  <c r="CB47" i="44"/>
  <c r="CB191" i="44"/>
  <c r="CB63" i="44" s="1"/>
  <c r="CB192" i="44"/>
  <c r="CB64" i="44" s="1"/>
  <c r="CE202" i="44"/>
  <c r="CE180" i="44"/>
  <c r="CA211" i="44"/>
  <c r="CA213" i="44" s="1"/>
  <c r="CE160" i="44" l="1"/>
  <c r="CE162" i="44" s="1"/>
  <c r="CE172" i="44" s="1"/>
  <c r="CE173" i="44" s="1"/>
  <c r="CF167" i="44" s="1"/>
  <c r="CA219" i="44"/>
  <c r="CA68" i="44" s="1"/>
  <c r="CA217" i="44"/>
  <c r="CA218" i="44"/>
  <c r="CA67" i="44" s="1"/>
  <c r="CB193" i="44"/>
  <c r="CE148" i="44" l="1"/>
  <c r="CE149" i="44" s="1"/>
  <c r="CF145" i="44" s="1"/>
  <c r="CF152" i="44" s="1"/>
  <c r="CF154" i="44" s="1"/>
  <c r="CF169" i="44"/>
  <c r="CA220" i="44"/>
  <c r="CA222" i="44" s="1"/>
  <c r="CA49" i="44"/>
  <c r="CA50" i="44" s="1"/>
  <c r="CA69" i="44"/>
  <c r="CB195" i="44"/>
  <c r="CB204" i="44" s="1"/>
  <c r="CB181" i="44"/>
  <c r="CB182" i="44" s="1"/>
  <c r="CC177" i="44" s="1"/>
  <c r="CB208" i="44" l="1"/>
  <c r="CB205" i="44"/>
  <c r="CC198" i="44" s="1"/>
  <c r="CC185" i="44"/>
  <c r="CC187" i="44" s="1"/>
  <c r="CF171" i="44"/>
  <c r="CF157" i="44"/>
  <c r="CF159" i="44" l="1"/>
  <c r="CF62" i="44" s="1"/>
  <c r="CF158" i="44"/>
  <c r="CF61" i="44" s="1"/>
  <c r="CF46" i="44"/>
  <c r="CC190" i="44"/>
  <c r="CC203" i="44"/>
  <c r="CF180" i="44"/>
  <c r="CF202" i="44"/>
  <c r="CC200" i="44"/>
  <c r="CB210" i="44"/>
  <c r="CB66" i="44" s="1"/>
  <c r="CB209" i="44"/>
  <c r="CB65" i="44" s="1"/>
  <c r="CB48" i="44"/>
  <c r="CB211" i="44" l="1"/>
  <c r="CB213" i="44" s="1"/>
  <c r="CB217" i="44" s="1"/>
  <c r="CF160" i="44"/>
  <c r="CF148" i="44" s="1"/>
  <c r="CF149" i="44" s="1"/>
  <c r="CG145" i="44" s="1"/>
  <c r="CC191" i="44"/>
  <c r="CC63" i="44" s="1"/>
  <c r="CC192" i="44"/>
  <c r="CC64" i="44" s="1"/>
  <c r="CC47" i="44"/>
  <c r="CB218" i="44" l="1"/>
  <c r="CB67" i="44" s="1"/>
  <c r="CB219" i="44"/>
  <c r="CB68" i="44" s="1"/>
  <c r="CC193" i="44"/>
  <c r="CC195" i="44" s="1"/>
  <c r="CC204" i="44" s="1"/>
  <c r="CF162" i="44"/>
  <c r="CF172" i="44" s="1"/>
  <c r="CF173" i="44" s="1"/>
  <c r="CG167" i="44" s="1"/>
  <c r="CG169" i="44" s="1"/>
  <c r="CB49" i="44"/>
  <c r="CB50" i="44" s="1"/>
  <c r="CG152" i="44"/>
  <c r="CG154" i="44" s="1"/>
  <c r="CC181" i="44" l="1"/>
  <c r="CC182" i="44" s="1"/>
  <c r="CD177" i="44" s="1"/>
  <c r="CD185" i="44" s="1"/>
  <c r="CD187" i="44" s="1"/>
  <c r="CB69" i="44"/>
  <c r="CB220" i="44"/>
  <c r="CB222" i="44" s="1"/>
  <c r="CG157" i="44"/>
  <c r="CG171" i="44"/>
  <c r="CC208" i="44"/>
  <c r="CC205" i="44"/>
  <c r="CD198" i="44" s="1"/>
  <c r="CD200" i="44" l="1"/>
  <c r="CC209" i="44"/>
  <c r="CC65" i="44" s="1"/>
  <c r="CC48" i="44"/>
  <c r="CC210" i="44"/>
  <c r="CC66" i="44" s="1"/>
  <c r="CG202" i="44"/>
  <c r="CG180" i="44"/>
  <c r="CD203" i="44"/>
  <c r="CD190" i="44"/>
  <c r="CG159" i="44"/>
  <c r="CG62" i="44" s="1"/>
  <c r="CG46" i="44"/>
  <c r="CG158" i="44"/>
  <c r="CG61" i="44" s="1"/>
  <c r="CC211" i="44" l="1"/>
  <c r="CC213" i="44" s="1"/>
  <c r="CC219" i="44" s="1"/>
  <c r="CC68" i="44" s="1"/>
  <c r="CG160" i="44"/>
  <c r="CG162" i="44" s="1"/>
  <c r="CG172" i="44" s="1"/>
  <c r="CG173" i="44" s="1"/>
  <c r="CH167" i="44" s="1"/>
  <c r="CD192" i="44"/>
  <c r="CD64" i="44" s="1"/>
  <c r="CD191" i="44"/>
  <c r="CD63" i="44" s="1"/>
  <c r="CD47" i="44"/>
  <c r="CG148" i="44" l="1"/>
  <c r="CG149" i="44" s="1"/>
  <c r="CH145" i="44" s="1"/>
  <c r="CH152" i="44" s="1"/>
  <c r="CH154" i="44" s="1"/>
  <c r="CC218" i="44"/>
  <c r="CC67" i="44" s="1"/>
  <c r="CC69" i="44" s="1"/>
  <c r="CC217" i="44"/>
  <c r="CC49" i="44" s="1"/>
  <c r="CC50" i="44" s="1"/>
  <c r="CD193" i="44"/>
  <c r="CD195" i="44" s="1"/>
  <c r="CD204" i="44" s="1"/>
  <c r="CH169" i="44"/>
  <c r="CD181" i="44" l="1"/>
  <c r="CD182" i="44" s="1"/>
  <c r="CE177" i="44" s="1"/>
  <c r="CE185" i="44" s="1"/>
  <c r="CE187" i="44" s="1"/>
  <c r="CC220" i="44"/>
  <c r="CC222" i="44" s="1"/>
  <c r="CH171" i="44"/>
  <c r="CH157" i="44"/>
  <c r="CD208" i="44"/>
  <c r="CD205" i="44"/>
  <c r="CE198" i="44" s="1"/>
  <c r="CE200" i="44" l="1"/>
  <c r="CD209" i="44"/>
  <c r="CD65" i="44" s="1"/>
  <c r="CD48" i="44"/>
  <c r="CD210" i="44"/>
  <c r="CD66" i="44" s="1"/>
  <c r="CE203" i="44"/>
  <c r="CE190" i="44"/>
  <c r="CH46" i="44"/>
  <c r="CH158" i="44"/>
  <c r="CH61" i="44" s="1"/>
  <c r="CH159" i="44"/>
  <c r="CH62" i="44" s="1"/>
  <c r="CH202" i="44"/>
  <c r="CH180" i="44"/>
  <c r="CD211" i="44" l="1"/>
  <c r="CD213" i="44" s="1"/>
  <c r="CD219" i="44" s="1"/>
  <c r="CD68" i="44" s="1"/>
  <c r="CH160" i="44"/>
  <c r="CH162" i="44" s="1"/>
  <c r="CH172" i="44" s="1"/>
  <c r="CH173" i="44" s="1"/>
  <c r="CI167" i="44" s="1"/>
  <c r="CE191" i="44"/>
  <c r="CE63" i="44" s="1"/>
  <c r="CE192" i="44"/>
  <c r="CE64" i="44" s="1"/>
  <c r="CE47" i="44"/>
  <c r="CD217" i="44" l="1"/>
  <c r="CD49" i="44" s="1"/>
  <c r="CD50" i="44" s="1"/>
  <c r="CD218" i="44"/>
  <c r="CD67" i="44" s="1"/>
  <c r="CD69" i="44" s="1"/>
  <c r="CE193" i="44"/>
  <c r="CE195" i="44" s="1"/>
  <c r="CE204" i="44" s="1"/>
  <c r="CH148" i="44"/>
  <c r="CH149" i="44" s="1"/>
  <c r="CI145" i="44" s="1"/>
  <c r="CI152" i="44" s="1"/>
  <c r="CI154" i="44" s="1"/>
  <c r="CI169" i="44"/>
  <c r="CE181" i="44" l="1"/>
  <c r="CE182" i="44" s="1"/>
  <c r="CF177" i="44" s="1"/>
  <c r="CF185" i="44" s="1"/>
  <c r="CF187" i="44" s="1"/>
  <c r="CD220" i="44"/>
  <c r="CD222" i="44" s="1"/>
  <c r="CI171" i="44"/>
  <c r="CI157" i="44"/>
  <c r="CE208" i="44"/>
  <c r="CE205" i="44"/>
  <c r="CF198" i="44" s="1"/>
  <c r="CE209" i="44" l="1"/>
  <c r="CE65" i="44" s="1"/>
  <c r="CE48" i="44"/>
  <c r="CE210" i="44"/>
  <c r="CE66" i="44" s="1"/>
  <c r="CF200" i="44"/>
  <c r="CI158" i="44"/>
  <c r="CI61" i="44" s="1"/>
  <c r="CI159" i="44"/>
  <c r="CI62" i="44" s="1"/>
  <c r="CI46" i="44"/>
  <c r="CF203" i="44"/>
  <c r="CF190" i="44"/>
  <c r="CI202" i="44"/>
  <c r="CI180" i="44"/>
  <c r="CE211" i="44" l="1"/>
  <c r="CE213" i="44" s="1"/>
  <c r="CE218" i="44" s="1"/>
  <c r="CE67" i="44" s="1"/>
  <c r="CF192" i="44"/>
  <c r="CF64" i="44" s="1"/>
  <c r="CF47" i="44"/>
  <c r="CF191" i="44"/>
  <c r="CF63" i="44" s="1"/>
  <c r="CI160" i="44"/>
  <c r="CE219" i="44" l="1"/>
  <c r="CE68" i="44" s="1"/>
  <c r="CE69" i="44" s="1"/>
  <c r="CE217" i="44"/>
  <c r="CE49" i="44" s="1"/>
  <c r="CE50" i="44" s="1"/>
  <c r="CF193" i="44"/>
  <c r="CF195" i="44" s="1"/>
  <c r="CF204" i="44" s="1"/>
  <c r="CI162" i="44"/>
  <c r="CI172" i="44" s="1"/>
  <c r="CI173" i="44" s="1"/>
  <c r="CJ167" i="44" s="1"/>
  <c r="CI148" i="44"/>
  <c r="CI149" i="44" s="1"/>
  <c r="CJ145" i="44" s="1"/>
  <c r="CF181" i="44" l="1"/>
  <c r="CF182" i="44" s="1"/>
  <c r="CG177" i="44" s="1"/>
  <c r="CG185" i="44" s="1"/>
  <c r="CG187" i="44" s="1"/>
  <c r="CE220" i="44"/>
  <c r="CE222" i="44" s="1"/>
  <c r="CF208" i="44"/>
  <c r="CF205" i="44"/>
  <c r="CG198" i="44" s="1"/>
  <c r="CJ152" i="44"/>
  <c r="CJ154" i="44" s="1"/>
  <c r="CJ169" i="44"/>
  <c r="CJ157" i="44" l="1"/>
  <c r="CJ171" i="44"/>
  <c r="CG190" i="44"/>
  <c r="CG203" i="44"/>
  <c r="CG200" i="44"/>
  <c r="CF209" i="44"/>
  <c r="CF65" i="44" s="1"/>
  <c r="CF48" i="44"/>
  <c r="CF210" i="44"/>
  <c r="CF66" i="44" s="1"/>
  <c r="CF211" i="44" l="1"/>
  <c r="CF213" i="44" s="1"/>
  <c r="CJ202" i="44"/>
  <c r="CJ180" i="44"/>
  <c r="CG191" i="44"/>
  <c r="CG63" i="44" s="1"/>
  <c r="CG47" i="44"/>
  <c r="CG192" i="44"/>
  <c r="CG64" i="44" s="1"/>
  <c r="CJ158" i="44"/>
  <c r="CJ61" i="44" s="1"/>
  <c r="CJ159" i="44"/>
  <c r="CJ62" i="44" s="1"/>
  <c r="CJ46" i="44"/>
  <c r="CG193" i="44" l="1"/>
  <c r="CG195" i="44" s="1"/>
  <c r="CG204" i="44" s="1"/>
  <c r="CJ160" i="44"/>
  <c r="CF219" i="44"/>
  <c r="CF68" i="44" s="1"/>
  <c r="CF217" i="44"/>
  <c r="CF218" i="44"/>
  <c r="CF67" i="44" s="1"/>
  <c r="CG181" i="44" l="1"/>
  <c r="CG182" i="44" s="1"/>
  <c r="CH177" i="44" s="1"/>
  <c r="CH185" i="44" s="1"/>
  <c r="CH187" i="44" s="1"/>
  <c r="CF49" i="44"/>
  <c r="CF50" i="44" s="1"/>
  <c r="CF220" i="44"/>
  <c r="CF222" i="44" s="1"/>
  <c r="CF69" i="44"/>
  <c r="CG208" i="44"/>
  <c r="CG205" i="44"/>
  <c r="CH198" i="44" s="1"/>
  <c r="CJ162" i="44"/>
  <c r="CJ172" i="44" s="1"/>
  <c r="CJ173" i="44" s="1"/>
  <c r="CK167" i="44" s="1"/>
  <c r="CK169" i="44" s="1"/>
  <c r="CJ148" i="44"/>
  <c r="CJ149" i="44" s="1"/>
  <c r="CK145" i="44" s="1"/>
  <c r="CH200" i="44" l="1"/>
  <c r="CG48" i="44"/>
  <c r="CG210" i="44"/>
  <c r="CG66" i="44" s="1"/>
  <c r="CG209" i="44"/>
  <c r="CG65" i="44" s="1"/>
  <c r="CH203" i="44"/>
  <c r="CH190" i="44"/>
  <c r="CK152" i="44"/>
  <c r="CK154" i="44" s="1"/>
  <c r="CG211" i="44" l="1"/>
  <c r="CG213" i="44" s="1"/>
  <c r="CG219" i="44" s="1"/>
  <c r="CG68" i="44" s="1"/>
  <c r="CH47" i="44"/>
  <c r="CH192" i="44"/>
  <c r="CH64" i="44" s="1"/>
  <c r="CH191" i="44"/>
  <c r="CH63" i="44" s="1"/>
  <c r="CK171" i="44"/>
  <c r="CK157" i="44"/>
  <c r="CH193" i="44" l="1"/>
  <c r="CH181" i="44" s="1"/>
  <c r="CH182" i="44" s="1"/>
  <c r="CI177" i="44" s="1"/>
  <c r="CG217" i="44"/>
  <c r="CG218" i="44"/>
  <c r="CG67" i="44" s="1"/>
  <c r="CG69" i="44" s="1"/>
  <c r="CK159" i="44"/>
  <c r="CK62" i="44" s="1"/>
  <c r="CK46" i="44"/>
  <c r="CK158" i="44"/>
  <c r="CK61" i="44" s="1"/>
  <c r="CK180" i="44"/>
  <c r="CK202" i="44"/>
  <c r="CH195" i="44" l="1"/>
  <c r="CH204" i="44" s="1"/>
  <c r="CH208" i="44" s="1"/>
  <c r="CG220" i="44"/>
  <c r="CG222" i="44" s="1"/>
  <c r="CG49" i="44"/>
  <c r="CG50" i="44" s="1"/>
  <c r="CK160" i="44"/>
  <c r="CK162" i="44" s="1"/>
  <c r="CK172" i="44" s="1"/>
  <c r="CK173" i="44" s="1"/>
  <c r="CL167" i="44" s="1"/>
  <c r="CI185" i="44"/>
  <c r="CI187" i="44" s="1"/>
  <c r="CK148" i="44" l="1"/>
  <c r="CK149" i="44" s="1"/>
  <c r="CL145" i="44" s="1"/>
  <c r="CL152" i="44" s="1"/>
  <c r="CL154" i="44" s="1"/>
  <c r="CH205" i="44"/>
  <c r="CI198" i="44" s="1"/>
  <c r="CI200" i="44" s="1"/>
  <c r="CL169" i="44"/>
  <c r="CH210" i="44"/>
  <c r="CH66" i="44" s="1"/>
  <c r="CH209" i="44"/>
  <c r="CH65" i="44" s="1"/>
  <c r="CH48" i="44"/>
  <c r="CI203" i="44"/>
  <c r="CI190" i="44"/>
  <c r="CH211" i="44" l="1"/>
  <c r="CH213" i="44" s="1"/>
  <c r="CH219" i="44" s="1"/>
  <c r="CH68" i="44" s="1"/>
  <c r="CL157" i="44"/>
  <c r="CL171" i="44"/>
  <c r="CI191" i="44"/>
  <c r="CI63" i="44" s="1"/>
  <c r="CI192" i="44"/>
  <c r="CI64" i="44" s="1"/>
  <c r="CI47" i="44"/>
  <c r="CH217" i="44" l="1"/>
  <c r="CH49" i="44" s="1"/>
  <c r="CH50" i="44" s="1"/>
  <c r="CH218" i="44"/>
  <c r="CH67" i="44" s="1"/>
  <c r="CH69" i="44" s="1"/>
  <c r="CL202" i="44"/>
  <c r="CL180" i="44"/>
  <c r="CI193" i="44"/>
  <c r="CL158" i="44"/>
  <c r="CL61" i="44" s="1"/>
  <c r="CL159" i="44"/>
  <c r="CL62" i="44" s="1"/>
  <c r="CL46" i="44"/>
  <c r="CH220" i="44" l="1"/>
  <c r="CH222" i="44" s="1"/>
  <c r="CL160" i="44"/>
  <c r="CI195" i="44"/>
  <c r="CI204" i="44" s="1"/>
  <c r="CI181" i="44"/>
  <c r="CI182" i="44" s="1"/>
  <c r="CJ177" i="44" s="1"/>
  <c r="CJ185" i="44" l="1"/>
  <c r="CJ187" i="44" s="1"/>
  <c r="CI208" i="44"/>
  <c r="CI205" i="44"/>
  <c r="CJ198" i="44" s="1"/>
  <c r="CL162" i="44"/>
  <c r="CL172" i="44" s="1"/>
  <c r="CL173" i="44" s="1"/>
  <c r="CM167" i="44" s="1"/>
  <c r="CL148" i="44"/>
  <c r="CL149" i="44" s="1"/>
  <c r="CM145" i="44" s="1"/>
  <c r="CM169" i="44" l="1"/>
  <c r="CJ200" i="44"/>
  <c r="CI210" i="44"/>
  <c r="CI66" i="44" s="1"/>
  <c r="CI209" i="44"/>
  <c r="CI65" i="44" s="1"/>
  <c r="CI48" i="44"/>
  <c r="CJ190" i="44"/>
  <c r="CJ203" i="44"/>
  <c r="CM152" i="44"/>
  <c r="CM154" i="44" s="1"/>
  <c r="CI211" i="44" l="1"/>
  <c r="CI213" i="44" s="1"/>
  <c r="CI219" i="44" s="1"/>
  <c r="CI68" i="44" s="1"/>
  <c r="CM171" i="44"/>
  <c r="CM157" i="44"/>
  <c r="CJ192" i="44"/>
  <c r="CJ64" i="44" s="1"/>
  <c r="CJ191" i="44"/>
  <c r="CJ63" i="44" s="1"/>
  <c r="CJ47" i="44"/>
  <c r="CI217" i="44" l="1"/>
  <c r="CI49" i="44" s="1"/>
  <c r="CI50" i="44" s="1"/>
  <c r="CI218" i="44"/>
  <c r="CI67" i="44" s="1"/>
  <c r="CI69" i="44" s="1"/>
  <c r="CM158" i="44"/>
  <c r="CM61" i="44" s="1"/>
  <c r="CM159" i="44"/>
  <c r="CM62" i="44" s="1"/>
  <c r="CM46" i="44"/>
  <c r="CM202" i="44"/>
  <c r="CM180" i="44"/>
  <c r="CJ193" i="44"/>
  <c r="CI220" i="44" l="1"/>
  <c r="CI222" i="44" s="1"/>
  <c r="CM160" i="44"/>
  <c r="CM162" i="44" s="1"/>
  <c r="CM172" i="44" s="1"/>
  <c r="CM173" i="44" s="1"/>
  <c r="CN167" i="44" s="1"/>
  <c r="CJ195" i="44"/>
  <c r="CJ204" i="44" s="1"/>
  <c r="CJ181" i="44"/>
  <c r="CJ182" i="44" s="1"/>
  <c r="CK177" i="44" s="1"/>
  <c r="CM148" i="44" l="1"/>
  <c r="CM149" i="44" s="1"/>
  <c r="CN145" i="44" s="1"/>
  <c r="CN152" i="44" s="1"/>
  <c r="CN154" i="44" s="1"/>
  <c r="CK185" i="44"/>
  <c r="CK187" i="44" s="1"/>
  <c r="CJ208" i="44"/>
  <c r="CJ205" i="44"/>
  <c r="CK198" i="44" s="1"/>
  <c r="CN169" i="44"/>
  <c r="CN171" i="44" l="1"/>
  <c r="CN157" i="44"/>
  <c r="CK200" i="44"/>
  <c r="CJ210" i="44"/>
  <c r="CJ66" i="44" s="1"/>
  <c r="CJ209" i="44"/>
  <c r="CJ65" i="44" s="1"/>
  <c r="CJ48" i="44"/>
  <c r="CK190" i="44"/>
  <c r="CK203" i="44"/>
  <c r="CN159" i="44" l="1"/>
  <c r="CN62" i="44" s="1"/>
  <c r="CN158" i="44"/>
  <c r="CN61" i="44" s="1"/>
  <c r="CN46" i="44"/>
  <c r="CK192" i="44"/>
  <c r="CK64" i="44" s="1"/>
  <c r="CK47" i="44"/>
  <c r="CK191" i="44"/>
  <c r="CK63" i="44" s="1"/>
  <c r="CN180" i="44"/>
  <c r="CN202" i="44"/>
  <c r="CJ211" i="44"/>
  <c r="CJ213" i="44" s="1"/>
  <c r="CN160" i="44" l="1"/>
  <c r="CN148" i="44" s="1"/>
  <c r="CN149" i="44" s="1"/>
  <c r="CO145" i="44" s="1"/>
  <c r="CJ219" i="44"/>
  <c r="CJ68" i="44" s="1"/>
  <c r="CJ218" i="44"/>
  <c r="CJ67" i="44" s="1"/>
  <c r="CJ217" i="44"/>
  <c r="CK193" i="44"/>
  <c r="CJ69" i="44" l="1"/>
  <c r="CN162" i="44"/>
  <c r="CN172" i="44" s="1"/>
  <c r="CN173" i="44" s="1"/>
  <c r="CO167" i="44" s="1"/>
  <c r="CO169" i="44" s="1"/>
  <c r="CJ49" i="44"/>
  <c r="CJ50" i="44" s="1"/>
  <c r="CJ220" i="44"/>
  <c r="CJ222" i="44" s="1"/>
  <c r="CK195" i="44"/>
  <c r="CK204" i="44" s="1"/>
  <c r="CK181" i="44"/>
  <c r="CK182" i="44" s="1"/>
  <c r="CL177" i="44" s="1"/>
  <c r="CO152" i="44"/>
  <c r="CO154" i="44" s="1"/>
  <c r="CO157" i="44" l="1"/>
  <c r="CO171" i="44"/>
  <c r="CK208" i="44"/>
  <c r="CK205" i="44"/>
  <c r="CL198" i="44" s="1"/>
  <c r="CL185" i="44"/>
  <c r="CL187" i="44" s="1"/>
  <c r="CL203" i="44" l="1"/>
  <c r="CL190" i="44"/>
  <c r="CK48" i="44"/>
  <c r="CK209" i="44"/>
  <c r="CK65" i="44" s="1"/>
  <c r="CK210" i="44"/>
  <c r="CK66" i="44" s="1"/>
  <c r="CL200" i="44"/>
  <c r="CO202" i="44"/>
  <c r="CO180" i="44"/>
  <c r="CO46" i="44"/>
  <c r="CO159" i="44"/>
  <c r="CO62" i="44" s="1"/>
  <c r="CO158" i="44"/>
  <c r="CO61" i="44" s="1"/>
  <c r="CK211" i="44" l="1"/>
  <c r="CK213" i="44" s="1"/>
  <c r="CK217" i="44" s="1"/>
  <c r="CO160" i="44"/>
  <c r="CO162" i="44" s="1"/>
  <c r="CO172" i="44" s="1"/>
  <c r="CO173" i="44" s="1"/>
  <c r="CP167" i="44" s="1"/>
  <c r="CL47" i="44"/>
  <c r="CL191" i="44"/>
  <c r="CL63" i="44" s="1"/>
  <c r="CL192" i="44"/>
  <c r="CL64" i="44" s="1"/>
  <c r="CO148" i="44" l="1"/>
  <c r="CO149" i="44" s="1"/>
  <c r="CP145" i="44" s="1"/>
  <c r="CP152" i="44" s="1"/>
  <c r="CP154" i="44" s="1"/>
  <c r="CK218" i="44"/>
  <c r="CK67" i="44" s="1"/>
  <c r="CK219" i="44"/>
  <c r="CK68" i="44" s="1"/>
  <c r="CL193" i="44"/>
  <c r="CL195" i="44" s="1"/>
  <c r="CL204" i="44" s="1"/>
  <c r="CP169" i="44"/>
  <c r="CK49" i="44"/>
  <c r="CK50" i="44" s="1"/>
  <c r="CL181" i="44" l="1"/>
  <c r="CL182" i="44" s="1"/>
  <c r="CM177" i="44" s="1"/>
  <c r="CM185" i="44" s="1"/>
  <c r="CM187" i="44" s="1"/>
  <c r="CK220" i="44"/>
  <c r="CK222" i="44" s="1"/>
  <c r="CK69" i="44"/>
  <c r="CL208" i="44"/>
  <c r="CL205" i="44"/>
  <c r="CM198" i="44" s="1"/>
  <c r="CP157" i="44"/>
  <c r="CP171" i="44"/>
  <c r="CP202" i="44" l="1"/>
  <c r="CP180" i="44"/>
  <c r="CP159" i="44"/>
  <c r="CP62" i="44" s="1"/>
  <c r="CP158" i="44"/>
  <c r="CP61" i="44" s="1"/>
  <c r="CP46" i="44"/>
  <c r="CM203" i="44"/>
  <c r="CM190" i="44"/>
  <c r="CM200" i="44"/>
  <c r="CL210" i="44"/>
  <c r="CL66" i="44" s="1"/>
  <c r="CL48" i="44"/>
  <c r="CL209" i="44"/>
  <c r="CL65" i="44" s="1"/>
  <c r="CP160" i="44" l="1"/>
  <c r="CP148" i="44" s="1"/>
  <c r="CP149" i="44" s="1"/>
  <c r="CQ145" i="44" s="1"/>
  <c r="CQ152" i="44" s="1"/>
  <c r="CQ154" i="44" s="1"/>
  <c r="CL211" i="44"/>
  <c r="CL213" i="44" s="1"/>
  <c r="CL218" i="44" s="1"/>
  <c r="CL67" i="44" s="1"/>
  <c r="CM192" i="44"/>
  <c r="CM64" i="44" s="1"/>
  <c r="CM191" i="44"/>
  <c r="CM63" i="44" s="1"/>
  <c r="CM47" i="44"/>
  <c r="CL219" i="44" l="1"/>
  <c r="CL68" i="44" s="1"/>
  <c r="CL69" i="44" s="1"/>
  <c r="CL217" i="44"/>
  <c r="CL49" i="44" s="1"/>
  <c r="CL50" i="44" s="1"/>
  <c r="CP162" i="44"/>
  <c r="CP172" i="44" s="1"/>
  <c r="CP173" i="44" s="1"/>
  <c r="CQ167" i="44" s="1"/>
  <c r="CQ169" i="44" s="1"/>
  <c r="CM193" i="44"/>
  <c r="CQ157" i="44"/>
  <c r="CQ171" i="44"/>
  <c r="CL220" i="44" l="1"/>
  <c r="CL222" i="44" s="1"/>
  <c r="CQ202" i="44"/>
  <c r="CQ180" i="44"/>
  <c r="CQ46" i="44"/>
  <c r="CQ159" i="44"/>
  <c r="CQ62" i="44" s="1"/>
  <c r="CQ158" i="44"/>
  <c r="CQ61" i="44" s="1"/>
  <c r="CM195" i="44"/>
  <c r="CM204" i="44" s="1"/>
  <c r="CM181" i="44"/>
  <c r="CM182" i="44" s="1"/>
  <c r="CN177" i="44" s="1"/>
  <c r="CQ160" i="44" l="1"/>
  <c r="CQ148" i="44" s="1"/>
  <c r="CQ149" i="44" s="1"/>
  <c r="CR145" i="44" s="1"/>
  <c r="CR152" i="44" s="1"/>
  <c r="CR154" i="44" s="1"/>
  <c r="CM208" i="44"/>
  <c r="CM205" i="44"/>
  <c r="CN198" i="44" s="1"/>
  <c r="CN185" i="44"/>
  <c r="CN187" i="44" s="1"/>
  <c r="CQ162" i="44" l="1"/>
  <c r="CQ172" i="44" s="1"/>
  <c r="CQ173" i="44" s="1"/>
  <c r="CR167" i="44" s="1"/>
  <c r="CR169" i="44" s="1"/>
  <c r="CN190" i="44"/>
  <c r="CN203" i="44"/>
  <c r="CN200" i="44"/>
  <c r="CM48" i="44"/>
  <c r="CM210" i="44"/>
  <c r="CM66" i="44" s="1"/>
  <c r="CM209" i="44"/>
  <c r="CM65" i="44" s="1"/>
  <c r="CR171" i="44"/>
  <c r="CR157" i="44"/>
  <c r="CM211" i="44" l="1"/>
  <c r="CM213" i="44" s="1"/>
  <c r="CM218" i="44" s="1"/>
  <c r="CM67" i="44" s="1"/>
  <c r="CR158" i="44"/>
  <c r="CR61" i="44" s="1"/>
  <c r="CR46" i="44"/>
  <c r="CR159" i="44"/>
  <c r="CR62" i="44" s="1"/>
  <c r="CR180" i="44"/>
  <c r="CR202" i="44"/>
  <c r="CN191" i="44"/>
  <c r="CN63" i="44" s="1"/>
  <c r="CN192" i="44"/>
  <c r="CN64" i="44" s="1"/>
  <c r="CN47" i="44"/>
  <c r="CR160" i="44" l="1"/>
  <c r="CR162" i="44" s="1"/>
  <c r="CR172" i="44" s="1"/>
  <c r="CR173" i="44" s="1"/>
  <c r="CS167" i="44" s="1"/>
  <c r="CS169" i="44" s="1"/>
  <c r="CN193" i="44"/>
  <c r="CN195" i="44" s="1"/>
  <c r="CN204" i="44" s="1"/>
  <c r="CM219" i="44"/>
  <c r="CM68" i="44" s="1"/>
  <c r="CM69" i="44" s="1"/>
  <c r="CM217" i="44"/>
  <c r="CM49" i="44" s="1"/>
  <c r="CM50" i="44" s="1"/>
  <c r="CN181" i="44" l="1"/>
  <c r="CN182" i="44" s="1"/>
  <c r="CO177" i="44" s="1"/>
  <c r="CO185" i="44" s="1"/>
  <c r="CO187" i="44" s="1"/>
  <c r="CR148" i="44"/>
  <c r="CR149" i="44" s="1"/>
  <c r="CS145" i="44" s="1"/>
  <c r="CS152" i="44" s="1"/>
  <c r="CS154" i="44" s="1"/>
  <c r="CM220" i="44"/>
  <c r="CM222" i="44" s="1"/>
  <c r="CN208" i="44"/>
  <c r="CN205" i="44"/>
  <c r="CO198" i="44" s="1"/>
  <c r="CO200" i="44" l="1"/>
  <c r="CN210" i="44"/>
  <c r="CN66" i="44" s="1"/>
  <c r="CN209" i="44"/>
  <c r="CN65" i="44" s="1"/>
  <c r="CN48" i="44"/>
  <c r="CS171" i="44"/>
  <c r="CS157" i="44"/>
  <c r="CO190" i="44"/>
  <c r="CO203" i="44"/>
  <c r="CN211" i="44" l="1"/>
  <c r="CN213" i="44" s="1"/>
  <c r="CN219" i="44" s="1"/>
  <c r="CN68" i="44" s="1"/>
  <c r="CS159" i="44"/>
  <c r="CS62" i="44" s="1"/>
  <c r="CS46" i="44"/>
  <c r="CS158" i="44"/>
  <c r="CS61" i="44" s="1"/>
  <c r="CS202" i="44"/>
  <c r="CS180" i="44"/>
  <c r="CO192" i="44"/>
  <c r="CO64" i="44" s="1"/>
  <c r="CO191" i="44"/>
  <c r="CO63" i="44" s="1"/>
  <c r="CO47" i="44"/>
  <c r="CO193" i="44" l="1"/>
  <c r="CO181" i="44" s="1"/>
  <c r="CO182" i="44" s="1"/>
  <c r="CP177" i="44" s="1"/>
  <c r="CS160" i="44"/>
  <c r="CS162" i="44" s="1"/>
  <c r="CS172" i="44" s="1"/>
  <c r="CS173" i="44" s="1"/>
  <c r="CT167" i="44" s="1"/>
  <c r="CT169" i="44" s="1"/>
  <c r="CN217" i="44"/>
  <c r="CN49" i="44" s="1"/>
  <c r="CN50" i="44" s="1"/>
  <c r="CN218" i="44"/>
  <c r="CN67" i="44" s="1"/>
  <c r="CN69" i="44" s="1"/>
  <c r="CS148" i="44" l="1"/>
  <c r="CS149" i="44" s="1"/>
  <c r="CT145" i="44" s="1"/>
  <c r="CT152" i="44" s="1"/>
  <c r="CT154" i="44" s="1"/>
  <c r="CO195" i="44"/>
  <c r="CO204" i="44" s="1"/>
  <c r="CO208" i="44" s="1"/>
  <c r="CN220" i="44"/>
  <c r="CN222" i="44" s="1"/>
  <c r="CP185" i="44"/>
  <c r="CP187" i="44" s="1"/>
  <c r="CO205" i="44" l="1"/>
  <c r="CP198" i="44" s="1"/>
  <c r="CP200" i="44" s="1"/>
  <c r="CT171" i="44"/>
  <c r="CT157" i="44"/>
  <c r="CP203" i="44"/>
  <c r="CP190" i="44"/>
  <c r="CO209" i="44"/>
  <c r="CO65" i="44" s="1"/>
  <c r="CO48" i="44"/>
  <c r="CO210" i="44"/>
  <c r="CO66" i="44" s="1"/>
  <c r="CP47" i="44" l="1"/>
  <c r="CP192" i="44"/>
  <c r="CP64" i="44" s="1"/>
  <c r="CP191" i="44"/>
  <c r="CP63" i="44" s="1"/>
  <c r="CO211" i="44"/>
  <c r="CO213" i="44" s="1"/>
  <c r="CT158" i="44"/>
  <c r="CT61" i="44" s="1"/>
  <c r="CT159" i="44"/>
  <c r="CT62" i="44" s="1"/>
  <c r="CT46" i="44"/>
  <c r="CT202" i="44"/>
  <c r="CT180" i="44"/>
  <c r="CP193" i="44" l="1"/>
  <c r="CP195" i="44" s="1"/>
  <c r="CP204" i="44" s="1"/>
  <c r="CO217" i="44"/>
  <c r="CO218" i="44"/>
  <c r="CO67" i="44" s="1"/>
  <c r="CO219" i="44"/>
  <c r="CO68" i="44" s="1"/>
  <c r="CT160" i="44"/>
  <c r="CP181" i="44" l="1"/>
  <c r="CP182" i="44" s="1"/>
  <c r="CQ177" i="44" s="1"/>
  <c r="CQ185" i="44" s="1"/>
  <c r="CQ187" i="44" s="1"/>
  <c r="CP208" i="44"/>
  <c r="CP205" i="44"/>
  <c r="CQ198" i="44" s="1"/>
  <c r="CT162" i="44"/>
  <c r="CT172" i="44" s="1"/>
  <c r="CT173" i="44" s="1"/>
  <c r="CU167" i="44" s="1"/>
  <c r="CU169" i="44" s="1"/>
  <c r="CT148" i="44"/>
  <c r="CT149" i="44" s="1"/>
  <c r="CU145" i="44" s="1"/>
  <c r="CO69" i="44"/>
  <c r="CO49" i="44"/>
  <c r="CO50" i="44" s="1"/>
  <c r="CO220" i="44"/>
  <c r="CO222" i="44" s="1"/>
  <c r="CU152" i="44" l="1"/>
  <c r="CU154" i="44" s="1"/>
  <c r="CQ200" i="44"/>
  <c r="CQ203" i="44"/>
  <c r="CQ190" i="44"/>
  <c r="CP48" i="44"/>
  <c r="CP210" i="44"/>
  <c r="CP66" i="44" s="1"/>
  <c r="CP209" i="44"/>
  <c r="CP65" i="44" s="1"/>
  <c r="CQ192" i="44" l="1"/>
  <c r="CQ64" i="44" s="1"/>
  <c r="CQ191" i="44"/>
  <c r="CQ63" i="44" s="1"/>
  <c r="CQ47" i="44"/>
  <c r="CP211" i="44"/>
  <c r="CP213" i="44" s="1"/>
  <c r="CU171" i="44"/>
  <c r="CU157" i="44"/>
  <c r="CQ193" i="44" l="1"/>
  <c r="CQ195" i="44" s="1"/>
  <c r="CQ204" i="44" s="1"/>
  <c r="CU180" i="44"/>
  <c r="CU202" i="44"/>
  <c r="CP219" i="44"/>
  <c r="CP68" i="44" s="1"/>
  <c r="CP217" i="44"/>
  <c r="CP218" i="44"/>
  <c r="CP67" i="44" s="1"/>
  <c r="CU46" i="44"/>
  <c r="CU158" i="44"/>
  <c r="CU61" i="44" s="1"/>
  <c r="CU159" i="44"/>
  <c r="CU62" i="44" s="1"/>
  <c r="CP69" i="44" l="1"/>
  <c r="CU160" i="44"/>
  <c r="CU162" i="44" s="1"/>
  <c r="CU172" i="44" s="1"/>
  <c r="CU173" i="44" s="1"/>
  <c r="CV167" i="44" s="1"/>
  <c r="CV169" i="44" s="1"/>
  <c r="CQ181" i="44"/>
  <c r="CQ182" i="44" s="1"/>
  <c r="CR177" i="44" s="1"/>
  <c r="CR185" i="44" s="1"/>
  <c r="CR187" i="44" s="1"/>
  <c r="CQ208" i="44"/>
  <c r="CQ205" i="44"/>
  <c r="CR198" i="44" s="1"/>
  <c r="CP220" i="44"/>
  <c r="CP222" i="44" s="1"/>
  <c r="CP49" i="44"/>
  <c r="CP50" i="44" s="1"/>
  <c r="CU148" i="44" l="1"/>
  <c r="CU149" i="44" s="1"/>
  <c r="CV145" i="44" s="1"/>
  <c r="CV152" i="44" s="1"/>
  <c r="CV154" i="44" s="1"/>
  <c r="CR200" i="44"/>
  <c r="CQ210" i="44"/>
  <c r="CQ66" i="44" s="1"/>
  <c r="CQ209" i="44"/>
  <c r="CQ65" i="44" s="1"/>
  <c r="CQ48" i="44"/>
  <c r="CR203" i="44"/>
  <c r="CR190" i="44"/>
  <c r="CQ211" i="44" l="1"/>
  <c r="CQ213" i="44" s="1"/>
  <c r="CQ217" i="44" s="1"/>
  <c r="CR192" i="44"/>
  <c r="CR64" i="44" s="1"/>
  <c r="CR191" i="44"/>
  <c r="CR63" i="44" s="1"/>
  <c r="CR47" i="44"/>
  <c r="CV157" i="44"/>
  <c r="CV171" i="44"/>
  <c r="CQ218" i="44" l="1"/>
  <c r="CQ67" i="44" s="1"/>
  <c r="CQ219" i="44"/>
  <c r="CQ68" i="44" s="1"/>
  <c r="CR193" i="44"/>
  <c r="CR181" i="44" s="1"/>
  <c r="CR182" i="44" s="1"/>
  <c r="CS177" i="44" s="1"/>
  <c r="CV202" i="44"/>
  <c r="CV180" i="44"/>
  <c r="CQ49" i="44"/>
  <c r="CQ50" i="44" s="1"/>
  <c r="CV46" i="44"/>
  <c r="CV159" i="44"/>
  <c r="CV62" i="44" s="1"/>
  <c r="CV158" i="44"/>
  <c r="CV61" i="44" s="1"/>
  <c r="CQ69" i="44" l="1"/>
  <c r="CQ220" i="44"/>
  <c r="CQ222" i="44" s="1"/>
  <c r="CR195" i="44"/>
  <c r="CR204" i="44" s="1"/>
  <c r="CR208" i="44" s="1"/>
  <c r="CV160" i="44"/>
  <c r="CV162" i="44" s="1"/>
  <c r="CV172" i="44" s="1"/>
  <c r="CV173" i="44" s="1"/>
  <c r="CW167" i="44" s="1"/>
  <c r="CW169" i="44" s="1"/>
  <c r="CS185" i="44"/>
  <c r="CS187" i="44" s="1"/>
  <c r="CR205" i="44" l="1"/>
  <c r="CS198" i="44" s="1"/>
  <c r="CS200" i="44" s="1"/>
  <c r="CV148" i="44"/>
  <c r="CV149" i="44" s="1"/>
  <c r="CW145" i="44" s="1"/>
  <c r="CW152" i="44" s="1"/>
  <c r="CW154" i="44" s="1"/>
  <c r="CW157" i="44" s="1"/>
  <c r="CR209" i="44"/>
  <c r="CR65" i="44" s="1"/>
  <c r="CR48" i="44"/>
  <c r="CR210" i="44"/>
  <c r="CR66" i="44" s="1"/>
  <c r="CS190" i="44"/>
  <c r="CS203" i="44"/>
  <c r="CR211" i="44" l="1"/>
  <c r="CR213" i="44" s="1"/>
  <c r="CR219" i="44" s="1"/>
  <c r="CR68" i="44" s="1"/>
  <c r="CW171" i="44"/>
  <c r="CW202" i="44" s="1"/>
  <c r="CW158" i="44"/>
  <c r="CW61" i="44" s="1"/>
  <c r="CW46" i="44"/>
  <c r="CW159" i="44"/>
  <c r="CW62" i="44" s="1"/>
  <c r="CS191" i="44"/>
  <c r="CS63" i="44" s="1"/>
  <c r="CS47" i="44"/>
  <c r="CS192" i="44"/>
  <c r="CS64" i="44" s="1"/>
  <c r="CR218" i="44" l="1"/>
  <c r="CR67" i="44" s="1"/>
  <c r="CR69" i="44" s="1"/>
  <c r="CR217" i="44"/>
  <c r="CR49" i="44" s="1"/>
  <c r="CR50" i="44" s="1"/>
  <c r="CW160" i="44"/>
  <c r="CW162" i="44" s="1"/>
  <c r="CW172" i="44" s="1"/>
  <c r="CW173" i="44" s="1"/>
  <c r="CX167" i="44" s="1"/>
  <c r="CX169" i="44" s="1"/>
  <c r="CS193" i="44"/>
  <c r="CS195" i="44" s="1"/>
  <c r="CS204" i="44" s="1"/>
  <c r="CW180" i="44"/>
  <c r="CW148" i="44" l="1"/>
  <c r="CW149" i="44" s="1"/>
  <c r="CX145" i="44" s="1"/>
  <c r="CX152" i="44" s="1"/>
  <c r="CX154" i="44" s="1"/>
  <c r="CX157" i="44" s="1"/>
  <c r="CR220" i="44"/>
  <c r="CR222" i="44" s="1"/>
  <c r="CS181" i="44"/>
  <c r="CS182" i="44" s="1"/>
  <c r="CT177" i="44" s="1"/>
  <c r="CT185" i="44" s="1"/>
  <c r="CT187" i="44" s="1"/>
  <c r="CS208" i="44"/>
  <c r="CS205" i="44"/>
  <c r="CT198" i="44" s="1"/>
  <c r="CX171" i="44" l="1"/>
  <c r="CX202" i="44" s="1"/>
  <c r="CX158" i="44"/>
  <c r="CX61" i="44" s="1"/>
  <c r="CX46" i="44"/>
  <c r="CX159" i="44"/>
  <c r="CX62" i="44" s="1"/>
  <c r="CS209" i="44"/>
  <c r="CS65" i="44" s="1"/>
  <c r="CS210" i="44"/>
  <c r="CS66" i="44" s="1"/>
  <c r="CS48" i="44"/>
  <c r="CT200" i="44"/>
  <c r="CT203" i="44"/>
  <c r="CT190" i="44"/>
  <c r="CX180" i="44" l="1"/>
  <c r="CX160" i="44"/>
  <c r="CX162" i="44" s="1"/>
  <c r="CX172" i="44" s="1"/>
  <c r="CX173" i="44" s="1"/>
  <c r="CY167" i="44" s="1"/>
  <c r="CS211" i="44"/>
  <c r="CS213" i="44" s="1"/>
  <c r="CT191" i="44"/>
  <c r="CT63" i="44" s="1"/>
  <c r="CT192" i="44"/>
  <c r="CT64" i="44" s="1"/>
  <c r="CT47" i="44"/>
  <c r="CT193" i="44" l="1"/>
  <c r="CT195" i="44" s="1"/>
  <c r="CT204" i="44" s="1"/>
  <c r="CX148" i="44"/>
  <c r="CX149" i="44" s="1"/>
  <c r="CY145" i="44" s="1"/>
  <c r="CY152" i="44" s="1"/>
  <c r="CY154" i="44" s="1"/>
  <c r="CY157" i="44" s="1"/>
  <c r="CS218" i="44"/>
  <c r="CS67" i="44" s="1"/>
  <c r="CS217" i="44"/>
  <c r="CS219" i="44"/>
  <c r="CS68" i="44" s="1"/>
  <c r="CY169" i="44"/>
  <c r="CT181" i="44" l="1"/>
  <c r="CT182" i="44" s="1"/>
  <c r="CU177" i="44" s="1"/>
  <c r="CU185" i="44" s="1"/>
  <c r="CU187" i="44" s="1"/>
  <c r="CY171" i="44"/>
  <c r="CY202" i="44" s="1"/>
  <c r="CS220" i="44"/>
  <c r="CS222" i="44" s="1"/>
  <c r="CS49" i="44"/>
  <c r="CS50" i="44" s="1"/>
  <c r="CS69" i="44"/>
  <c r="CT208" i="44"/>
  <c r="CT205" i="44"/>
  <c r="CU198" i="44" s="1"/>
  <c r="CY159" i="44"/>
  <c r="CY62" i="44" s="1"/>
  <c r="CY158" i="44"/>
  <c r="CY61" i="44" s="1"/>
  <c r="CY46" i="44"/>
  <c r="CY180" i="44" l="1"/>
  <c r="CT209" i="44"/>
  <c r="CT65" i="44" s="1"/>
  <c r="CT210" i="44"/>
  <c r="CT66" i="44" s="1"/>
  <c r="CT48" i="44"/>
  <c r="CU203" i="44"/>
  <c r="CU190" i="44"/>
  <c r="CU200" i="44"/>
  <c r="CY160" i="44"/>
  <c r="CT211" i="44" l="1"/>
  <c r="CT213" i="44" s="1"/>
  <c r="CT218" i="44" s="1"/>
  <c r="CT67" i="44" s="1"/>
  <c r="CU191" i="44"/>
  <c r="CU63" i="44" s="1"/>
  <c r="CU192" i="44"/>
  <c r="CU64" i="44" s="1"/>
  <c r="CU47" i="44"/>
  <c r="CY162" i="44"/>
  <c r="CY148" i="44"/>
  <c r="CY149" i="44" s="1"/>
  <c r="CZ145" i="44" s="1"/>
  <c r="CT217" i="44" l="1"/>
  <c r="CT219" i="44"/>
  <c r="CT68" i="44" s="1"/>
  <c r="CT69" i="44" s="1"/>
  <c r="CU193" i="44"/>
  <c r="CU195" i="44" s="1"/>
  <c r="CU204" i="44" s="1"/>
  <c r="CY172" i="44"/>
  <c r="CY173" i="44" s="1"/>
  <c r="CZ167" i="44" s="1"/>
  <c r="CZ152" i="44"/>
  <c r="CZ154" i="44" s="1"/>
  <c r="CT220" i="44" l="1"/>
  <c r="CT222" i="44" s="1"/>
  <c r="CT49" i="44"/>
  <c r="CT50" i="44" s="1"/>
  <c r="CU181" i="44"/>
  <c r="CU182" i="44" s="1"/>
  <c r="CV177" i="44" s="1"/>
  <c r="CV185" i="44" s="1"/>
  <c r="CV187" i="44" s="1"/>
  <c r="CU208" i="44"/>
  <c r="CU205" i="44"/>
  <c r="CV198" i="44" s="1"/>
  <c r="CZ169" i="44"/>
  <c r="CZ171" i="44"/>
  <c r="CZ157" i="44"/>
  <c r="CV200" i="44" l="1"/>
  <c r="CU210" i="44"/>
  <c r="CU66" i="44" s="1"/>
  <c r="CU48" i="44"/>
  <c r="CU209" i="44"/>
  <c r="CU65" i="44" s="1"/>
  <c r="CV203" i="44"/>
  <c r="CV190" i="44"/>
  <c r="CZ202" i="44"/>
  <c r="CZ180" i="44"/>
  <c r="CZ158" i="44"/>
  <c r="CZ61" i="44" s="1"/>
  <c r="CZ159" i="44"/>
  <c r="CZ62" i="44" s="1"/>
  <c r="CZ46" i="44"/>
  <c r="CU211" i="44" l="1"/>
  <c r="CU213" i="44" s="1"/>
  <c r="CU217" i="44" s="1"/>
  <c r="CV47" i="44"/>
  <c r="CV192" i="44"/>
  <c r="CV64" i="44" s="1"/>
  <c r="CV191" i="44"/>
  <c r="CV63" i="44" s="1"/>
  <c r="CZ160" i="44"/>
  <c r="CZ162" i="44" s="1"/>
  <c r="CU219" i="44" l="1"/>
  <c r="CU68" i="44" s="1"/>
  <c r="CU218" i="44"/>
  <c r="CU67" i="44" s="1"/>
  <c r="CU49" i="44"/>
  <c r="CU50" i="44" s="1"/>
  <c r="CV193" i="44"/>
  <c r="CZ148" i="44"/>
  <c r="CZ149" i="44" s="1"/>
  <c r="DA145" i="44" s="1"/>
  <c r="DA152" i="44" s="1"/>
  <c r="DA154" i="44" s="1"/>
  <c r="CZ172" i="44"/>
  <c r="CZ173" i="44" s="1"/>
  <c r="DA167" i="44" s="1"/>
  <c r="CU69" i="44" l="1"/>
  <c r="CU220" i="44"/>
  <c r="CU222" i="44" s="1"/>
  <c r="CV195" i="44"/>
  <c r="CV204" i="44" s="1"/>
  <c r="CV181" i="44"/>
  <c r="CV182" i="44" s="1"/>
  <c r="CW177" i="44" s="1"/>
  <c r="DA171" i="44"/>
  <c r="DA157" i="44"/>
  <c r="DA169" i="44"/>
  <c r="CW185" i="44" l="1"/>
  <c r="CW187" i="44" s="1"/>
  <c r="CV208" i="44"/>
  <c r="CV205" i="44"/>
  <c r="CW198" i="44" s="1"/>
  <c r="DA158" i="44"/>
  <c r="DA61" i="44" s="1"/>
  <c r="DA159" i="44"/>
  <c r="DA62" i="44" s="1"/>
  <c r="DA46" i="44"/>
  <c r="DA202" i="44"/>
  <c r="DA180" i="44"/>
  <c r="CV209" i="44" l="1"/>
  <c r="CV65" i="44" s="1"/>
  <c r="CV210" i="44"/>
  <c r="CV66" i="44" s="1"/>
  <c r="CV48" i="44"/>
  <c r="CW200" i="44"/>
  <c r="CW190" i="44"/>
  <c r="CW203" i="44"/>
  <c r="DA160" i="44"/>
  <c r="CV211" i="44" l="1"/>
  <c r="CV213" i="44" s="1"/>
  <c r="CV217" i="44" s="1"/>
  <c r="CW192" i="44"/>
  <c r="CW64" i="44" s="1"/>
  <c r="CW191" i="44"/>
  <c r="CW63" i="44" s="1"/>
  <c r="CW47" i="44"/>
  <c r="DA162" i="44"/>
  <c r="DA148" i="44"/>
  <c r="DA149" i="44" s="1"/>
  <c r="DB145" i="44" s="1"/>
  <c r="CV219" i="44" l="1"/>
  <c r="CV68" i="44" s="1"/>
  <c r="CV218" i="44"/>
  <c r="CV67" i="44" s="1"/>
  <c r="CV49" i="44"/>
  <c r="CV50" i="44" s="1"/>
  <c r="CW193" i="44"/>
  <c r="DA172" i="44"/>
  <c r="DA173" i="44" s="1"/>
  <c r="DB167" i="44" s="1"/>
  <c r="DB152" i="44"/>
  <c r="DB154" i="44" s="1"/>
  <c r="CV220" i="44" l="1"/>
  <c r="CV222" i="44" s="1"/>
  <c r="CV69" i="44"/>
  <c r="CW195" i="44"/>
  <c r="CW204" i="44" s="1"/>
  <c r="CW181" i="44"/>
  <c r="CW182" i="44" s="1"/>
  <c r="CX177" i="44" s="1"/>
  <c r="DB171" i="44"/>
  <c r="DB157" i="44"/>
  <c r="DB169" i="44"/>
  <c r="CX185" i="44" l="1"/>
  <c r="CX187" i="44" s="1"/>
  <c r="CW208" i="44"/>
  <c r="CW205" i="44"/>
  <c r="CX198" i="44" s="1"/>
  <c r="DB158" i="44"/>
  <c r="DB61" i="44" s="1"/>
  <c r="DB159" i="44"/>
  <c r="DB62" i="44" s="1"/>
  <c r="DB46" i="44"/>
  <c r="DB202" i="44"/>
  <c r="DB180" i="44"/>
  <c r="CX200" i="44" l="1"/>
  <c r="CW48" i="44"/>
  <c r="CW209" i="44"/>
  <c r="CW65" i="44" s="1"/>
  <c r="CW210" i="44"/>
  <c r="CW66" i="44" s="1"/>
  <c r="CX203" i="44"/>
  <c r="CX190" i="44"/>
  <c r="DB160" i="44"/>
  <c r="CW211" i="44" l="1"/>
  <c r="CW213" i="44" s="1"/>
  <c r="CW218" i="44" s="1"/>
  <c r="CW67" i="44" s="1"/>
  <c r="CX191" i="44"/>
  <c r="CX63" i="44" s="1"/>
  <c r="CX192" i="44"/>
  <c r="CX64" i="44" s="1"/>
  <c r="CX47" i="44"/>
  <c r="DB162" i="44"/>
  <c r="DB148" i="44"/>
  <c r="DB149" i="44" s="1"/>
  <c r="DC145" i="44" s="1"/>
  <c r="CW219" i="44" l="1"/>
  <c r="CW68" i="44" s="1"/>
  <c r="CW69" i="44" s="1"/>
  <c r="CW217" i="44"/>
  <c r="CW49" i="44" s="1"/>
  <c r="CW50" i="44" s="1"/>
  <c r="CX193" i="44"/>
  <c r="CX195" i="44" s="1"/>
  <c r="CX204" i="44" s="1"/>
  <c r="DC152" i="44"/>
  <c r="DC154" i="44" s="1"/>
  <c r="DB172" i="44"/>
  <c r="DB173" i="44" s="1"/>
  <c r="DC167" i="44" s="1"/>
  <c r="CX181" i="44" l="1"/>
  <c r="CX182" i="44" s="1"/>
  <c r="CY177" i="44" s="1"/>
  <c r="CY185" i="44" s="1"/>
  <c r="CY187" i="44" s="1"/>
  <c r="CW220" i="44"/>
  <c r="CW222" i="44" s="1"/>
  <c r="CX208" i="44"/>
  <c r="CX205" i="44"/>
  <c r="CY198" i="44" s="1"/>
  <c r="DC169" i="44"/>
  <c r="DC171" i="44"/>
  <c r="DC157" i="44"/>
  <c r="CY200" i="44" l="1"/>
  <c r="CX210" i="44"/>
  <c r="CX66" i="44" s="1"/>
  <c r="CX209" i="44"/>
  <c r="CX65" i="44" s="1"/>
  <c r="CX48" i="44"/>
  <c r="CY190" i="44"/>
  <c r="CY203" i="44"/>
  <c r="DC202" i="44"/>
  <c r="DC180" i="44"/>
  <c r="DC158" i="44"/>
  <c r="DC61" i="44" s="1"/>
  <c r="DC159" i="44"/>
  <c r="DC62" i="44" s="1"/>
  <c r="DC46" i="44"/>
  <c r="CX211" i="44" l="1"/>
  <c r="CX213" i="44" s="1"/>
  <c r="CX218" i="44" s="1"/>
  <c r="CX67" i="44" s="1"/>
  <c r="CY192" i="44"/>
  <c r="CY64" i="44" s="1"/>
  <c r="CY191" i="44"/>
  <c r="CY63" i="44" s="1"/>
  <c r="CY47" i="44"/>
  <c r="DC160" i="44"/>
  <c r="CX219" i="44" l="1"/>
  <c r="CX68" i="44" s="1"/>
  <c r="CX69" i="44" s="1"/>
  <c r="CX217" i="44"/>
  <c r="CX49" i="44" s="1"/>
  <c r="CX50" i="44" s="1"/>
  <c r="CY193" i="44"/>
  <c r="CY195" i="44" s="1"/>
  <c r="CY204" i="44" s="1"/>
  <c r="DC162" i="44"/>
  <c r="DC148" i="44"/>
  <c r="DC149" i="44" s="1"/>
  <c r="DD145" i="44" s="1"/>
  <c r="CX220" i="44" l="1"/>
  <c r="CX222" i="44" s="1"/>
  <c r="CY181" i="44"/>
  <c r="CY182" i="44" s="1"/>
  <c r="CZ177" i="44" s="1"/>
  <c r="CZ185" i="44" s="1"/>
  <c r="CZ187" i="44" s="1"/>
  <c r="CY208" i="44"/>
  <c r="CY205" i="44"/>
  <c r="CZ198" i="44" s="1"/>
  <c r="DD152" i="44"/>
  <c r="DD154" i="44" s="1"/>
  <c r="DC172" i="44"/>
  <c r="DC173" i="44" s="1"/>
  <c r="DD167" i="44" s="1"/>
  <c r="CZ200" i="44" l="1"/>
  <c r="CY210" i="44"/>
  <c r="CY66" i="44" s="1"/>
  <c r="CY48" i="44"/>
  <c r="CY209" i="44"/>
  <c r="CY65" i="44" s="1"/>
  <c r="CZ203" i="44"/>
  <c r="CZ190" i="44"/>
  <c r="DD169" i="44"/>
  <c r="DD171" i="44"/>
  <c r="DD157" i="44"/>
  <c r="CY211" i="44" l="1"/>
  <c r="CY213" i="44" s="1"/>
  <c r="CY219" i="44" s="1"/>
  <c r="CY68" i="44" s="1"/>
  <c r="CZ47" i="44"/>
  <c r="CZ192" i="44"/>
  <c r="CZ64" i="44" s="1"/>
  <c r="CZ191" i="44"/>
  <c r="CZ63" i="44" s="1"/>
  <c r="DD158" i="44"/>
  <c r="DD61" i="44" s="1"/>
  <c r="DD159" i="44"/>
  <c r="DD62" i="44" s="1"/>
  <c r="DD46" i="44"/>
  <c r="DD202" i="44"/>
  <c r="DD180" i="44"/>
  <c r="CY217" i="44" l="1"/>
  <c r="CY49" i="44" s="1"/>
  <c r="CY50" i="44" s="1"/>
  <c r="CY218" i="44"/>
  <c r="CY67" i="44" s="1"/>
  <c r="CY69" i="44" s="1"/>
  <c r="CZ193" i="44"/>
  <c r="DD160" i="44"/>
  <c r="CY220" i="44" l="1"/>
  <c r="CY222" i="44" s="1"/>
  <c r="CZ195" i="44"/>
  <c r="CZ204" i="44" s="1"/>
  <c r="CZ181" i="44"/>
  <c r="CZ182" i="44" s="1"/>
  <c r="DA177" i="44" s="1"/>
  <c r="DD162" i="44"/>
  <c r="DD148" i="44"/>
  <c r="DD149" i="44" s="1"/>
  <c r="DE145" i="44" s="1"/>
  <c r="DA185" i="44" l="1"/>
  <c r="DA187" i="44" s="1"/>
  <c r="CZ208" i="44"/>
  <c r="CZ205" i="44"/>
  <c r="DA198" i="44" s="1"/>
  <c r="DE152" i="44"/>
  <c r="DE154" i="44" s="1"/>
  <c r="DD172" i="44"/>
  <c r="DD173" i="44" s="1"/>
  <c r="DE167" i="44" s="1"/>
  <c r="DA200" i="44" l="1"/>
  <c r="CZ210" i="44"/>
  <c r="CZ66" i="44" s="1"/>
  <c r="CZ48" i="44"/>
  <c r="CZ209" i="44"/>
  <c r="CZ65" i="44" s="1"/>
  <c r="DA203" i="44"/>
  <c r="DA190" i="44"/>
  <c r="DE169" i="44"/>
  <c r="DE171" i="44"/>
  <c r="DE157" i="44"/>
  <c r="CZ211" i="44" l="1"/>
  <c r="CZ213" i="44" s="1"/>
  <c r="CZ217" i="44" s="1"/>
  <c r="DA47" i="44"/>
  <c r="DA192" i="44"/>
  <c r="DA64" i="44" s="1"/>
  <c r="DA191" i="44"/>
  <c r="DA63" i="44" s="1"/>
  <c r="DE202" i="44"/>
  <c r="DE180" i="44"/>
  <c r="DE159" i="44"/>
  <c r="DE62" i="44" s="1"/>
  <c r="DE158" i="44"/>
  <c r="DE61" i="44" s="1"/>
  <c r="DE46" i="44"/>
  <c r="CZ219" i="44" l="1"/>
  <c r="CZ68" i="44" s="1"/>
  <c r="CZ218" i="44"/>
  <c r="CZ67" i="44" s="1"/>
  <c r="DA193" i="44"/>
  <c r="DA181" i="44" s="1"/>
  <c r="DA182" i="44" s="1"/>
  <c r="DB177" i="44" s="1"/>
  <c r="CZ49" i="44"/>
  <c r="CZ50" i="44" s="1"/>
  <c r="DE160" i="44"/>
  <c r="CZ69" i="44" l="1"/>
  <c r="CZ220" i="44"/>
  <c r="CZ222" i="44" s="1"/>
  <c r="DA195" i="44"/>
  <c r="DA204" i="44" s="1"/>
  <c r="DA208" i="44" s="1"/>
  <c r="DB185" i="44"/>
  <c r="DB187" i="44" s="1"/>
  <c r="DE162" i="44"/>
  <c r="DE148" i="44"/>
  <c r="DE149" i="44" s="1"/>
  <c r="DF145" i="44" s="1"/>
  <c r="DA205" i="44" l="1"/>
  <c r="DB198" i="44" s="1"/>
  <c r="DB200" i="44" s="1"/>
  <c r="DA209" i="44"/>
  <c r="DA65" i="44" s="1"/>
  <c r="DA210" i="44"/>
  <c r="DA66" i="44" s="1"/>
  <c r="DA48" i="44"/>
  <c r="DB203" i="44"/>
  <c r="DB190" i="44"/>
  <c r="DF152" i="44"/>
  <c r="DF154" i="44" s="1"/>
  <c r="DE172" i="44"/>
  <c r="DE173" i="44" s="1"/>
  <c r="DF167" i="44" s="1"/>
  <c r="DA211" i="44" l="1"/>
  <c r="DA213" i="44" s="1"/>
  <c r="DA219" i="44" s="1"/>
  <c r="DA68" i="44" s="1"/>
  <c r="DB192" i="44"/>
  <c r="DB64" i="44" s="1"/>
  <c r="DB191" i="44"/>
  <c r="DB63" i="44" s="1"/>
  <c r="DB47" i="44"/>
  <c r="DF157" i="44"/>
  <c r="DF171" i="44"/>
  <c r="DF169" i="44"/>
  <c r="DB193" i="44" l="1"/>
  <c r="DB195" i="44" s="1"/>
  <c r="DB204" i="44" s="1"/>
  <c r="DA217" i="44"/>
  <c r="DA49" i="44" s="1"/>
  <c r="DA50" i="44" s="1"/>
  <c r="DA218" i="44"/>
  <c r="DA67" i="44" s="1"/>
  <c r="DA69" i="44" s="1"/>
  <c r="DF202" i="44"/>
  <c r="DF180" i="44"/>
  <c r="DF159" i="44"/>
  <c r="DF62" i="44" s="1"/>
  <c r="DF158" i="44"/>
  <c r="DF61" i="44" s="1"/>
  <c r="DF46" i="44"/>
  <c r="DA220" i="44" l="1"/>
  <c r="DA222" i="44" s="1"/>
  <c r="DB181" i="44"/>
  <c r="DB182" i="44" s="1"/>
  <c r="DC177" i="44" s="1"/>
  <c r="DC185" i="44" s="1"/>
  <c r="DC187" i="44" s="1"/>
  <c r="DC203" i="44" s="1"/>
  <c r="DB208" i="44"/>
  <c r="DB205" i="44"/>
  <c r="DC198" i="44" s="1"/>
  <c r="DC200" i="44" s="1"/>
  <c r="DF160" i="44"/>
  <c r="DC190" i="44" l="1"/>
  <c r="DC192" i="44" s="1"/>
  <c r="DC64" i="44" s="1"/>
  <c r="DB209" i="44"/>
  <c r="DB65" i="44" s="1"/>
  <c r="DB210" i="44"/>
  <c r="DB66" i="44" s="1"/>
  <c r="DB48" i="44"/>
  <c r="DF162" i="44"/>
  <c r="DF148" i="44"/>
  <c r="DF149" i="44" s="1"/>
  <c r="DG145" i="44" s="1"/>
  <c r="DC47" i="44" l="1"/>
  <c r="DC191" i="44"/>
  <c r="DC63" i="44" s="1"/>
  <c r="DB211" i="44"/>
  <c r="DB213" i="44" s="1"/>
  <c r="DG152" i="44"/>
  <c r="DG154" i="44" s="1"/>
  <c r="DF172" i="44"/>
  <c r="DF173" i="44" s="1"/>
  <c r="DG167" i="44" s="1"/>
  <c r="DC193" i="44" l="1"/>
  <c r="DC181" i="44" s="1"/>
  <c r="DC182" i="44" s="1"/>
  <c r="DD177" i="44" s="1"/>
  <c r="DD185" i="44" s="1"/>
  <c r="DD187" i="44" s="1"/>
  <c r="DB217" i="44"/>
  <c r="DB219" i="44"/>
  <c r="DB68" i="44" s="1"/>
  <c r="DB218" i="44"/>
  <c r="DB67" i="44" s="1"/>
  <c r="DG169" i="44"/>
  <c r="DG171" i="44"/>
  <c r="DG157" i="44"/>
  <c r="DC195" i="44" l="1"/>
  <c r="DC204" i="44" s="1"/>
  <c r="DC208" i="44" s="1"/>
  <c r="DC210" i="44" s="1"/>
  <c r="DC66" i="44" s="1"/>
  <c r="DB69" i="44"/>
  <c r="DB220" i="44"/>
  <c r="DB222" i="44" s="1"/>
  <c r="DB49" i="44"/>
  <c r="DB50" i="44" s="1"/>
  <c r="DD203" i="44"/>
  <c r="DD190" i="44"/>
  <c r="DG159" i="44"/>
  <c r="DG62" i="44" s="1"/>
  <c r="DG158" i="44"/>
  <c r="DG61" i="44" s="1"/>
  <c r="DG46" i="44"/>
  <c r="DG202" i="44"/>
  <c r="DG180" i="44"/>
  <c r="DC48" i="44" l="1"/>
  <c r="DC209" i="44"/>
  <c r="DC65" i="44" s="1"/>
  <c r="DC205" i="44"/>
  <c r="DD198" i="44" s="1"/>
  <c r="DD200" i="44" s="1"/>
  <c r="DD192" i="44"/>
  <c r="DD64" i="44" s="1"/>
  <c r="DD47" i="44"/>
  <c r="DD191" i="44"/>
  <c r="DD63" i="44" s="1"/>
  <c r="DG160" i="44"/>
  <c r="DC211" i="44" l="1"/>
  <c r="DC213" i="44" s="1"/>
  <c r="DC218" i="44" s="1"/>
  <c r="DC67" i="44" s="1"/>
  <c r="DD193" i="44"/>
  <c r="DD195" i="44" s="1"/>
  <c r="DD204" i="44" s="1"/>
  <c r="DG148" i="44"/>
  <c r="DG149" i="44" s="1"/>
  <c r="DH145" i="44" s="1"/>
  <c r="DG162" i="44"/>
  <c r="DC219" i="44" l="1"/>
  <c r="DC68" i="44" s="1"/>
  <c r="DC69" i="44" s="1"/>
  <c r="DC217" i="44"/>
  <c r="DC49" i="44" s="1"/>
  <c r="DC50" i="44" s="1"/>
  <c r="DD181" i="44"/>
  <c r="DD182" i="44" s="1"/>
  <c r="DE177" i="44" s="1"/>
  <c r="DE185" i="44" s="1"/>
  <c r="DE187" i="44" s="1"/>
  <c r="DE203" i="44" s="1"/>
  <c r="DD208" i="44"/>
  <c r="DD205" i="44"/>
  <c r="DE198" i="44" s="1"/>
  <c r="DE200" i="44" s="1"/>
  <c r="DH152" i="44"/>
  <c r="DH154" i="44" s="1"/>
  <c r="DG172" i="44"/>
  <c r="DG173" i="44" s="1"/>
  <c r="DH167" i="44" s="1"/>
  <c r="DC220" i="44" l="1"/>
  <c r="DC222" i="44" s="1"/>
  <c r="DE190" i="44"/>
  <c r="DE47" i="44" s="1"/>
  <c r="DD209" i="44"/>
  <c r="DD65" i="44" s="1"/>
  <c r="DD48" i="44"/>
  <c r="DD210" i="44"/>
  <c r="DD66" i="44" s="1"/>
  <c r="DH169" i="44"/>
  <c r="DH157" i="44"/>
  <c r="DH171" i="44"/>
  <c r="DE191" i="44" l="1"/>
  <c r="DE63" i="44" s="1"/>
  <c r="DE192" i="44"/>
  <c r="DE64" i="44" s="1"/>
  <c r="DD211" i="44"/>
  <c r="DD213" i="44" s="1"/>
  <c r="DD219" i="44" s="1"/>
  <c r="DD68" i="44" s="1"/>
  <c r="DH159" i="44"/>
  <c r="DH62" i="44" s="1"/>
  <c r="DH158" i="44"/>
  <c r="DH61" i="44" s="1"/>
  <c r="DH46" i="44"/>
  <c r="DH202" i="44"/>
  <c r="DH180" i="44"/>
  <c r="DE193" i="44" l="1"/>
  <c r="DE181" i="44" s="1"/>
  <c r="DE182" i="44" s="1"/>
  <c r="DF177" i="44" s="1"/>
  <c r="DF185" i="44" s="1"/>
  <c r="DF187" i="44" s="1"/>
  <c r="DF203" i="44" s="1"/>
  <c r="DD218" i="44"/>
  <c r="DD67" i="44" s="1"/>
  <c r="DD69" i="44" s="1"/>
  <c r="DD217" i="44"/>
  <c r="DD49" i="44" s="1"/>
  <c r="DD50" i="44" s="1"/>
  <c r="DH160" i="44"/>
  <c r="DF190" i="44" l="1"/>
  <c r="DF192" i="44" s="1"/>
  <c r="DF64" i="44" s="1"/>
  <c r="DE195" i="44"/>
  <c r="DE204" i="44" s="1"/>
  <c r="DE208" i="44" s="1"/>
  <c r="DE209" i="44" s="1"/>
  <c r="DE65" i="44" s="1"/>
  <c r="DD220" i="44"/>
  <c r="DD222" i="44" s="1"/>
  <c r="DH162" i="44"/>
  <c r="DH148" i="44"/>
  <c r="DH149" i="44" s="1"/>
  <c r="DI145" i="44" s="1"/>
  <c r="DE210" i="44" l="1"/>
  <c r="DE66" i="44" s="1"/>
  <c r="DE48" i="44"/>
  <c r="DE205" i="44"/>
  <c r="DF198" i="44" s="1"/>
  <c r="DF200" i="44" s="1"/>
  <c r="DF191" i="44"/>
  <c r="DF63" i="44" s="1"/>
  <c r="DF47" i="44"/>
  <c r="DH172" i="44"/>
  <c r="DH173" i="44" s="1"/>
  <c r="DI167" i="44" s="1"/>
  <c r="DI152" i="44"/>
  <c r="DI154" i="44" s="1"/>
  <c r="DE211" i="44" l="1"/>
  <c r="DE213" i="44" s="1"/>
  <c r="DE217" i="44" s="1"/>
  <c r="DE49" i="44" s="1"/>
  <c r="DE50" i="44" s="1"/>
  <c r="DF193" i="44"/>
  <c r="DF195" i="44" s="1"/>
  <c r="DF204" i="44" s="1"/>
  <c r="DI169" i="44"/>
  <c r="DI171" i="44"/>
  <c r="DI157" i="44"/>
  <c r="DE218" i="44" l="1"/>
  <c r="DE67" i="44" s="1"/>
  <c r="DE219" i="44"/>
  <c r="DE68" i="44" s="1"/>
  <c r="DF181" i="44"/>
  <c r="DF182" i="44" s="1"/>
  <c r="DG177" i="44" s="1"/>
  <c r="DG185" i="44" s="1"/>
  <c r="DG187" i="44" s="1"/>
  <c r="DG190" i="44" s="1"/>
  <c r="DG192" i="44" s="1"/>
  <c r="DG64" i="44" s="1"/>
  <c r="DF208" i="44"/>
  <c r="DF205" i="44"/>
  <c r="DG198" i="44" s="1"/>
  <c r="DG200" i="44" s="1"/>
  <c r="DI158" i="44"/>
  <c r="DI61" i="44" s="1"/>
  <c r="DI159" i="44"/>
  <c r="DI62" i="44" s="1"/>
  <c r="DI46" i="44"/>
  <c r="DI202" i="44"/>
  <c r="DI180" i="44"/>
  <c r="DE69" i="44" l="1"/>
  <c r="DE220" i="44"/>
  <c r="DE222" i="44" s="1"/>
  <c r="DG191" i="44"/>
  <c r="DG63" i="44" s="1"/>
  <c r="DG203" i="44"/>
  <c r="DG47" i="44"/>
  <c r="DF210" i="44"/>
  <c r="DF66" i="44" s="1"/>
  <c r="DF48" i="44"/>
  <c r="DF209" i="44"/>
  <c r="DI160" i="44"/>
  <c r="DG193" i="44" l="1"/>
  <c r="DG195" i="44" s="1"/>
  <c r="DG204" i="44" s="1"/>
  <c r="DF65" i="44"/>
  <c r="DF211" i="44"/>
  <c r="DF213" i="44" s="1"/>
  <c r="DI162" i="44"/>
  <c r="DI148" i="44"/>
  <c r="DI149" i="44" s="1"/>
  <c r="DJ145" i="44" s="1"/>
  <c r="DG181" i="44" l="1"/>
  <c r="DG182" i="44" s="1"/>
  <c r="DH177" i="44" s="1"/>
  <c r="DH185" i="44" s="1"/>
  <c r="DH187" i="44" s="1"/>
  <c r="DF219" i="44"/>
  <c r="DF68" i="44" s="1"/>
  <c r="DF218" i="44"/>
  <c r="DF67" i="44" s="1"/>
  <c r="DF217" i="44"/>
  <c r="DJ152" i="44"/>
  <c r="DJ154" i="44" s="1"/>
  <c r="DI172" i="44"/>
  <c r="DI173" i="44" s="1"/>
  <c r="DJ167" i="44" s="1"/>
  <c r="DG208" i="44"/>
  <c r="DG205" i="44"/>
  <c r="DH198" i="44" s="1"/>
  <c r="DF69" i="44" l="1"/>
  <c r="DF49" i="44"/>
  <c r="DF50" i="44" s="1"/>
  <c r="DF220" i="44"/>
  <c r="DF222" i="44" s="1"/>
  <c r="DH200" i="44"/>
  <c r="DJ169" i="44"/>
  <c r="DH203" i="44"/>
  <c r="DH190" i="44"/>
  <c r="DJ171" i="44"/>
  <c r="DJ157" i="44"/>
  <c r="DG210" i="44"/>
  <c r="DG66" i="44" s="1"/>
  <c r="DG209" i="44"/>
  <c r="DG65" i="44" s="1"/>
  <c r="DG48" i="44"/>
  <c r="DH192" i="44" l="1"/>
  <c r="DH64" i="44" s="1"/>
  <c r="DH191" i="44"/>
  <c r="DH63" i="44" s="1"/>
  <c r="DH47" i="44"/>
  <c r="DJ202" i="44"/>
  <c r="DJ180" i="44"/>
  <c r="DG211" i="44"/>
  <c r="DG213" i="44" s="1"/>
  <c r="DJ158" i="44"/>
  <c r="DJ61" i="44" s="1"/>
  <c r="DJ159" i="44"/>
  <c r="DJ62" i="44" s="1"/>
  <c r="DJ46" i="44"/>
  <c r="DH193" i="44" l="1"/>
  <c r="DH195" i="44" s="1"/>
  <c r="DH204" i="44" s="1"/>
  <c r="DG219" i="44"/>
  <c r="DG68" i="44" s="1"/>
  <c r="DG217" i="44"/>
  <c r="DG218" i="44"/>
  <c r="DG67" i="44" s="1"/>
  <c r="DJ160" i="44"/>
  <c r="DH181" i="44" l="1"/>
  <c r="DH182" i="44" s="1"/>
  <c r="DI177" i="44" s="1"/>
  <c r="DI185" i="44" s="1"/>
  <c r="DI187" i="44" s="1"/>
  <c r="DG69" i="44"/>
  <c r="DG220" i="44"/>
  <c r="DG222" i="44" s="1"/>
  <c r="DG49" i="44"/>
  <c r="DG50" i="44" s="1"/>
  <c r="DJ162" i="44"/>
  <c r="DJ148" i="44"/>
  <c r="DJ149" i="44" s="1"/>
  <c r="DK145" i="44" s="1"/>
  <c r="DH208" i="44"/>
  <c r="DH205" i="44"/>
  <c r="DI198" i="44" s="1"/>
  <c r="DI200" i="44" l="1"/>
  <c r="DK152" i="44"/>
  <c r="DK154" i="44" s="1"/>
  <c r="DH210" i="44"/>
  <c r="DH66" i="44" s="1"/>
  <c r="DH209" i="44"/>
  <c r="DH65" i="44" s="1"/>
  <c r="DH48" i="44"/>
  <c r="DJ172" i="44"/>
  <c r="DJ173" i="44" s="1"/>
  <c r="DK167" i="44" s="1"/>
  <c r="DI203" i="44"/>
  <c r="DI190" i="44"/>
  <c r="DH211" i="44" l="1"/>
  <c r="DH213" i="44" s="1"/>
  <c r="DK171" i="44"/>
  <c r="DK157" i="44"/>
  <c r="DK169" i="44"/>
  <c r="DI191" i="44"/>
  <c r="DI63" i="44" s="1"/>
  <c r="DI192" i="44"/>
  <c r="DI64" i="44" s="1"/>
  <c r="DI47" i="44"/>
  <c r="DI193" i="44" l="1"/>
  <c r="DI195" i="44" s="1"/>
  <c r="DI204" i="44" s="1"/>
  <c r="DK158" i="44"/>
  <c r="DK61" i="44" s="1"/>
  <c r="DK159" i="44"/>
  <c r="DK62" i="44" s="1"/>
  <c r="DK46" i="44"/>
  <c r="DK202" i="44"/>
  <c r="DK180" i="44"/>
  <c r="DH219" i="44"/>
  <c r="DH68" i="44" s="1"/>
  <c r="DH218" i="44"/>
  <c r="DH67" i="44" s="1"/>
  <c r="DH217" i="44"/>
  <c r="DI181" i="44" l="1"/>
  <c r="DI182" i="44" s="1"/>
  <c r="DJ177" i="44" s="1"/>
  <c r="DJ185" i="44" s="1"/>
  <c r="DJ187" i="44" s="1"/>
  <c r="DI208" i="44"/>
  <c r="DI205" i="44"/>
  <c r="DJ198" i="44" s="1"/>
  <c r="DH69" i="44"/>
  <c r="DH220" i="44"/>
  <c r="DH222" i="44" s="1"/>
  <c r="DH49" i="44"/>
  <c r="DH50" i="44" s="1"/>
  <c r="DK160" i="44"/>
  <c r="DJ200" i="44" l="1"/>
  <c r="DI209" i="44"/>
  <c r="DI65" i="44" s="1"/>
  <c r="DI210" i="44"/>
  <c r="DI66" i="44" s="1"/>
  <c r="DI48" i="44"/>
  <c r="DJ203" i="44"/>
  <c r="DJ190" i="44"/>
  <c r="DK162" i="44"/>
  <c r="DK148" i="44"/>
  <c r="DK149" i="44" s="1"/>
  <c r="DL145" i="44" s="1"/>
  <c r="DI211" i="44" l="1"/>
  <c r="DI213" i="44" s="1"/>
  <c r="DJ191" i="44"/>
  <c r="DJ63" i="44" s="1"/>
  <c r="DJ192" i="44"/>
  <c r="DJ64" i="44" s="1"/>
  <c r="DJ47" i="44"/>
  <c r="DL152" i="44"/>
  <c r="DL154" i="44" s="1"/>
  <c r="DK172" i="44"/>
  <c r="DK173" i="44" s="1"/>
  <c r="DL167" i="44" s="1"/>
  <c r="DJ193" i="44" l="1"/>
  <c r="DL171" i="44"/>
  <c r="DL157" i="44"/>
  <c r="DI219" i="44"/>
  <c r="DI68" i="44" s="1"/>
  <c r="DI218" i="44"/>
  <c r="DI67" i="44" s="1"/>
  <c r="DI217" i="44"/>
  <c r="DL169" i="44"/>
  <c r="DI220" i="44" l="1"/>
  <c r="DI222" i="44" s="1"/>
  <c r="DI49" i="44"/>
  <c r="DI50" i="44" s="1"/>
  <c r="DL158" i="44"/>
  <c r="DL61" i="44" s="1"/>
  <c r="DL159" i="44"/>
  <c r="DL62" i="44" s="1"/>
  <c r="DL46" i="44"/>
  <c r="DL202" i="44"/>
  <c r="DL180" i="44"/>
  <c r="DI69" i="44"/>
  <c r="DJ195" i="44"/>
  <c r="DJ204" i="44" s="1"/>
  <c r="DJ181" i="44"/>
  <c r="DJ182" i="44" s="1"/>
  <c r="DK177" i="44" s="1"/>
  <c r="DK185" i="44" l="1"/>
  <c r="DK187" i="44" s="1"/>
  <c r="DJ208" i="44"/>
  <c r="DJ205" i="44"/>
  <c r="DK198" i="44" s="1"/>
  <c r="DL160" i="44"/>
  <c r="DJ209" i="44" l="1"/>
  <c r="DJ65" i="44" s="1"/>
  <c r="DJ210" i="44"/>
  <c r="DJ66" i="44" s="1"/>
  <c r="DJ48" i="44"/>
  <c r="DK203" i="44"/>
  <c r="DK190" i="44"/>
  <c r="DL148" i="44"/>
  <c r="DL149" i="44" s="1"/>
  <c r="DM145" i="44" s="1"/>
  <c r="DL162" i="44"/>
  <c r="DK200" i="44"/>
  <c r="DL172" i="44" l="1"/>
  <c r="DL173" i="44" s="1"/>
  <c r="DM167" i="44" s="1"/>
  <c r="DK192" i="44"/>
  <c r="DK64" i="44" s="1"/>
  <c r="DK191" i="44"/>
  <c r="DK63" i="44" s="1"/>
  <c r="DK47" i="44"/>
  <c r="DM152" i="44"/>
  <c r="DM154" i="44" s="1"/>
  <c r="DJ211" i="44"/>
  <c r="DJ213" i="44" s="1"/>
  <c r="DK193" i="44" l="1"/>
  <c r="DM169" i="44"/>
  <c r="DJ218" i="44"/>
  <c r="DJ67" i="44" s="1"/>
  <c r="DJ219" i="44"/>
  <c r="DJ68" i="44" s="1"/>
  <c r="DJ217" i="44"/>
  <c r="DM171" i="44"/>
  <c r="DM157" i="44"/>
  <c r="DJ69" i="44" l="1"/>
  <c r="DJ220" i="44"/>
  <c r="DJ222" i="44" s="1"/>
  <c r="DJ49" i="44"/>
  <c r="DJ50" i="44" s="1"/>
  <c r="DK195" i="44"/>
  <c r="DK204" i="44" s="1"/>
  <c r="DK181" i="44"/>
  <c r="DK182" i="44" s="1"/>
  <c r="DL177" i="44" s="1"/>
  <c r="DM159" i="44"/>
  <c r="DM62" i="44" s="1"/>
  <c r="DM158" i="44"/>
  <c r="DM61" i="44" s="1"/>
  <c r="DM46" i="44"/>
  <c r="DM202" i="44"/>
  <c r="DM180" i="44"/>
  <c r="DL185" i="44" l="1"/>
  <c r="DL187" i="44" s="1"/>
  <c r="DK208" i="44"/>
  <c r="DK205" i="44"/>
  <c r="DL198" i="44" s="1"/>
  <c r="DM160" i="44"/>
  <c r="DL200" i="44" l="1"/>
  <c r="DK210" i="44"/>
  <c r="DK66" i="44" s="1"/>
  <c r="DK209" i="44"/>
  <c r="DK65" i="44" s="1"/>
  <c r="DK48" i="44"/>
  <c r="DL203" i="44"/>
  <c r="DL190" i="44"/>
  <c r="DM162" i="44"/>
  <c r="DM148" i="44"/>
  <c r="DM149" i="44" s="1"/>
  <c r="DN145" i="44" s="1"/>
  <c r="DK211" i="44" l="1"/>
  <c r="DK213" i="44" s="1"/>
  <c r="DL192" i="44"/>
  <c r="DL64" i="44" s="1"/>
  <c r="DL191" i="44"/>
  <c r="DL63" i="44" s="1"/>
  <c r="DL47" i="44"/>
  <c r="DN152" i="44"/>
  <c r="DN154" i="44" s="1"/>
  <c r="DM172" i="44"/>
  <c r="DM173" i="44" s="1"/>
  <c r="DN167" i="44" s="1"/>
  <c r="DL193" i="44" l="1"/>
  <c r="DK218" i="44"/>
  <c r="DK67" i="44" s="1"/>
  <c r="DK219" i="44"/>
  <c r="DK68" i="44" s="1"/>
  <c r="DK217" i="44"/>
  <c r="DN169" i="44"/>
  <c r="DN171" i="44"/>
  <c r="DN157" i="44"/>
  <c r="DN159" i="44" l="1"/>
  <c r="DN62" i="44" s="1"/>
  <c r="DN158" i="44"/>
  <c r="DN61" i="44" s="1"/>
  <c r="DN46" i="44"/>
  <c r="DK69" i="44"/>
  <c r="DN202" i="44"/>
  <c r="DN180" i="44"/>
  <c r="DL195" i="44"/>
  <c r="DL204" i="44" s="1"/>
  <c r="DL181" i="44"/>
  <c r="DL182" i="44" s="1"/>
  <c r="DM177" i="44" s="1"/>
  <c r="DK220" i="44"/>
  <c r="DK222" i="44" s="1"/>
  <c r="DK49" i="44"/>
  <c r="DK50" i="44" l="1"/>
  <c r="DM185" i="44"/>
  <c r="DM187" i="44" s="1"/>
  <c r="DL208" i="44"/>
  <c r="DL205" i="44"/>
  <c r="DM198" i="44" s="1"/>
  <c r="DN160" i="44"/>
  <c r="DN162" i="44" l="1"/>
  <c r="DN148" i="44"/>
  <c r="DN149" i="44" s="1"/>
  <c r="DO145" i="44" s="1"/>
  <c r="DM203" i="44"/>
  <c r="DM190" i="44"/>
  <c r="DM200" i="44"/>
  <c r="DL209" i="44"/>
  <c r="DL65" i="44" s="1"/>
  <c r="DL210" i="44"/>
  <c r="DL66" i="44" s="1"/>
  <c r="DL48" i="44"/>
  <c r="DL211" i="44" l="1"/>
  <c r="DL213" i="44" s="1"/>
  <c r="DM192" i="44"/>
  <c r="DM64" i="44" s="1"/>
  <c r="DM191" i="44"/>
  <c r="DM63" i="44" s="1"/>
  <c r="DM47" i="44"/>
  <c r="DO152" i="44"/>
  <c r="DO154" i="44" s="1"/>
  <c r="DN172" i="44"/>
  <c r="DN173" i="44" s="1"/>
  <c r="DO167" i="44" s="1"/>
  <c r="DO169" i="44" l="1"/>
  <c r="DO171" i="44"/>
  <c r="DO157" i="44"/>
  <c r="DM193" i="44"/>
  <c r="DL219" i="44"/>
  <c r="DL68" i="44" s="1"/>
  <c r="DL217" i="44"/>
  <c r="DL218" i="44"/>
  <c r="DL67" i="44" s="1"/>
  <c r="DL69" i="44" l="1"/>
  <c r="DO202" i="44"/>
  <c r="DO180" i="44"/>
  <c r="DL220" i="44"/>
  <c r="DL222" i="44" s="1"/>
  <c r="DL49" i="44"/>
  <c r="DM195" i="44"/>
  <c r="DM204" i="44" s="1"/>
  <c r="DM181" i="44"/>
  <c r="DM182" i="44" s="1"/>
  <c r="DN177" i="44" s="1"/>
  <c r="DO159" i="44"/>
  <c r="DO62" i="44" s="1"/>
  <c r="DO158" i="44"/>
  <c r="DO61" i="44" s="1"/>
  <c r="DO46" i="44"/>
  <c r="DO160" i="44" l="1"/>
  <c r="DM208" i="44"/>
  <c r="DM205" i="44"/>
  <c r="DN198" i="44" s="1"/>
  <c r="DL50" i="44"/>
  <c r="DN185" i="44"/>
  <c r="DN187" i="44" s="1"/>
  <c r="DM210" i="44" l="1"/>
  <c r="DM66" i="44" s="1"/>
  <c r="DM209" i="44"/>
  <c r="DM65" i="44" s="1"/>
  <c r="DM48" i="44"/>
  <c r="DN200" i="44"/>
  <c r="DO162" i="44"/>
  <c r="DO148" i="44"/>
  <c r="DO149" i="44" s="1"/>
  <c r="DP145" i="44" s="1"/>
  <c r="DN203" i="44"/>
  <c r="DN190" i="44"/>
  <c r="DO172" i="44" l="1"/>
  <c r="DO173" i="44" s="1"/>
  <c r="DP167" i="44" s="1"/>
  <c r="DP152" i="44"/>
  <c r="DP154" i="44" s="1"/>
  <c r="DN192" i="44"/>
  <c r="DN64" i="44" s="1"/>
  <c r="DN191" i="44"/>
  <c r="DN63" i="44" s="1"/>
  <c r="DN47" i="44"/>
  <c r="DM211" i="44"/>
  <c r="DM213" i="44" s="1"/>
  <c r="DN193" i="44" l="1"/>
  <c r="DN195" i="44" s="1"/>
  <c r="DN204" i="44" s="1"/>
  <c r="DP171" i="44"/>
  <c r="DP157" i="44"/>
  <c r="DP169" i="44"/>
  <c r="DM219" i="44"/>
  <c r="DM68" i="44" s="1"/>
  <c r="DM217" i="44"/>
  <c r="DM218" i="44"/>
  <c r="DM67" i="44" s="1"/>
  <c r="DN181" i="44" l="1"/>
  <c r="DN182" i="44" s="1"/>
  <c r="DO177" i="44" s="1"/>
  <c r="DO185" i="44" s="1"/>
  <c r="DO187" i="44" s="1"/>
  <c r="DN208" i="44"/>
  <c r="DN205" i="44"/>
  <c r="DO198" i="44" s="1"/>
  <c r="DM69" i="44"/>
  <c r="DM220" i="44"/>
  <c r="DM222" i="44" s="1"/>
  <c r="DM49" i="44"/>
  <c r="DP159" i="44"/>
  <c r="DP62" i="44" s="1"/>
  <c r="DP158" i="44"/>
  <c r="DP61" i="44" s="1"/>
  <c r="DP46" i="44"/>
  <c r="DP202" i="44"/>
  <c r="DP180" i="44"/>
  <c r="DO203" i="44" l="1"/>
  <c r="DO190" i="44"/>
  <c r="DP160" i="44"/>
  <c r="DO200" i="44"/>
  <c r="DM50" i="44"/>
  <c r="DN210" i="44"/>
  <c r="DN66" i="44" s="1"/>
  <c r="DN209" i="44"/>
  <c r="DN65" i="44" s="1"/>
  <c r="DN48" i="44"/>
  <c r="DO192" i="44" l="1"/>
  <c r="DO64" i="44" s="1"/>
  <c r="DO191" i="44"/>
  <c r="DO63" i="44" s="1"/>
  <c r="DO47" i="44"/>
  <c r="DN211" i="44"/>
  <c r="DN213" i="44" s="1"/>
  <c r="DP162" i="44"/>
  <c r="DP148" i="44"/>
  <c r="DP149" i="44" s="1"/>
  <c r="DQ145" i="44" s="1"/>
  <c r="DN219" i="44" l="1"/>
  <c r="DN68" i="44" s="1"/>
  <c r="DN217" i="44"/>
  <c r="DN218" i="44"/>
  <c r="DN67" i="44" s="1"/>
  <c r="DQ152" i="44"/>
  <c r="DQ154" i="44" s="1"/>
  <c r="DO193" i="44"/>
  <c r="DP172" i="44"/>
  <c r="DP173" i="44" s="1"/>
  <c r="DQ167" i="44" s="1"/>
  <c r="DQ157" i="44" l="1"/>
  <c r="DQ171" i="44"/>
  <c r="DQ169" i="44"/>
  <c r="DN220" i="44"/>
  <c r="DN222" i="44" s="1"/>
  <c r="DN49" i="44"/>
  <c r="DN69" i="44"/>
  <c r="DO181" i="44"/>
  <c r="DO182" i="44" s="1"/>
  <c r="DP177" i="44" s="1"/>
  <c r="DO195" i="44"/>
  <c r="DO204" i="44" s="1"/>
  <c r="DN50" i="44" l="1"/>
  <c r="DO208" i="44"/>
  <c r="DO205" i="44"/>
  <c r="DP198" i="44" s="1"/>
  <c r="DQ202" i="44"/>
  <c r="DQ180" i="44"/>
  <c r="DP185" i="44"/>
  <c r="DP187" i="44" s="1"/>
  <c r="DQ158" i="44"/>
  <c r="DQ61" i="44" s="1"/>
  <c r="DQ159" i="44"/>
  <c r="DQ62" i="44" s="1"/>
  <c r="DQ46" i="44"/>
  <c r="DQ160" i="44" l="1"/>
  <c r="DQ148" i="44" s="1"/>
  <c r="DQ149" i="44" s="1"/>
  <c r="DR145" i="44" s="1"/>
  <c r="DO210" i="44"/>
  <c r="DO66" i="44" s="1"/>
  <c r="DO209" i="44"/>
  <c r="DO65" i="44" s="1"/>
  <c r="DO48" i="44"/>
  <c r="DP200" i="44"/>
  <c r="DP203" i="44"/>
  <c r="DP190" i="44"/>
  <c r="DQ162" i="44" l="1"/>
  <c r="DQ172" i="44" s="1"/>
  <c r="DQ173" i="44" s="1"/>
  <c r="DR167" i="44" s="1"/>
  <c r="DP192" i="44"/>
  <c r="DP64" i="44" s="1"/>
  <c r="DP191" i="44"/>
  <c r="DP63" i="44" s="1"/>
  <c r="DP47" i="44"/>
  <c r="DR152" i="44"/>
  <c r="DR154" i="44" s="1"/>
  <c r="DO211" i="44"/>
  <c r="DO213" i="44" s="1"/>
  <c r="DP193" i="44" l="1"/>
  <c r="DR169" i="44"/>
  <c r="DO219" i="44"/>
  <c r="DO68" i="44" s="1"/>
  <c r="DO217" i="44"/>
  <c r="DO218" i="44"/>
  <c r="DO67" i="44" s="1"/>
  <c r="DR157" i="44"/>
  <c r="DR171" i="44"/>
  <c r="DO69" i="44" l="1"/>
  <c r="DR159" i="44"/>
  <c r="DR62" i="44" s="1"/>
  <c r="DR158" i="44"/>
  <c r="DR61" i="44" s="1"/>
  <c r="DR46" i="44"/>
  <c r="DO220" i="44"/>
  <c r="DO222" i="44" s="1"/>
  <c r="DO49" i="44"/>
  <c r="DO50" i="44" s="1"/>
  <c r="DR202" i="44"/>
  <c r="DR180" i="44"/>
  <c r="DP195" i="44"/>
  <c r="DP204" i="44" s="1"/>
  <c r="DP181" i="44"/>
  <c r="DP182" i="44" s="1"/>
  <c r="DQ177" i="44" s="1"/>
  <c r="DQ185" i="44" l="1"/>
  <c r="DQ187" i="44" s="1"/>
  <c r="DR160" i="44"/>
  <c r="DP208" i="44"/>
  <c r="DP205" i="44"/>
  <c r="DQ198" i="44" s="1"/>
  <c r="DP210" i="44" l="1"/>
  <c r="DP66" i="44" s="1"/>
  <c r="DP209" i="44"/>
  <c r="DP65" i="44" s="1"/>
  <c r="DP48" i="44"/>
  <c r="DQ203" i="44"/>
  <c r="DQ190" i="44"/>
  <c r="DQ200" i="44"/>
  <c r="DR162" i="44"/>
  <c r="DR148" i="44"/>
  <c r="DR149" i="44" s="1"/>
  <c r="DS145" i="44" s="1"/>
  <c r="DQ191" i="44" l="1"/>
  <c r="DQ63" i="44" s="1"/>
  <c r="DQ192" i="44"/>
  <c r="DQ64" i="44" s="1"/>
  <c r="DQ47" i="44"/>
  <c r="DS152" i="44"/>
  <c r="DS154" i="44" s="1"/>
  <c r="DR172" i="44"/>
  <c r="DR173" i="44" s="1"/>
  <c r="DS167" i="44" s="1"/>
  <c r="DP211" i="44"/>
  <c r="DP213" i="44" s="1"/>
  <c r="DS171" i="44" l="1"/>
  <c r="DS157" i="44"/>
  <c r="DP219" i="44"/>
  <c r="DP68" i="44" s="1"/>
  <c r="DP218" i="44"/>
  <c r="DP67" i="44" s="1"/>
  <c r="DP217" i="44"/>
  <c r="DQ193" i="44"/>
  <c r="DS169" i="44"/>
  <c r="DQ181" i="44" l="1"/>
  <c r="DQ182" i="44" s="1"/>
  <c r="DR177" i="44" s="1"/>
  <c r="DQ195" i="44"/>
  <c r="DQ204" i="44" s="1"/>
  <c r="DP69" i="44"/>
  <c r="DS202" i="44"/>
  <c r="DS180" i="44"/>
  <c r="DP220" i="44"/>
  <c r="DP222" i="44" s="1"/>
  <c r="DP49" i="44"/>
  <c r="DP50" i="44" s="1"/>
  <c r="DS158" i="44"/>
  <c r="DS61" i="44" s="1"/>
  <c r="DS159" i="44"/>
  <c r="DS62" i="44" s="1"/>
  <c r="DS46" i="44"/>
  <c r="DQ208" i="44" l="1"/>
  <c r="DQ205" i="44"/>
  <c r="DR198" i="44" s="1"/>
  <c r="DR185" i="44"/>
  <c r="DR187" i="44" s="1"/>
  <c r="DS160" i="44"/>
  <c r="DR203" i="44" l="1"/>
  <c r="DR190" i="44"/>
  <c r="DS162" i="44"/>
  <c r="DS148" i="44"/>
  <c r="DS149" i="44" s="1"/>
  <c r="DT145" i="44" s="1"/>
  <c r="DR200" i="44"/>
  <c r="DQ210" i="44"/>
  <c r="DQ66" i="44" s="1"/>
  <c r="DQ209" i="44"/>
  <c r="DQ65" i="44" s="1"/>
  <c r="DQ48" i="44"/>
  <c r="DQ211" i="44" l="1"/>
  <c r="DQ213" i="44" s="1"/>
  <c r="DT152" i="44"/>
  <c r="DT154" i="44" s="1"/>
  <c r="DS172" i="44"/>
  <c r="DS173" i="44" s="1"/>
  <c r="DT167" i="44" s="1"/>
  <c r="DR192" i="44"/>
  <c r="DR64" i="44" s="1"/>
  <c r="DR191" i="44"/>
  <c r="DR63" i="44" s="1"/>
  <c r="DR47" i="44"/>
  <c r="DR193" i="44" l="1"/>
  <c r="DT171" i="44"/>
  <c r="DT157" i="44"/>
  <c r="DQ219" i="44"/>
  <c r="DQ68" i="44" s="1"/>
  <c r="DQ218" i="44"/>
  <c r="DQ67" i="44" s="1"/>
  <c r="DQ217" i="44"/>
  <c r="DT169" i="44"/>
  <c r="DQ69" i="44" l="1"/>
  <c r="DT158" i="44"/>
  <c r="DT61" i="44" s="1"/>
  <c r="DT159" i="44"/>
  <c r="DT62" i="44" s="1"/>
  <c r="DT46" i="44"/>
  <c r="DT202" i="44"/>
  <c r="DT180" i="44"/>
  <c r="DQ220" i="44"/>
  <c r="DQ222" i="44" s="1"/>
  <c r="DQ49" i="44"/>
  <c r="DQ50" i="44" s="1"/>
  <c r="DR195" i="44"/>
  <c r="DR204" i="44" s="1"/>
  <c r="DR181" i="44"/>
  <c r="DR182" i="44" s="1"/>
  <c r="DS177" i="44" s="1"/>
  <c r="DR208" i="44" l="1"/>
  <c r="DR205" i="44"/>
  <c r="DS198" i="44" s="1"/>
  <c r="DT160" i="44"/>
  <c r="DS185" i="44"/>
  <c r="DS187" i="44" s="1"/>
  <c r="DS203" i="44" l="1"/>
  <c r="DS190" i="44"/>
  <c r="DT162" i="44"/>
  <c r="DT148" i="44"/>
  <c r="DT149" i="44" s="1"/>
  <c r="DU145" i="44" s="1"/>
  <c r="DR209" i="44"/>
  <c r="DR65" i="44" s="1"/>
  <c r="DR210" i="44"/>
  <c r="DR66" i="44" s="1"/>
  <c r="DR48" i="44"/>
  <c r="DS200" i="44"/>
  <c r="DT172" i="44" l="1"/>
  <c r="DT173" i="44" s="1"/>
  <c r="DU167" i="44" s="1"/>
  <c r="DU152" i="44"/>
  <c r="DU154" i="44" s="1"/>
  <c r="DS191" i="44"/>
  <c r="DS63" i="44" s="1"/>
  <c r="DS192" i="44"/>
  <c r="DS64" i="44" s="1"/>
  <c r="DS47" i="44"/>
  <c r="DR211" i="44"/>
  <c r="DR213" i="44" s="1"/>
  <c r="DS193" i="44" l="1"/>
  <c r="DU169" i="44"/>
  <c r="DU171" i="44"/>
  <c r="DU157" i="44"/>
  <c r="DR219" i="44"/>
  <c r="DR68" i="44" s="1"/>
  <c r="DR218" i="44"/>
  <c r="DR67" i="44" s="1"/>
  <c r="DR217" i="44"/>
  <c r="DR69" i="44" l="1"/>
  <c r="DU159" i="44"/>
  <c r="DU62" i="44" s="1"/>
  <c r="DU158" i="44"/>
  <c r="DU61" i="44" s="1"/>
  <c r="DU46" i="44"/>
  <c r="DU202" i="44"/>
  <c r="DU180" i="44"/>
  <c r="DR220" i="44"/>
  <c r="DR222" i="44" s="1"/>
  <c r="DR49" i="44"/>
  <c r="DR50" i="44" s="1"/>
  <c r="DS195" i="44"/>
  <c r="DS204" i="44" s="1"/>
  <c r="DS181" i="44"/>
  <c r="DS182" i="44" s="1"/>
  <c r="DT177" i="44" s="1"/>
  <c r="DU160" i="44" l="1"/>
  <c r="DS208" i="44"/>
  <c r="DS205" i="44"/>
  <c r="DT198" i="44" s="1"/>
  <c r="DT185" i="44"/>
  <c r="DT187" i="44" s="1"/>
  <c r="DT203" i="44" l="1"/>
  <c r="DT190" i="44"/>
  <c r="DT200" i="44"/>
  <c r="DS210" i="44"/>
  <c r="DS66" i="44" s="1"/>
  <c r="DS209" i="44"/>
  <c r="DS65" i="44" s="1"/>
  <c r="DS48" i="44"/>
  <c r="DU162" i="44"/>
  <c r="DU148" i="44"/>
  <c r="DU149" i="44" s="1"/>
  <c r="DV145" i="44" s="1"/>
  <c r="DS211" i="44" l="1"/>
  <c r="DS213" i="44" s="1"/>
  <c r="DV152" i="44"/>
  <c r="DV154" i="44" s="1"/>
  <c r="DT191" i="44"/>
  <c r="DT63" i="44" s="1"/>
  <c r="DT192" i="44"/>
  <c r="DT64" i="44" s="1"/>
  <c r="DT47" i="44"/>
  <c r="DU172" i="44"/>
  <c r="DU173" i="44" s="1"/>
  <c r="DV167" i="44" s="1"/>
  <c r="DT193" i="44" l="1"/>
  <c r="DV171" i="44"/>
  <c r="DV157" i="44"/>
  <c r="DV169" i="44"/>
  <c r="DS219" i="44"/>
  <c r="DS68" i="44" s="1"/>
  <c r="DS218" i="44"/>
  <c r="DS67" i="44" s="1"/>
  <c r="DS217" i="44"/>
  <c r="DS69" i="44" l="1"/>
  <c r="DV158" i="44"/>
  <c r="DV159" i="44"/>
  <c r="DV46" i="44"/>
  <c r="F22" i="45" s="1"/>
  <c r="E157" i="44"/>
  <c r="DS220" i="44"/>
  <c r="DS222" i="44" s="1"/>
  <c r="DS49" i="44"/>
  <c r="DS50" i="44" s="1"/>
  <c r="DV202" i="44"/>
  <c r="DV180" i="44"/>
  <c r="DT195" i="44"/>
  <c r="DT204" i="44" s="1"/>
  <c r="DT181" i="44"/>
  <c r="DT182" i="44" s="1"/>
  <c r="DU177" i="44" s="1"/>
  <c r="J22" i="45" l="1"/>
  <c r="K22" i="45"/>
  <c r="DV160" i="44"/>
  <c r="DV162" i="44" s="1"/>
  <c r="DT208" i="44"/>
  <c r="DT205" i="44"/>
  <c r="DU198" i="44" s="1"/>
  <c r="D46" i="44"/>
  <c r="E22" i="45"/>
  <c r="G22" i="45"/>
  <c r="H22" i="45"/>
  <c r="I22" i="45"/>
  <c r="L22" i="45"/>
  <c r="M22" i="45"/>
  <c r="N22" i="45"/>
  <c r="DV62" i="44"/>
  <c r="E159" i="44"/>
  <c r="DV61" i="44"/>
  <c r="F37" i="45" s="1"/>
  <c r="E158" i="44"/>
  <c r="DU185" i="44"/>
  <c r="DU187" i="44" s="1"/>
  <c r="J37" i="45" l="1"/>
  <c r="K37" i="45"/>
  <c r="J38" i="45"/>
  <c r="K38" i="45"/>
  <c r="DV148" i="44"/>
  <c r="DV149" i="44" s="1"/>
  <c r="E160" i="44"/>
  <c r="T22" i="45"/>
  <c r="C22" i="45"/>
  <c r="DU200" i="44"/>
  <c r="DT210" i="44"/>
  <c r="DT66" i="44" s="1"/>
  <c r="DT209" i="44"/>
  <c r="DT65" i="44" s="1"/>
  <c r="DT48" i="44"/>
  <c r="DU203" i="44"/>
  <c r="DU190" i="44"/>
  <c r="D61" i="44"/>
  <c r="E37" i="45"/>
  <c r="G37" i="45"/>
  <c r="H37" i="45"/>
  <c r="I37" i="45"/>
  <c r="L37" i="45"/>
  <c r="M37" i="45"/>
  <c r="N37" i="45"/>
  <c r="E38" i="45"/>
  <c r="D62" i="44"/>
  <c r="G38" i="45"/>
  <c r="H38" i="45"/>
  <c r="I38" i="45"/>
  <c r="L38" i="45"/>
  <c r="M38" i="45"/>
  <c r="N38" i="45"/>
  <c r="DV172" i="44"/>
  <c r="DV173" i="44" s="1"/>
  <c r="E162" i="44"/>
  <c r="C38" i="45" l="1"/>
  <c r="T38" i="45"/>
  <c r="T37" i="45"/>
  <c r="C37" i="45"/>
  <c r="DT211" i="44"/>
  <c r="DT213" i="44" s="1"/>
  <c r="DU192" i="44"/>
  <c r="DU64" i="44" s="1"/>
  <c r="DU191" i="44"/>
  <c r="DU63" i="44" s="1"/>
  <c r="DU47" i="44"/>
  <c r="DT219" i="44" l="1"/>
  <c r="DT68" i="44" s="1"/>
  <c r="DT217" i="44"/>
  <c r="DT218" i="44"/>
  <c r="DT67" i="44" s="1"/>
  <c r="DU193" i="44"/>
  <c r="DU195" i="44" l="1"/>
  <c r="DU204" i="44" s="1"/>
  <c r="DU181" i="44"/>
  <c r="DU182" i="44" s="1"/>
  <c r="DV177" i="44" s="1"/>
  <c r="DT220" i="44"/>
  <c r="DT222" i="44" s="1"/>
  <c r="DT49" i="44"/>
  <c r="DT50" i="44" s="1"/>
  <c r="DT69" i="44"/>
  <c r="DV185" i="44" l="1"/>
  <c r="DV187" i="44" s="1"/>
  <c r="DU208" i="44"/>
  <c r="DU205" i="44"/>
  <c r="DV198" i="44" s="1"/>
  <c r="DV200" i="44" l="1"/>
  <c r="DV203" i="44"/>
  <c r="DV190" i="44"/>
  <c r="E187" i="44"/>
  <c r="DU210" i="44"/>
  <c r="DU66" i="44" s="1"/>
  <c r="DU209" i="44"/>
  <c r="DU65" i="44" s="1"/>
  <c r="DU48" i="44"/>
  <c r="DU211" i="44" l="1"/>
  <c r="DU213" i="44" s="1"/>
  <c r="DV192" i="44"/>
  <c r="DV191" i="44"/>
  <c r="DV47" i="44"/>
  <c r="F23" i="45" s="1"/>
  <c r="E190" i="44"/>
  <c r="J23" i="45" l="1"/>
  <c r="K23" i="45"/>
  <c r="DV63" i="44"/>
  <c r="F39" i="45" s="1"/>
  <c r="E191" i="44"/>
  <c r="DV64" i="44"/>
  <c r="E192" i="44"/>
  <c r="DV193" i="44"/>
  <c r="DU217" i="44"/>
  <c r="DU219" i="44"/>
  <c r="DU68" i="44" s="1"/>
  <c r="DU218" i="44"/>
  <c r="DU67" i="44" s="1"/>
  <c r="D47" i="44"/>
  <c r="E23" i="45"/>
  <c r="G23" i="45"/>
  <c r="H23" i="45"/>
  <c r="I23" i="45"/>
  <c r="L23" i="45"/>
  <c r="M23" i="45"/>
  <c r="N23" i="45"/>
  <c r="J40" i="45" l="1"/>
  <c r="K40" i="45"/>
  <c r="J39" i="45"/>
  <c r="K39" i="45"/>
  <c r="E193" i="44"/>
  <c r="DV195" i="44"/>
  <c r="DV181" i="44"/>
  <c r="DV182" i="44" s="1"/>
  <c r="T23" i="45"/>
  <c r="C23" i="45"/>
  <c r="E40" i="45"/>
  <c r="D64" i="44"/>
  <c r="F40" i="45"/>
  <c r="G40" i="45"/>
  <c r="H40" i="45"/>
  <c r="I40" i="45"/>
  <c r="L40" i="45"/>
  <c r="M40" i="45"/>
  <c r="N40" i="45"/>
  <c r="DU220" i="44"/>
  <c r="DU222" i="44" s="1"/>
  <c r="DU49" i="44"/>
  <c r="DU50" i="44" s="1"/>
  <c r="DU69" i="44"/>
  <c r="E39" i="45"/>
  <c r="D63" i="44"/>
  <c r="G39" i="45"/>
  <c r="H39" i="45"/>
  <c r="I39" i="45"/>
  <c r="L39" i="45"/>
  <c r="M39" i="45"/>
  <c r="N39" i="45"/>
  <c r="T39" i="45" l="1"/>
  <c r="C39" i="45"/>
  <c r="DV204" i="44"/>
  <c r="E195" i="44"/>
  <c r="T40" i="45"/>
  <c r="C40" i="45"/>
  <c r="DV208" i="44" l="1"/>
  <c r="DV205" i="44"/>
  <c r="DV210" i="44" l="1"/>
  <c r="DV209" i="44"/>
  <c r="DV48" i="44"/>
  <c r="E208" i="44"/>
  <c r="J24" i="45" l="1"/>
  <c r="K24" i="45"/>
  <c r="DV211" i="44"/>
  <c r="DV213" i="44" s="1"/>
  <c r="DV219" i="44" s="1"/>
  <c r="E24" i="45"/>
  <c r="D48" i="44"/>
  <c r="F24" i="45"/>
  <c r="G24" i="45"/>
  <c r="H24" i="45"/>
  <c r="I24" i="45"/>
  <c r="L24" i="45"/>
  <c r="M24" i="45"/>
  <c r="N24" i="45"/>
  <c r="DV65" i="44"/>
  <c r="E209" i="44"/>
  <c r="DV66" i="44"/>
  <c r="E210" i="44"/>
  <c r="J42" i="45" l="1"/>
  <c r="K42" i="45"/>
  <c r="J41" i="45"/>
  <c r="K41" i="45"/>
  <c r="E213" i="44"/>
  <c r="DV218" i="44"/>
  <c r="DV67" i="44" s="1"/>
  <c r="DV217" i="44"/>
  <c r="DV49" i="44" s="1"/>
  <c r="F25" i="45" s="1"/>
  <c r="F26" i="45" s="1"/>
  <c r="E211" i="44"/>
  <c r="C24" i="45"/>
  <c r="T24" i="45"/>
  <c r="E42" i="45"/>
  <c r="D66" i="44"/>
  <c r="F42" i="45"/>
  <c r="G42" i="45"/>
  <c r="H42" i="45"/>
  <c r="I42" i="45"/>
  <c r="L42" i="45"/>
  <c r="M42" i="45"/>
  <c r="N42" i="45"/>
  <c r="E41" i="45"/>
  <c r="D65" i="44"/>
  <c r="F41" i="45"/>
  <c r="G41" i="45"/>
  <c r="H41" i="45"/>
  <c r="I41" i="45"/>
  <c r="L41" i="45"/>
  <c r="M41" i="45"/>
  <c r="N41" i="45"/>
  <c r="DV68" i="44"/>
  <c r="E219" i="44"/>
  <c r="J43" i="45" l="1"/>
  <c r="K43" i="45"/>
  <c r="J25" i="45"/>
  <c r="J26" i="45" s="1"/>
  <c r="K25" i="45"/>
  <c r="K26" i="45" s="1"/>
  <c r="J44" i="45"/>
  <c r="K44" i="45"/>
  <c r="E218" i="44"/>
  <c r="DV220" i="44"/>
  <c r="DV222" i="44" s="1"/>
  <c r="E222" i="44" s="1"/>
  <c r="E217" i="44"/>
  <c r="E44" i="45"/>
  <c r="D68" i="44"/>
  <c r="E20" i="43" s="1"/>
  <c r="G44" i="45"/>
  <c r="H44" i="45"/>
  <c r="I44" i="45"/>
  <c r="L44" i="45"/>
  <c r="M44" i="45"/>
  <c r="N44" i="45"/>
  <c r="C42" i="45"/>
  <c r="T42" i="45"/>
  <c r="T41" i="45"/>
  <c r="C41" i="45"/>
  <c r="D67" i="44"/>
  <c r="E43" i="45"/>
  <c r="F43" i="45"/>
  <c r="F45" i="45" s="1"/>
  <c r="G43" i="45"/>
  <c r="H43" i="45"/>
  <c r="I43" i="45"/>
  <c r="L43" i="45"/>
  <c r="M43" i="45"/>
  <c r="N43" i="45"/>
  <c r="D49" i="44"/>
  <c r="D50" i="44" s="1"/>
  <c r="E25" i="45"/>
  <c r="G25" i="45"/>
  <c r="G26" i="45" s="1"/>
  <c r="H25" i="45"/>
  <c r="H26" i="45" s="1"/>
  <c r="I25" i="45"/>
  <c r="I26" i="45" s="1"/>
  <c r="L25" i="45"/>
  <c r="L26" i="45" s="1"/>
  <c r="M25" i="45"/>
  <c r="M26" i="45" s="1"/>
  <c r="N25" i="45"/>
  <c r="N26" i="45" s="1"/>
  <c r="DV50" i="44"/>
  <c r="DV69" i="44"/>
  <c r="E220" i="44" l="1"/>
  <c r="J45" i="45"/>
  <c r="K45" i="45"/>
  <c r="L45" i="45"/>
  <c r="D74" i="44" a="1"/>
  <c r="D74" i="44" s="1"/>
  <c r="D73" i="44"/>
  <c r="D72" i="44"/>
  <c r="T25" i="45"/>
  <c r="C25" i="45"/>
  <c r="C26" i="45" s="1"/>
  <c r="E26" i="45"/>
  <c r="T26" i="45" s="1"/>
  <c r="I45" i="45"/>
  <c r="H45" i="45"/>
  <c r="T43" i="45"/>
  <c r="C43" i="45"/>
  <c r="G45" i="45"/>
  <c r="D55" i="44" a="1"/>
  <c r="D55" i="44" s="1"/>
  <c r="D54" i="44"/>
  <c r="D53" i="44"/>
  <c r="N45" i="45"/>
  <c r="D69" i="44"/>
  <c r="E45" i="45"/>
  <c r="M45" i="45"/>
  <c r="T44" i="45"/>
  <c r="C44" i="45"/>
  <c r="C45" i="45" l="1"/>
  <c r="T45" i="45"/>
  <c r="C30" i="45"/>
  <c r="G55" i="44"/>
  <c r="D56" i="44"/>
  <c r="D18" i="43"/>
  <c r="C31" i="45"/>
  <c r="G54" i="44"/>
  <c r="D17" i="43"/>
  <c r="C48" i="45"/>
  <c r="E16" i="43"/>
  <c r="C49" i="45"/>
  <c r="D75" i="44"/>
  <c r="E18" i="43"/>
  <c r="C50" i="45"/>
  <c r="E17" i="43"/>
  <c r="C29" i="45"/>
  <c r="G53" i="44"/>
  <c r="D16" i="43"/>
  <c r="C55" i="45" l="1"/>
  <c r="C51" i="45"/>
  <c r="E19" i="43"/>
  <c r="C32" i="45"/>
  <c r="D19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tc={3E3B6AED-2C1D-4608-934B-520332C9DE78}</author>
  </authors>
  <commentList>
    <comment ref="D12" authorId="0" shapeId="0" xr:uid="{3E3B6AED-2C1D-4608-934B-520332C9DE7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If S8 Voucher, calculate averages by breaking out units in breakdown section then link rows to appropriate cells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<sst xmlns="http://schemas.openxmlformats.org/spreadsheetml/2006/main" count="1871" uniqueCount="441">
  <si>
    <t>Model Dashboard</t>
  </si>
  <si>
    <t>Investment Name</t>
  </si>
  <si>
    <t>Address</t>
  </si>
  <si>
    <t>Property Type</t>
  </si>
  <si>
    <t>City</t>
  </si>
  <si>
    <t>State</t>
  </si>
  <si>
    <t>Zipcode</t>
  </si>
  <si>
    <t>Units</t>
  </si>
  <si>
    <t>Buildings</t>
  </si>
  <si>
    <t>Year Built</t>
  </si>
  <si>
    <t>Initial TCCP End Date</t>
  </si>
  <si>
    <t>Final Year of LIHTC Restrictions</t>
  </si>
  <si>
    <t>Asking Price</t>
  </si>
  <si>
    <t>Asking Cap Rate (Year 0)</t>
  </si>
  <si>
    <t>Sources &amp; Uses</t>
  </si>
  <si>
    <t>Sources</t>
  </si>
  <si>
    <t>$</t>
  </si>
  <si>
    <t>%</t>
  </si>
  <si>
    <t>Total Debt</t>
  </si>
  <si>
    <t>Uses</t>
  </si>
  <si>
    <t>Total Equity</t>
  </si>
  <si>
    <t>Total Sources</t>
  </si>
  <si>
    <t>Financing Assumptions</t>
  </si>
  <si>
    <t>Transaction Overview</t>
  </si>
  <si>
    <t>Closing Costs</t>
  </si>
  <si>
    <t>Broker Fees</t>
  </si>
  <si>
    <t>Legal Fees</t>
  </si>
  <si>
    <t>Developer Fees</t>
  </si>
  <si>
    <t>Due Diligence Fees</t>
  </si>
  <si>
    <t>Rehabilitation Costs</t>
  </si>
  <si>
    <t>Purchase Price</t>
  </si>
  <si>
    <t>Closing and Financing Costs</t>
  </si>
  <si>
    <t>Total Rentable SF</t>
  </si>
  <si>
    <t>SF / Unit</t>
  </si>
  <si>
    <t>Total Cost / SF</t>
  </si>
  <si>
    <t>Total Cost / Unit</t>
  </si>
  <si>
    <t>Operating Assumptions</t>
  </si>
  <si>
    <t>Timeline Assumptions</t>
  </si>
  <si>
    <t>Entry Date</t>
  </si>
  <si>
    <t>Investment Period</t>
  </si>
  <si>
    <t>Exit Date</t>
  </si>
  <si>
    <t>Income Statement</t>
  </si>
  <si>
    <t>Gross Potential Income</t>
  </si>
  <si>
    <t>Vacancy Factor</t>
  </si>
  <si>
    <t>Net Rental Income</t>
  </si>
  <si>
    <t>Laundry and Other Income</t>
  </si>
  <si>
    <t>Bad Debt</t>
  </si>
  <si>
    <t>Payroll</t>
  </si>
  <si>
    <t>Contract Expenses</t>
  </si>
  <si>
    <t>Property &amp; Liability Insurance</t>
  </si>
  <si>
    <t>Real Estate Taxes</t>
  </si>
  <si>
    <t xml:space="preserve">Net Operating Income </t>
  </si>
  <si>
    <t>Debt Service</t>
  </si>
  <si>
    <t xml:space="preserve">Break-Even Ratio </t>
  </si>
  <si>
    <t>Operating Cash Flow Before Taxes</t>
  </si>
  <si>
    <t>Cash on Cash Return</t>
  </si>
  <si>
    <t>General Partner Cash Return</t>
  </si>
  <si>
    <t>Total Limited Partner Cash Return</t>
  </si>
  <si>
    <t>Cash on Cash LP Return</t>
  </si>
  <si>
    <t>Opertating Expenses</t>
  </si>
  <si>
    <t>Total Gross Income</t>
  </si>
  <si>
    <t>Unit Type</t>
  </si>
  <si>
    <t>Gross Rent</t>
  </si>
  <si>
    <t>Net FMR</t>
  </si>
  <si>
    <t># of Units</t>
  </si>
  <si>
    <t>Total</t>
  </si>
  <si>
    <t>Monthly Total</t>
  </si>
  <si>
    <t>Total Units</t>
  </si>
  <si>
    <t>% of Gross Rent</t>
  </si>
  <si>
    <t xml:space="preserve">Vacancy </t>
  </si>
  <si>
    <t>Rent Increase</t>
  </si>
  <si>
    <t>Utility Expense</t>
  </si>
  <si>
    <t>Move Outs Per Year</t>
  </si>
  <si>
    <t>Other Income</t>
  </si>
  <si>
    <t>Inflation Increase</t>
  </si>
  <si>
    <t>Bad Debt Expense</t>
  </si>
  <si>
    <t>Replacement Reserves</t>
  </si>
  <si>
    <t>Compliance Fee</t>
  </si>
  <si>
    <t>Replacement Reserves (cost per unit)</t>
  </si>
  <si>
    <t>Total Replacement Reserves</t>
  </si>
  <si>
    <t>Property Manager Salary</t>
  </si>
  <si>
    <t>Assistant Manager (over 160 units)</t>
  </si>
  <si>
    <t>Commissions/Bonuses</t>
  </si>
  <si>
    <t>Maintenance Salary</t>
  </si>
  <si>
    <t>Hourly</t>
  </si>
  <si>
    <t>Monthly</t>
  </si>
  <si>
    <t>Yearly</t>
  </si>
  <si>
    <t>Assistant Property Manager Salary</t>
  </si>
  <si>
    <t>Commissions / Bonuses</t>
  </si>
  <si>
    <t>Hours per Week</t>
  </si>
  <si>
    <t>Employee Work Schedule Assumptions</t>
  </si>
  <si>
    <t>Admin Expenses</t>
  </si>
  <si>
    <t>Management Fee</t>
  </si>
  <si>
    <t>Legal Expense</t>
  </si>
  <si>
    <t>Office Expense</t>
  </si>
  <si>
    <t>Travel Cost</t>
  </si>
  <si>
    <t>Audit Expense</t>
  </si>
  <si>
    <t>Advertising</t>
  </si>
  <si>
    <t>Training Charge</t>
  </si>
  <si>
    <t>Bank Charges</t>
  </si>
  <si>
    <t>Bookkeeping</t>
  </si>
  <si>
    <t>Payroll Service</t>
  </si>
  <si>
    <t>Misc. Admin Expenses</t>
  </si>
  <si>
    <t>Management Fee (% of Net Rental Income)</t>
  </si>
  <si>
    <t>Office Expense (Per Unit)</t>
  </si>
  <si>
    <t>Utility Expenses</t>
  </si>
  <si>
    <t>Electric</t>
  </si>
  <si>
    <t>Water &amp; Sewer</t>
  </si>
  <si>
    <t>Gas</t>
  </si>
  <si>
    <t>Cable</t>
  </si>
  <si>
    <t>Trash/Garbage</t>
  </si>
  <si>
    <t>Electric - Vacant</t>
  </si>
  <si>
    <t>Operating and Maint.</t>
  </si>
  <si>
    <t>In-House R&amp;M</t>
  </si>
  <si>
    <t>Supplies</t>
  </si>
  <si>
    <t>Appliance/Electrical</t>
  </si>
  <si>
    <t>HVAC &amp; Plumbing</t>
  </si>
  <si>
    <t>Rent Concessions</t>
  </si>
  <si>
    <t>Landscaping/Grounds Contract</t>
  </si>
  <si>
    <t>Fire &amp; Safety System</t>
  </si>
  <si>
    <t>Security</t>
  </si>
  <si>
    <t>Pest Control</t>
  </si>
  <si>
    <t>Misc. Contracts</t>
  </si>
  <si>
    <t>Elevator Costs</t>
  </si>
  <si>
    <t>Snow</t>
  </si>
  <si>
    <t>Misc. Operating &amp; Maint.</t>
  </si>
  <si>
    <t>Total Taxes and Insurance Expenses</t>
  </si>
  <si>
    <t>Workmens Comp</t>
  </si>
  <si>
    <t>Health Insurance &amp; Other Benefits</t>
  </si>
  <si>
    <t xml:space="preserve">Payroll Tax </t>
  </si>
  <si>
    <t>Misc Taxes, Licenses,  Etc.</t>
  </si>
  <si>
    <t>Operating &amp; Maint.</t>
  </si>
  <si>
    <t>Total $</t>
  </si>
  <si>
    <t>In-House R&amp;M (per unit)</t>
  </si>
  <si>
    <t>Turnover (assumed cost per move out)</t>
  </si>
  <si>
    <t>Supplies / Unit / Year</t>
  </si>
  <si>
    <t xml:space="preserve">Turnover Supplies / Year </t>
  </si>
  <si>
    <t>Supplies Overage Multiplier</t>
  </si>
  <si>
    <t>RE Taxes</t>
  </si>
  <si>
    <t>Less Discounts</t>
  </si>
  <si>
    <t>Total RE Taxes</t>
  </si>
  <si>
    <t>Prop. Tax Rate (Milage) -&gt;</t>
  </si>
  <si>
    <t>Weeks per Year</t>
  </si>
  <si>
    <t>Employee Work Schedule Expenses</t>
  </si>
  <si>
    <t>60% AMI</t>
  </si>
  <si>
    <t>S8 Voucher</t>
  </si>
  <si>
    <t>Growth Rate</t>
  </si>
  <si>
    <t>Include?</t>
  </si>
  <si>
    <t>Yes</t>
  </si>
  <si>
    <t>No</t>
  </si>
  <si>
    <t>Broader Model General Assumptions</t>
  </si>
  <si>
    <t>Max Current Vouchers</t>
  </si>
  <si>
    <t>Max NET LIHTC</t>
  </si>
  <si>
    <t>Deal Scenario Summary and Stats</t>
  </si>
  <si>
    <t>Total Cost</t>
  </si>
  <si>
    <t>Total Uses</t>
  </si>
  <si>
    <t>Cost Per Unit (Asking Price)</t>
  </si>
  <si>
    <t>Cost Per Unit (Purchase Price)</t>
  </si>
  <si>
    <t>Transaction Assumptions and Statistics</t>
  </si>
  <si>
    <t>Occupied Units</t>
  </si>
  <si>
    <t>Vacant Units</t>
  </si>
  <si>
    <t>Unit Occupancy Statistics</t>
  </si>
  <si>
    <t>Additional Unit Statistics</t>
  </si>
  <si>
    <t>Average Gross Rent</t>
  </si>
  <si>
    <t>Average Effective Rent</t>
  </si>
  <si>
    <t>Cap Rate (Purchase Price)</t>
  </si>
  <si>
    <t>Year 1</t>
  </si>
  <si>
    <t>Year 2</t>
  </si>
  <si>
    <t>Total Operating Expenses</t>
  </si>
  <si>
    <t>Interest Rate</t>
  </si>
  <si>
    <t>Broker Commission</t>
  </si>
  <si>
    <t>GP / LP Split</t>
  </si>
  <si>
    <t>GP Proceeds</t>
  </si>
  <si>
    <t>LP Proceeds</t>
  </si>
  <si>
    <t>Year 3</t>
  </si>
  <si>
    <t>Year 4</t>
  </si>
  <si>
    <t>Year 5</t>
  </si>
  <si>
    <t>Year 0</t>
  </si>
  <si>
    <t>Loan Constant</t>
  </si>
  <si>
    <t>Fully Amort / Yr</t>
  </si>
  <si>
    <t>Interest Only Loan Pmt</t>
  </si>
  <si>
    <t>Principal Portion</t>
  </si>
  <si>
    <t>Loan Term</t>
  </si>
  <si>
    <t>50% AMI</t>
  </si>
  <si>
    <t>Capital Expenditures</t>
  </si>
  <si>
    <t>Other CapEx</t>
  </si>
  <si>
    <t>Capital Reserve</t>
  </si>
  <si>
    <t>Total Capital Expenditures</t>
  </si>
  <si>
    <t>DSCR (CFO)</t>
  </si>
  <si>
    <t>Debt Yield (CFO)</t>
  </si>
  <si>
    <t>NOI Margin</t>
  </si>
  <si>
    <t>DSCR (NOI)</t>
  </si>
  <si>
    <t>Project Cash Flows (Unleveraged IRR):</t>
  </si>
  <si>
    <t>(+) Proceeds from Sale of Property:</t>
  </si>
  <si>
    <t>(-) Selling Costs:</t>
  </si>
  <si>
    <t>(+) Adjusted NOI (Cash Flows to All Investors):</t>
  </si>
  <si>
    <t>(-) Property Acquisition Price:</t>
  </si>
  <si>
    <t>Total Project Cash Flows (Unleveraged IRR):</t>
  </si>
  <si>
    <t>Cash Flow to Equity Investors (Leveraged IRR):</t>
  </si>
  <si>
    <t>(+) Cash Flows to Equity Investors:</t>
  </si>
  <si>
    <t>(-) Debt Principal Repayment Upon Exit:</t>
  </si>
  <si>
    <t>(-) Initial Equity Investment:</t>
  </si>
  <si>
    <t>Total Cash Flows to Equity (Leveraged IRR):</t>
  </si>
  <si>
    <t>Leveraged Internal Rate of Return (IRR):</t>
  </si>
  <si>
    <t>Cash Flow from Operations (Adj. NOI)</t>
  </si>
  <si>
    <t>Unlevered IRR:</t>
  </si>
  <si>
    <t>GP / LP Initial Equity Investment</t>
  </si>
  <si>
    <t>GP Equity Investment</t>
  </si>
  <si>
    <t>LP Equity Investment</t>
  </si>
  <si>
    <t>Unlevered Cash-on-Cash Multiple:</t>
  </si>
  <si>
    <t>Levered Cash-on-Cash Multiple:</t>
  </si>
  <si>
    <t>Stormwater Fees</t>
  </si>
  <si>
    <t>Avg Net Rent</t>
  </si>
  <si>
    <t>Avg Gross Rent</t>
  </si>
  <si>
    <t>Total SF</t>
  </si>
  <si>
    <t>AMI / S8</t>
  </si>
  <si>
    <t>Insurance Increase</t>
  </si>
  <si>
    <t>2x2</t>
  </si>
  <si>
    <t>COVID Late fee (years 1-2)</t>
  </si>
  <si>
    <t>Year 6</t>
  </si>
  <si>
    <t>Year 7</t>
  </si>
  <si>
    <t>Avg. Market Rent</t>
  </si>
  <si>
    <t>Avg. Resident Rent</t>
  </si>
  <si>
    <t>Avg. Subsidy</t>
  </si>
  <si>
    <t xml:space="preserve">Avg. Current Rent </t>
  </si>
  <si>
    <t>Yearly Total</t>
  </si>
  <si>
    <t>Occupied</t>
  </si>
  <si>
    <t>Vacant</t>
  </si>
  <si>
    <t>Unit Statistics</t>
  </si>
  <si>
    <t>AMI / S8 Breakdown</t>
  </si>
  <si>
    <t>Unit Types</t>
  </si>
  <si>
    <t>Avg. SF</t>
  </si>
  <si>
    <t>Avg. Max LITHC</t>
  </si>
  <si>
    <t>Avg. Max FMR</t>
  </si>
  <si>
    <t>Weighted Average</t>
  </si>
  <si>
    <t>Unit Set #</t>
  </si>
  <si>
    <t>---</t>
  </si>
  <si>
    <t>Avg. Utilities</t>
  </si>
  <si>
    <t>Avg. Current Rent</t>
  </si>
  <si>
    <t>Add Rows by Inserting Row Above This Row</t>
  </si>
  <si>
    <t>Net LIHTC</t>
  </si>
  <si>
    <t>Yrly. Gross Income (Net Rent)</t>
  </si>
  <si>
    <t>BAD</t>
  </si>
  <si>
    <t>RES</t>
  </si>
  <si>
    <t>COM</t>
  </si>
  <si>
    <t>MAN</t>
  </si>
  <si>
    <t>ASS</t>
  </si>
  <si>
    <t>PAY</t>
  </si>
  <si>
    <t>MAIT</t>
  </si>
  <si>
    <t>MGMT</t>
  </si>
  <si>
    <t>LEGAL</t>
  </si>
  <si>
    <t>OFF</t>
  </si>
  <si>
    <t>TRAVEL</t>
  </si>
  <si>
    <t>AUD</t>
  </si>
  <si>
    <t>ADV</t>
  </si>
  <si>
    <t>TRAIN</t>
  </si>
  <si>
    <t>BANK</t>
  </si>
  <si>
    <t>BOOK</t>
  </si>
  <si>
    <t>PAYSERV</t>
  </si>
  <si>
    <t>UNIT</t>
  </si>
  <si>
    <t>MISCAD</t>
  </si>
  <si>
    <t>ELEC</t>
  </si>
  <si>
    <t>VAC</t>
  </si>
  <si>
    <t>WS</t>
  </si>
  <si>
    <t>GAS</t>
  </si>
  <si>
    <t>CABLE</t>
  </si>
  <si>
    <t>TRASH</t>
  </si>
  <si>
    <t>RM</t>
  </si>
  <si>
    <t>TURN</t>
  </si>
  <si>
    <t>SUPP</t>
  </si>
  <si>
    <t>APP</t>
  </si>
  <si>
    <t>HP</t>
  </si>
  <si>
    <t>LAND</t>
  </si>
  <si>
    <t>FIRE</t>
  </si>
  <si>
    <t>SEC</t>
  </si>
  <si>
    <t>PEST</t>
  </si>
  <si>
    <t>CON</t>
  </si>
  <si>
    <t>ELEV</t>
  </si>
  <si>
    <t>SNOW</t>
  </si>
  <si>
    <t>MISCOP</t>
  </si>
  <si>
    <t>RETAX</t>
  </si>
  <si>
    <t>INS</t>
  </si>
  <si>
    <t>WORKCOMP</t>
  </si>
  <si>
    <t>HEALTH</t>
  </si>
  <si>
    <t>PTAX</t>
  </si>
  <si>
    <t>MISCTAX</t>
  </si>
  <si>
    <t>Assumptions</t>
  </si>
  <si>
    <t>Labor Increase %</t>
  </si>
  <si>
    <t>Unlevered</t>
  </si>
  <si>
    <t>Levered</t>
  </si>
  <si>
    <t>MOIC</t>
  </si>
  <si>
    <t>IRR</t>
  </si>
  <si>
    <t>1x1</t>
  </si>
  <si>
    <t>Year 1 Cost</t>
  </si>
  <si>
    <t>Cost / Unit</t>
  </si>
  <si>
    <t>Total (Pre-Vacancy)</t>
  </si>
  <si>
    <t>Year 8</t>
  </si>
  <si>
    <t>Year 9</t>
  </si>
  <si>
    <t>Year 10</t>
  </si>
  <si>
    <t>Manager Unit</t>
  </si>
  <si>
    <t>--</t>
  </si>
  <si>
    <t>Cash Flow After Financing (CF to Equity Investors)</t>
  </si>
  <si>
    <t>Scenario 2 (Max Net LIHTC)</t>
  </si>
  <si>
    <t>Transaction Summary</t>
  </si>
  <si>
    <t>Exit Assumptions</t>
  </si>
  <si>
    <t>Cap Rate at Exit</t>
  </si>
  <si>
    <t>Exit Cap Rate Assumption</t>
  </si>
  <si>
    <t>Timeline and Exit Assumptions</t>
  </si>
  <si>
    <t>Real Estate Taxes and Insurance</t>
  </si>
  <si>
    <t>Yr. 1 Cost</t>
  </si>
  <si>
    <t>Loan to Value (w/ addt'l costs)</t>
  </si>
  <si>
    <t>Loan to Value (w/ out addt'l costs)</t>
  </si>
  <si>
    <t>10 Year Hold IRR</t>
  </si>
  <si>
    <t>7 Year Hold IRR</t>
  </si>
  <si>
    <t>5 Year Hold IRR</t>
  </si>
  <si>
    <t>Scenario 1 ( Max Current Vouchers)</t>
  </si>
  <si>
    <t>Scenario 0 (No Change to Asset)</t>
  </si>
  <si>
    <t>CONC</t>
  </si>
  <si>
    <t>T12</t>
  </si>
  <si>
    <t>Interest Expense Debt Service</t>
  </si>
  <si>
    <t>Principal Repayment</t>
  </si>
  <si>
    <t>Interest Only Period</t>
  </si>
  <si>
    <t>Year</t>
  </si>
  <si>
    <t>Ending Debt Balance</t>
  </si>
  <si>
    <t>DSCR Check</t>
  </si>
  <si>
    <t>TTM Occupancy (insert month / year)</t>
  </si>
  <si>
    <t>TTM NOI (insert month / year)</t>
  </si>
  <si>
    <t>[…]</t>
  </si>
  <si>
    <t>Lender</t>
  </si>
  <si>
    <t>Taxes / Title Insurance</t>
  </si>
  <si>
    <t>Gross Income Growth</t>
  </si>
  <si>
    <t>Total Contract Expenses</t>
  </si>
  <si>
    <t>Total Operating and Maint.</t>
  </si>
  <si>
    <t>Total Utility Expenses</t>
  </si>
  <si>
    <t>Total Admin Expenses</t>
  </si>
  <si>
    <t>Total Payroll</t>
  </si>
  <si>
    <t>Total Bad Debt</t>
  </si>
  <si>
    <t>Return Metrics</t>
  </si>
  <si>
    <t>Underwriting Model Scenario 1</t>
  </si>
  <si>
    <t>Underwriting Model Scenario 0</t>
  </si>
  <si>
    <t>Underwriting Model Scenario 2</t>
  </si>
  <si>
    <t>Return Summary (Gross)</t>
  </si>
  <si>
    <t>Scenario 1</t>
  </si>
  <si>
    <t>Profit ($m)</t>
  </si>
  <si>
    <t>Scenario 2</t>
  </si>
  <si>
    <t>Operating Expenses Cost Per Unit</t>
  </si>
  <si>
    <t>&gt;1.25x? --&gt;</t>
  </si>
  <si>
    <t>t</t>
  </si>
  <si>
    <t>Equity Multiple</t>
  </si>
  <si>
    <t>Profit</t>
  </si>
  <si>
    <t>Tier 1</t>
  </si>
  <si>
    <t>Beginning Balance</t>
  </si>
  <si>
    <t>Ending Balance</t>
  </si>
  <si>
    <t>Granite Park</t>
  </si>
  <si>
    <t>Partnership Assumptions / Return Summary</t>
  </si>
  <si>
    <t>Partnership Assumptions</t>
  </si>
  <si>
    <t>Hurdle</t>
  </si>
  <si>
    <t>Cash Flow Distribution</t>
  </si>
  <si>
    <t>Quarterly</t>
  </si>
  <si>
    <t>Preferred Return</t>
  </si>
  <si>
    <t>Promote</t>
  </si>
  <si>
    <t>Tier I</t>
  </si>
  <si>
    <t>Pari-Passu</t>
  </si>
  <si>
    <t>Tier II</t>
  </si>
  <si>
    <t>Tier III</t>
  </si>
  <si>
    <t>Tier IV</t>
  </si>
  <si>
    <t>Thereafter</t>
  </si>
  <si>
    <t>Return Summary</t>
  </si>
  <si>
    <t>Deal-Level</t>
  </si>
  <si>
    <t>% of Profit</t>
  </si>
  <si>
    <t>N/A</t>
  </si>
  <si>
    <t>$ Value of Promote</t>
  </si>
  <si>
    <t>x</t>
  </si>
  <si>
    <t>Waterfall</t>
  </si>
  <si>
    <t>Sale Month</t>
  </si>
  <si>
    <t>Analysis Year</t>
  </si>
  <si>
    <t>Analysis Month</t>
  </si>
  <si>
    <t>Date</t>
  </si>
  <si>
    <t>Unlevered Cash Flow Pre-Fees</t>
  </si>
  <si>
    <t>Sale Proceeds</t>
  </si>
  <si>
    <t>Unlevered Cash Flows</t>
  </si>
  <si>
    <t>Unlevered Deal-Level Returns</t>
  </si>
  <si>
    <t>Levered Cash Flow</t>
  </si>
  <si>
    <t>Levered Deal-Level Returns</t>
  </si>
  <si>
    <t>Equity Contribution Summary</t>
  </si>
  <si>
    <t>Member</t>
  </si>
  <si>
    <t>Waterfall Summary</t>
  </si>
  <si>
    <t>CF Distribution</t>
  </si>
  <si>
    <t>Compound Interval</t>
  </si>
  <si>
    <t>Tier</t>
  </si>
  <si>
    <t>Pref. Return</t>
  </si>
  <si>
    <t>Tier V</t>
  </si>
  <si>
    <t>Profit %</t>
  </si>
  <si>
    <t>Tier II Promote</t>
  </si>
  <si>
    <t>Tier III Promote</t>
  </si>
  <si>
    <t>Tier IV Promote</t>
  </si>
  <si>
    <t xml:space="preserve">Tier V Promote </t>
  </si>
  <si>
    <t>Positive Cash Flow</t>
  </si>
  <si>
    <t>Tier I IRR Hurdle</t>
  </si>
  <si>
    <t>Compound?</t>
  </si>
  <si>
    <t>Injections</t>
  </si>
  <si>
    <t>Investor Accruals</t>
  </si>
  <si>
    <t>Tier I - Levered Multiple Hurdle</t>
  </si>
  <si>
    <t>Investor Accrual</t>
  </si>
  <si>
    <t xml:space="preserve">Amount Required to Satisfy greater of </t>
  </si>
  <si>
    <t>Splits</t>
  </si>
  <si>
    <t>Total Splits</t>
  </si>
  <si>
    <t>Remaining Cash to Distribute</t>
  </si>
  <si>
    <t>Tier II - IRR Hurdle</t>
  </si>
  <si>
    <t>Tier II - Levered Multiple Hurdle</t>
  </si>
  <si>
    <t>Tier III - IRR Hurdle</t>
  </si>
  <si>
    <t>Tier III - Levered Multiple Hurdle</t>
  </si>
  <si>
    <t>Percentage</t>
  </si>
  <si>
    <t>Cash Flow Waterfall</t>
  </si>
  <si>
    <t>Closing</t>
  </si>
  <si>
    <t>Check</t>
  </si>
  <si>
    <t>TBD</t>
  </si>
  <si>
    <t>2x1.5</t>
  </si>
  <si>
    <t>Market</t>
  </si>
  <si>
    <t>40% AMI</t>
  </si>
  <si>
    <t>2x2 (TH)</t>
  </si>
  <si>
    <t xml:space="preserve">2x1.5-2x2 </t>
  </si>
  <si>
    <t>3x2 (TH)</t>
  </si>
  <si>
    <t>CoStar Rent</t>
  </si>
  <si>
    <t xml:space="preserve">Max Current Vouchers + NET LIHTC </t>
  </si>
  <si>
    <t>Underwriting Model Scenario 3</t>
  </si>
  <si>
    <t>Scenario 3 ( Max Current Vouchers + NET LIHTC)</t>
  </si>
  <si>
    <t>Returns Summary</t>
  </si>
  <si>
    <t>Scenario 3</t>
  </si>
  <si>
    <t>Less: Taxable Value</t>
  </si>
  <si>
    <t xml:space="preserve">Market Value </t>
  </si>
  <si>
    <t>Regional Manager Salary</t>
  </si>
  <si>
    <t>Turnover</t>
  </si>
  <si>
    <t>Maintenance Assistant Salary</t>
  </si>
  <si>
    <t>Avg. Max LIHTC</t>
  </si>
  <si>
    <t>GPI</t>
  </si>
  <si>
    <t>VC</t>
  </si>
  <si>
    <t>OI</t>
  </si>
  <si>
    <t>REG</t>
  </si>
  <si>
    <t>LP</t>
  </si>
  <si>
    <t xml:space="preserve">Avg. Utilities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</si>
</sst>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5" formatCode="&quot;$&quot;#,##0_);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* &quot;$&quot;\ #,##0_);* &quot;$&quot;\ \(#,##0\);* &quot;&quot;&quot;$&quot;\ \ \-&quot;&quot;?_);_(@_)"/>
    <numFmt numFmtId="165" formatCode="0.0%"/>
    <numFmt numFmtId="166" formatCode="&quot;$&quot;#,###\ &quot;Per Unit&quot;"/>
    <numFmt numFmtId="167" formatCode="* #,##0_);* &quot;$&quot;\ \(#,##0\);* &quot;&quot;&quot;$&quot;\ \ \-&quot;&quot;?_);_(@_)"/>
    <numFmt numFmtId="168" formatCode="* #,##0_);* \(#,##0\);* &quot;&quot;\-&quot;&quot;?_);_(@_)"/>
    <numFmt numFmtId="169" formatCode="* #,##0_);* &quot;$&quot;\ \(#,##0\);* &quot;&quot;\-&quot;&quot;?_);_(@_)"/>
    <numFmt numFmtId="170" formatCode="#,##0.0_);\(#,##0.0\)"/>
    <numFmt numFmtId="171" formatCode="##\ &quot;Months&quot;"/>
    <numFmt numFmtId="172" formatCode="###\ &quot;Sq. Ft. / Unit&quot;"/>
    <numFmt numFmtId="173" formatCode="##,###\ &quot;Sq. Ft.&quot;"/>
    <numFmt numFmtId="174" formatCode="_(&quot;$&quot;* #,##0_);_(&quot;$&quot;* \(#,##0\);_(&quot;$&quot;* &quot;-&quot;??_);_(@_)"/>
    <numFmt numFmtId="175" formatCode="* &quot;$&quot;\ #,##0.0_);* &quot;$&quot;\ \(#,##0.0\);* &quot;&quot;&quot;$&quot;\ \ \-&quot;&quot;?_);_(@_)"/>
    <numFmt numFmtId="176" formatCode="##\ &quot;Years&quot;"/>
    <numFmt numFmtId="177" formatCode="&quot;Year&quot;\ ##"/>
    <numFmt numFmtId="178" formatCode="##.0&quot;x&quot;"/>
    <numFmt numFmtId="179" formatCode="0.0&quot;x&quot;"/>
    <numFmt numFmtId="180" formatCode="&quot; $&quot;#,##0.00\ ;&quot; $(&quot;#,##0.00\);&quot; $-&quot;#\ ;@\ "/>
    <numFmt numFmtId="181" formatCode="&quot; $&quot;#,##0\ ;&quot; $(&quot;#,##0\);&quot; $-&quot;#\ ;@\ "/>
    <numFmt numFmtId="182" formatCode="&quot;$&quot;#,##0.00"/>
    <numFmt numFmtId="183" formatCode="&quot;$&quot;#,##0"/>
    <numFmt numFmtId="184" formatCode="##\ &quot;Hrs / Wk&quot;"/>
    <numFmt numFmtId="185" formatCode="##\ &quot;Wks / Yr&quot;"/>
    <numFmt numFmtId="186" formatCode="##.00&quot;x&quot;"/>
    <numFmt numFmtId="187" formatCode="#.#\x"/>
    <numFmt numFmtId="188" formatCode="&quot;$&quot;#,##0.0"/>
    <numFmt numFmtId="189" formatCode="0.00&quot;x&quot;"/>
    <numFmt numFmtId="190" formatCode="&quot;Compound Interval:&quot;\ "/>
    <numFmt numFmtId="191" formatCode="0.0%;;\-"/>
    <numFmt numFmtId="192" formatCode="0.00&quot;x&quot;;;&quot;n/a&quot;"/>
    <numFmt numFmtId="193" formatCode=";;;"/>
    <numFmt numFmtId="194" formatCode="&quot;$&quot;#,##0_);\(&quot;$&quot;#,##0\);&quot;$&quot;\-"/>
    <numFmt numFmtId="195" formatCode="&quot;Month&quot;\ General"/>
    <numFmt numFmtId="196" formatCode="&quot;Year&quot;\ General"/>
    <numFmt numFmtId="197" formatCode="&quot;$&quot;#,##0_);\(&quot;$&quot;#,##0\);\-"/>
    <numFmt numFmtId="198" formatCode="&quot;$&quot;#,##0;\(&quot;$&quot;#,##0\);\-"/>
    <numFmt numFmtId="199" formatCode="[=0]\ &quot;Unlevered Waterfall&quot;;[=1]\ &quot;Levered Waterfall&quot;"/>
    <numFmt numFmtId="200" formatCode="0.00&quot;x&quot;;;"/>
    <numFmt numFmtId="201" formatCode="0.0&quot;x&quot;;;"/>
    <numFmt numFmtId="202" formatCode="#,##0_);\(#,##0\);\-"/>
    <numFmt numFmtId="203" formatCode="[=0]\ &quot;Unl.&quot;;[=1]\ \ &quot;Lev.&quot;"/>
    <numFmt numFmtId="204" formatCode="0.00\x"/>
    <numFmt numFmtId="205" formatCode="&quot;$&quot;#,##0_%_);\(&quot;$&quot;#,##0\)_%;&quot;$&quot;#,##0_%_);@_%_)"/>
    <numFmt numFmtId="206" formatCode="[=0]&quot;No&quot;;[=1]&quot;Yes&quot;"/>
    <numFmt numFmtId="207" formatCode="0%\ &quot;Accrual Distribution&quot;"/>
    <numFmt numFmtId="208" formatCode="0.00&quot;x&quot;;;&quot;N/A&quot;"/>
    <numFmt numFmtId="209" formatCode="0.0%;\(0.0%\);&quot;Pari Passu&quot;"/>
    <numFmt numFmtId="210" formatCode="0.0\x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00274C"/>
      <name val="Calibri"/>
      <family val="2"/>
      <scheme val="minor"/>
    </font>
    <font>
      <b/>
      <sz val="22"/>
      <color theme="1"/>
      <name val="Arial"/>
      <family val="2"/>
    </font>
    <font>
      <sz val="10"/>
      <color theme="1"/>
      <name val="Arial"/>
      <family val="2"/>
    </font>
    <font>
      <b/>
      <i/>
      <sz val="22"/>
      <color rgb="FF00274C"/>
      <name val="Calibri"/>
      <family val="2"/>
      <scheme val="minor"/>
    </font>
    <font>
      <b/>
      <i/>
      <sz val="22"/>
      <color theme="1"/>
      <name val="Arial"/>
      <family val="2"/>
    </font>
    <font>
      <sz val="10"/>
      <color rgb="FF00274C"/>
      <name val="Calibri"/>
      <family val="2"/>
      <scheme val="minor"/>
    </font>
    <font>
      <b/>
      <i/>
      <sz val="18"/>
      <color rgb="FF00274C"/>
      <name val="Calibri"/>
      <family val="2"/>
      <scheme val="minor"/>
    </font>
    <font>
      <b/>
      <i/>
      <sz val="18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274C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color rgb="FF008000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0"/>
      <color rgb="FF0000FF"/>
      <name val="Calibri"/>
      <family val="2"/>
    </font>
    <font>
      <b/>
      <i/>
      <sz val="10"/>
      <color theme="1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rgb="FF00274C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1"/>
      <color theme="1"/>
      <name val="Arial Narrow"/>
      <family val="2"/>
    </font>
    <font>
      <b/>
      <sz val="22"/>
      <color rgb="FF20396D"/>
      <name val="Arial"/>
      <family val="2"/>
    </font>
    <font>
      <b/>
      <sz val="18"/>
      <color rgb="FF20396D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6"/>
      <color rgb="FF20396D"/>
      <name val="Arial"/>
      <family val="2"/>
    </font>
    <font>
      <b/>
      <i/>
      <sz val="12"/>
      <color rgb="FF20396D"/>
      <name val="Arial Narrow"/>
      <family val="2"/>
    </font>
    <font>
      <b/>
      <i/>
      <sz val="16"/>
      <color rgb="FF20396D"/>
      <name val="Arial Narrow"/>
      <family val="2"/>
    </font>
    <font>
      <b/>
      <sz val="10"/>
      <color rgb="FF20396D"/>
      <name val="Arial Narrow"/>
      <family val="2"/>
    </font>
    <font>
      <b/>
      <sz val="10"/>
      <color rgb="FF20396D"/>
      <name val="Arial"/>
      <family val="2"/>
    </font>
    <font>
      <b/>
      <sz val="11"/>
      <color theme="0"/>
      <name val="Arial Narrow"/>
      <family val="2"/>
    </font>
    <font>
      <sz val="11"/>
      <color theme="0"/>
      <name val="Arial Narrow"/>
      <family val="2"/>
    </font>
    <font>
      <b/>
      <u val="singleAccounting"/>
      <sz val="11"/>
      <color rgb="FF20396D"/>
      <name val="Arial Narrow"/>
      <family val="2"/>
    </font>
    <font>
      <i/>
      <sz val="11"/>
      <color rgb="FF0000FF"/>
      <name val="Arial Narrow"/>
      <family val="2"/>
    </font>
    <font>
      <b/>
      <sz val="11"/>
      <color rgb="FF20396D"/>
      <name val="Arial Narrow"/>
      <family val="2"/>
    </font>
    <font>
      <sz val="11"/>
      <color rgb="FF0000FF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10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b/>
      <u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  <font>
      <b/>
      <u/>
      <sz val="10"/>
      <color theme="1"/>
      <name val="Arial Narrow"/>
      <family val="2"/>
    </font>
    <font>
      <i/>
      <sz val="10"/>
      <name val="Arial Narrow"/>
      <family val="2"/>
    </font>
    <font>
      <sz val="10"/>
      <color indexed="12"/>
      <name val="Arial Narrow"/>
      <family val="2"/>
    </font>
    <font>
      <i/>
      <sz val="11"/>
      <color theme="0"/>
      <name val="Arial Narrow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274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Gray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20396D"/>
      </top>
      <bottom/>
      <diagonal/>
    </border>
    <border>
      <left/>
      <right/>
      <top/>
      <bottom style="thick">
        <color rgb="FF20396D"/>
      </bottom>
      <diagonal/>
    </border>
    <border>
      <left/>
      <right/>
      <top/>
      <bottom style="medium">
        <color rgb="FF20396D"/>
      </bottom>
      <diagonal/>
    </border>
    <border>
      <left style="thick">
        <color theme="0"/>
      </left>
      <right style="thick">
        <color theme="0"/>
      </right>
      <top/>
      <bottom style="medium">
        <color rgb="FF20396D"/>
      </bottom>
      <diagonal/>
    </border>
    <border>
      <left/>
      <right style="thin">
        <color indexed="64"/>
      </right>
      <top/>
      <bottom style="medium">
        <color rgb="FF20396D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4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33" fillId="0" borderId="18" applyNumberFormat="0" applyFill="0" applyAlignment="0" applyProtection="0"/>
    <xf numFmtId="0" fontId="34" fillId="0" borderId="0"/>
    <xf numFmtId="9" fontId="24" fillId="0" borderId="0"/>
    <xf numFmtId="180" fontId="24" fillId="0" borderId="0"/>
    <xf numFmtId="43" fontId="34" fillId="0" borderId="0" applyFill="0" applyBorder="0" applyAlignment="0" applyProtection="0"/>
    <xf numFmtId="0" fontId="35" fillId="8" borderId="0" applyNumberFormat="0" applyBorder="0" applyAlignment="0" applyProtection="0"/>
    <xf numFmtId="0" fontId="1" fillId="0" borderId="0"/>
    <xf numFmtId="0" fontId="43" fillId="0" borderId="0" applyNumberFormat="0"/>
    <xf numFmtId="0" fontId="4" fillId="0" borderId="0"/>
    <xf numFmtId="0" fontId="47" fillId="0" borderId="0" applyNumberFormat="0"/>
    <xf numFmtId="0" fontId="51" fillId="0" borderId="28" applyFill="0" applyProtection="0">
      <alignment horizontal="center"/>
    </xf>
    <xf numFmtId="0" fontId="1" fillId="0" borderId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4" fillId="0" borderId="0" applyFont="0" applyFill="0" applyBorder="0" applyAlignment="0" applyProtection="0"/>
  </cellStyleXfs>
  <cellXfs count="57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4" fontId="9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Continuous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7" fillId="0" borderId="0" xfId="0" applyFont="1"/>
    <xf numFmtId="0" fontId="18" fillId="3" borderId="0" xfId="0" applyFont="1" applyFill="1"/>
    <xf numFmtId="0" fontId="19" fillId="0" borderId="0" xfId="0" applyFont="1" applyAlignment="1">
      <alignment horizontal="right"/>
    </xf>
    <xf numFmtId="14" fontId="17" fillId="0" borderId="0" xfId="0" applyNumberFormat="1" applyFont="1"/>
    <xf numFmtId="164" fontId="17" fillId="0" borderId="0" xfId="0" applyNumberFormat="1" applyFont="1"/>
    <xf numFmtId="0" fontId="19" fillId="0" borderId="0" xfId="0" applyFont="1"/>
    <xf numFmtId="164" fontId="19" fillId="0" borderId="0" xfId="0" applyNumberFormat="1" applyFont="1"/>
    <xf numFmtId="10" fontId="19" fillId="0" borderId="0" xfId="0" applyNumberFormat="1" applyFont="1"/>
    <xf numFmtId="0" fontId="20" fillId="0" borderId="3" xfId="0" applyFont="1" applyBorder="1"/>
    <xf numFmtId="0" fontId="20" fillId="0" borderId="3" xfId="0" applyFont="1" applyBorder="1" applyAlignment="1">
      <alignment horizontal="center"/>
    </xf>
    <xf numFmtId="41" fontId="17" fillId="0" borderId="0" xfId="0" applyNumberFormat="1" applyFont="1"/>
    <xf numFmtId="165" fontId="17" fillId="0" borderId="0" xfId="0" applyNumberFormat="1" applyFont="1"/>
    <xf numFmtId="0" fontId="20" fillId="4" borderId="4" xfId="0" applyFont="1" applyFill="1" applyBorder="1"/>
    <xf numFmtId="42" fontId="20" fillId="4" borderId="4" xfId="0" applyNumberFormat="1" applyFont="1" applyFill="1" applyBorder="1"/>
    <xf numFmtId="165" fontId="20" fillId="4" borderId="4" xfId="0" applyNumberFormat="1" applyFont="1" applyFill="1" applyBorder="1"/>
    <xf numFmtId="0" fontId="20" fillId="0" borderId="0" xfId="0" applyFont="1"/>
    <xf numFmtId="164" fontId="21" fillId="0" borderId="0" xfId="0" applyNumberFormat="1" applyFont="1"/>
    <xf numFmtId="0" fontId="18" fillId="3" borderId="0" xfId="0" applyFont="1" applyFill="1" applyAlignment="1">
      <alignment vertical="center"/>
    </xf>
    <xf numFmtId="0" fontId="17" fillId="5" borderId="0" xfId="0" applyFont="1" applyFill="1"/>
    <xf numFmtId="0" fontId="22" fillId="3" borderId="0" xfId="0" applyFont="1" applyFill="1"/>
    <xf numFmtId="0" fontId="20" fillId="0" borderId="5" xfId="0" applyFont="1" applyBorder="1"/>
    <xf numFmtId="164" fontId="20" fillId="0" borderId="5" xfId="0" applyNumberFormat="1" applyFont="1" applyBorder="1"/>
    <xf numFmtId="3" fontId="17" fillId="0" borderId="0" xfId="0" applyNumberFormat="1" applyFont="1"/>
    <xf numFmtId="0" fontId="18" fillId="6" borderId="0" xfId="0" applyFont="1" applyFill="1"/>
    <xf numFmtId="0" fontId="18" fillId="3" borderId="0" xfId="0" applyFont="1" applyFill="1" applyAlignment="1">
      <alignment horizontal="centerContinuous"/>
    </xf>
    <xf numFmtId="0" fontId="17" fillId="0" borderId="5" xfId="0" applyFont="1" applyBorder="1"/>
    <xf numFmtId="0" fontId="22" fillId="0" borderId="0" xfId="0" applyFont="1"/>
    <xf numFmtId="164" fontId="25" fillId="0" borderId="0" xfId="0" applyNumberFormat="1" applyFont="1"/>
    <xf numFmtId="167" fontId="21" fillId="0" borderId="0" xfId="0" applyNumberFormat="1" applyFont="1"/>
    <xf numFmtId="165" fontId="26" fillId="0" borderId="0" xfId="0" applyNumberFormat="1" applyFont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right"/>
    </xf>
    <xf numFmtId="164" fontId="17" fillId="0" borderId="6" xfId="0" applyNumberFormat="1" applyFont="1" applyBorder="1"/>
    <xf numFmtId="10" fontId="21" fillId="0" borderId="0" xfId="0" applyNumberFormat="1" applyFont="1"/>
    <xf numFmtId="0" fontId="27" fillId="0" borderId="0" xfId="0" applyFont="1" applyAlignment="1">
      <alignment horizontal="left" indent="1"/>
    </xf>
    <xf numFmtId="165" fontId="19" fillId="4" borderId="1" xfId="1" applyNumberFormat="1" applyFont="1" applyFill="1" applyBorder="1"/>
    <xf numFmtId="166" fontId="19" fillId="4" borderId="1" xfId="2" applyNumberFormat="1" applyFont="1" applyFill="1"/>
    <xf numFmtId="164" fontId="19" fillId="4" borderId="1" xfId="2" applyNumberFormat="1" applyFont="1" applyFill="1"/>
    <xf numFmtId="0" fontId="30" fillId="4" borderId="1" xfId="2" applyFont="1" applyFill="1" applyAlignment="1">
      <alignment horizontal="center"/>
    </xf>
    <xf numFmtId="164" fontId="29" fillId="4" borderId="1" xfId="2" applyNumberFormat="1" applyFont="1" applyFill="1"/>
    <xf numFmtId="170" fontId="29" fillId="4" borderId="1" xfId="2" applyNumberFormat="1" applyFont="1" applyFill="1" applyAlignment="1">
      <alignment horizontal="right"/>
    </xf>
    <xf numFmtId="37" fontId="19" fillId="4" borderId="1" xfId="2" applyNumberFormat="1" applyFont="1" applyFill="1" applyAlignment="1">
      <alignment horizontal="center"/>
    </xf>
    <xf numFmtId="164" fontId="27" fillId="0" borderId="0" xfId="0" applyNumberFormat="1" applyFont="1"/>
    <xf numFmtId="171" fontId="19" fillId="4" borderId="1" xfId="2" applyNumberFormat="1" applyFont="1" applyFill="1"/>
    <xf numFmtId="164" fontId="21" fillId="0" borderId="0" xfId="2" applyNumberFormat="1" applyFont="1" applyFill="1" applyBorder="1"/>
    <xf numFmtId="164" fontId="21" fillId="0" borderId="14" xfId="2" applyNumberFormat="1" applyFont="1" applyFill="1" applyBorder="1"/>
    <xf numFmtId="164" fontId="21" fillId="0" borderId="15" xfId="2" applyNumberFormat="1" applyFont="1" applyFill="1" applyBorder="1"/>
    <xf numFmtId="172" fontId="21" fillId="0" borderId="0" xfId="2" applyNumberFormat="1" applyFont="1" applyFill="1" applyBorder="1"/>
    <xf numFmtId="9" fontId="31" fillId="0" borderId="5" xfId="1" applyFont="1" applyBorder="1"/>
    <xf numFmtId="9" fontId="27" fillId="0" borderId="0" xfId="0" applyNumberFormat="1" applyFont="1"/>
    <xf numFmtId="1" fontId="17" fillId="0" borderId="0" xfId="0" applyNumberFormat="1" applyFont="1"/>
    <xf numFmtId="1" fontId="20" fillId="0" borderId="5" xfId="0" applyNumberFormat="1" applyFont="1" applyBorder="1"/>
    <xf numFmtId="165" fontId="27" fillId="0" borderId="0" xfId="1" applyNumberFormat="1" applyFont="1"/>
    <xf numFmtId="164" fontId="20" fillId="0" borderId="0" xfId="0" applyNumberFormat="1" applyFont="1"/>
    <xf numFmtId="0" fontId="17" fillId="4" borderId="7" xfId="0" applyFont="1" applyFill="1" applyBorder="1"/>
    <xf numFmtId="0" fontId="17" fillId="4" borderId="5" xfId="0" applyFont="1" applyFill="1" applyBorder="1"/>
    <xf numFmtId="0" fontId="17" fillId="4" borderId="9" xfId="0" applyFont="1" applyFill="1" applyBorder="1"/>
    <xf numFmtId="0" fontId="17" fillId="4" borderId="0" xfId="0" applyFont="1" applyFill="1"/>
    <xf numFmtId="165" fontId="17" fillId="4" borderId="0" xfId="1" applyNumberFormat="1" applyFont="1" applyFill="1" applyBorder="1"/>
    <xf numFmtId="165" fontId="17" fillId="4" borderId="10" xfId="1" applyNumberFormat="1" applyFont="1" applyFill="1" applyBorder="1"/>
    <xf numFmtId="0" fontId="17" fillId="4" borderId="10" xfId="0" applyFont="1" applyFill="1" applyBorder="1"/>
    <xf numFmtId="0" fontId="17" fillId="4" borderId="16" xfId="0" applyFont="1" applyFill="1" applyBorder="1"/>
    <xf numFmtId="0" fontId="17" fillId="4" borderId="6" xfId="0" applyFont="1" applyFill="1" applyBorder="1"/>
    <xf numFmtId="5" fontId="17" fillId="4" borderId="0" xfId="0" applyNumberFormat="1" applyFont="1" applyFill="1"/>
    <xf numFmtId="0" fontId="20" fillId="4" borderId="9" xfId="0" applyFont="1" applyFill="1" applyBorder="1"/>
    <xf numFmtId="0" fontId="20" fillId="4" borderId="0" xfId="0" applyFont="1" applyFill="1"/>
    <xf numFmtId="165" fontId="20" fillId="4" borderId="0" xfId="1" applyNumberFormat="1" applyFont="1" applyFill="1" applyBorder="1"/>
    <xf numFmtId="165" fontId="20" fillId="4" borderId="10" xfId="1" applyNumberFormat="1" applyFont="1" applyFill="1" applyBorder="1"/>
    <xf numFmtId="5" fontId="17" fillId="4" borderId="10" xfId="0" applyNumberFormat="1" applyFont="1" applyFill="1" applyBorder="1"/>
    <xf numFmtId="165" fontId="17" fillId="4" borderId="6" xfId="1" applyNumberFormat="1" applyFont="1" applyFill="1" applyBorder="1"/>
    <xf numFmtId="165" fontId="17" fillId="4" borderId="17" xfId="1" applyNumberFormat="1" applyFont="1" applyFill="1" applyBorder="1"/>
    <xf numFmtId="9" fontId="26" fillId="4" borderId="0" xfId="1" applyFont="1" applyFill="1" applyBorder="1"/>
    <xf numFmtId="164" fontId="31" fillId="0" borderId="0" xfId="0" applyNumberFormat="1" applyFont="1"/>
    <xf numFmtId="164" fontId="23" fillId="0" borderId="0" xfId="2" applyNumberFormat="1" applyFont="1" applyFill="1" applyBorder="1"/>
    <xf numFmtId="175" fontId="19" fillId="4" borderId="1" xfId="2" applyNumberFormat="1" applyFont="1" applyFill="1"/>
    <xf numFmtId="42" fontId="20" fillId="0" borderId="5" xfId="0" applyNumberFormat="1" applyFont="1" applyBorder="1"/>
    <xf numFmtId="0" fontId="20" fillId="0" borderId="4" xfId="0" applyFont="1" applyBorder="1"/>
    <xf numFmtId="42" fontId="20" fillId="0" borderId="4" xfId="0" applyNumberFormat="1" applyFont="1" applyBorder="1"/>
    <xf numFmtId="0" fontId="20" fillId="4" borderId="5" xfId="0" applyFont="1" applyFill="1" applyBorder="1"/>
    <xf numFmtId="0" fontId="20" fillId="4" borderId="6" xfId="0" applyFont="1" applyFill="1" applyBorder="1"/>
    <xf numFmtId="164" fontId="21" fillId="4" borderId="1" xfId="2" applyNumberFormat="1" applyFont="1" applyFill="1"/>
    <xf numFmtId="176" fontId="19" fillId="4" borderId="1" xfId="2" applyNumberFormat="1" applyFont="1" applyFill="1"/>
    <xf numFmtId="165" fontId="28" fillId="4" borderId="1" xfId="1" applyNumberFormat="1" applyFont="1" applyFill="1" applyBorder="1"/>
    <xf numFmtId="177" fontId="22" fillId="6" borderId="0" xfId="0" applyNumberFormat="1" applyFont="1" applyFill="1" applyAlignment="1">
      <alignment horizontal="center"/>
    </xf>
    <xf numFmtId="177" fontId="22" fillId="3" borderId="0" xfId="0" applyNumberFormat="1" applyFont="1" applyFill="1" applyAlignment="1">
      <alignment horizontal="center"/>
    </xf>
    <xf numFmtId="177" fontId="22" fillId="3" borderId="0" xfId="0" applyNumberFormat="1" applyFont="1" applyFill="1" applyAlignment="1">
      <alignment horizontal="centerContinuous"/>
    </xf>
    <xf numFmtId="42" fontId="20" fillId="0" borderId="0" xfId="0" applyNumberFormat="1" applyFont="1"/>
    <xf numFmtId="42" fontId="17" fillId="0" borderId="0" xfId="0" applyNumberFormat="1" applyFont="1"/>
    <xf numFmtId="178" fontId="17" fillId="4" borderId="5" xfId="0" applyNumberFormat="1" applyFont="1" applyFill="1" applyBorder="1"/>
    <xf numFmtId="178" fontId="17" fillId="4" borderId="8" xfId="0" applyNumberFormat="1" applyFont="1" applyFill="1" applyBorder="1"/>
    <xf numFmtId="41" fontId="25" fillId="0" borderId="0" xfId="0" applyNumberFormat="1" applyFont="1"/>
    <xf numFmtId="0" fontId="27" fillId="0" borderId="0" xfId="0" applyFont="1"/>
    <xf numFmtId="165" fontId="27" fillId="0" borderId="0" xfId="1" applyNumberFormat="1" applyFont="1" applyBorder="1"/>
    <xf numFmtId="168" fontId="17" fillId="7" borderId="0" xfId="0" applyNumberFormat="1" applyFont="1" applyFill="1"/>
    <xf numFmtId="178" fontId="17" fillId="4" borderId="0" xfId="0" applyNumberFormat="1" applyFont="1" applyFill="1"/>
    <xf numFmtId="178" fontId="17" fillId="4" borderId="10" xfId="0" applyNumberFormat="1" applyFont="1" applyFill="1" applyBorder="1"/>
    <xf numFmtId="0" fontId="18" fillId="0" borderId="0" xfId="0" applyFont="1"/>
    <xf numFmtId="177" fontId="22" fillId="0" borderId="0" xfId="0" applyNumberFormat="1" applyFont="1" applyAlignment="1">
      <alignment horizontal="center"/>
    </xf>
    <xf numFmtId="42" fontId="21" fillId="0" borderId="0" xfId="0" applyNumberFormat="1" applyFont="1"/>
    <xf numFmtId="41" fontId="21" fillId="0" borderId="0" xfId="0" applyNumberFormat="1" applyFont="1"/>
    <xf numFmtId="0" fontId="20" fillId="4" borderId="7" xfId="0" applyFont="1" applyFill="1" applyBorder="1"/>
    <xf numFmtId="9" fontId="20" fillId="4" borderId="8" xfId="0" applyNumberFormat="1" applyFont="1" applyFill="1" applyBorder="1"/>
    <xf numFmtId="0" fontId="20" fillId="4" borderId="16" xfId="0" applyFont="1" applyFill="1" applyBorder="1"/>
    <xf numFmtId="179" fontId="20" fillId="4" borderId="17" xfId="0" applyNumberFormat="1" applyFont="1" applyFill="1" applyBorder="1"/>
    <xf numFmtId="173" fontId="25" fillId="0" borderId="0" xfId="2" applyNumberFormat="1" applyFont="1" applyFill="1" applyBorder="1"/>
    <xf numFmtId="165" fontId="31" fillId="0" borderId="0" xfId="1" applyNumberFormat="1" applyFont="1"/>
    <xf numFmtId="10" fontId="21" fillId="0" borderId="15" xfId="1" applyNumberFormat="1" applyFont="1" applyFill="1" applyBorder="1"/>
    <xf numFmtId="0" fontId="21" fillId="0" borderId="0" xfId="6" applyFont="1" applyAlignment="1">
      <alignment horizontal="center"/>
    </xf>
    <xf numFmtId="0" fontId="21" fillId="0" borderId="0" xfId="9" applyNumberFormat="1" applyFont="1" applyAlignment="1">
      <alignment horizontal="center"/>
    </xf>
    <xf numFmtId="0" fontId="21" fillId="0" borderId="5" xfId="6" applyFont="1" applyBorder="1" applyAlignment="1">
      <alignment horizontal="center"/>
    </xf>
    <xf numFmtId="183" fontId="20" fillId="0" borderId="0" xfId="5" applyNumberFormat="1" applyFont="1" applyFill="1" applyBorder="1" applyAlignment="1">
      <alignment horizontal="center"/>
    </xf>
    <xf numFmtId="182" fontId="36" fillId="0" borderId="0" xfId="4" applyNumberFormat="1" applyFont="1" applyAlignment="1">
      <alignment horizontal="center"/>
    </xf>
    <xf numFmtId="182" fontId="21" fillId="0" borderId="0" xfId="6" applyNumberFormat="1" applyFont="1" applyAlignment="1">
      <alignment horizontal="center"/>
    </xf>
    <xf numFmtId="0" fontId="21" fillId="0" borderId="9" xfId="9" applyNumberFormat="1" applyFont="1" applyBorder="1" applyAlignment="1">
      <alignment horizontal="center"/>
    </xf>
    <xf numFmtId="165" fontId="21" fillId="0" borderId="10" xfId="9" applyNumberFormat="1" applyFont="1" applyBorder="1" applyAlignment="1">
      <alignment horizontal="center"/>
    </xf>
    <xf numFmtId="1" fontId="23" fillId="0" borderId="12" xfId="6" applyNumberFormat="1" applyFont="1" applyBorder="1" applyAlignment="1">
      <alignment horizontal="center"/>
    </xf>
    <xf numFmtId="165" fontId="23" fillId="0" borderId="13" xfId="9" applyNumberFormat="1" applyFont="1" applyFill="1" applyBorder="1" applyAlignment="1">
      <alignment horizontal="center"/>
    </xf>
    <xf numFmtId="0" fontId="23" fillId="0" borderId="11" xfId="6" applyFont="1" applyBorder="1" applyAlignment="1">
      <alignment horizontal="center"/>
    </xf>
    <xf numFmtId="0" fontId="23" fillId="0" borderId="0" xfId="6" applyFont="1" applyAlignment="1">
      <alignment horizontal="center"/>
    </xf>
    <xf numFmtId="0" fontId="21" fillId="0" borderId="0" xfId="6" applyFont="1"/>
    <xf numFmtId="0" fontId="21" fillId="0" borderId="9" xfId="6" applyFont="1" applyBorder="1"/>
    <xf numFmtId="9" fontId="36" fillId="0" borderId="10" xfId="7" applyFont="1" applyBorder="1" applyAlignment="1">
      <alignment horizontal="center"/>
    </xf>
    <xf numFmtId="0" fontId="23" fillId="0" borderId="11" xfId="6" applyFont="1" applyBorder="1"/>
    <xf numFmtId="0" fontId="23" fillId="0" borderId="12" xfId="6" applyFont="1" applyBorder="1" applyAlignment="1">
      <alignment horizontal="center"/>
    </xf>
    <xf numFmtId="9" fontId="23" fillId="0" borderId="13" xfId="6" applyNumberFormat="1" applyFont="1" applyBorder="1" applyAlignment="1">
      <alignment horizontal="center"/>
    </xf>
    <xf numFmtId="0" fontId="22" fillId="11" borderId="11" xfId="9" applyNumberFormat="1" applyFont="1" applyFill="1" applyBorder="1" applyAlignment="1">
      <alignment horizontal="centerContinuous"/>
    </xf>
    <xf numFmtId="0" fontId="18" fillId="11" borderId="12" xfId="9" applyNumberFormat="1" applyFont="1" applyFill="1" applyBorder="1" applyAlignment="1">
      <alignment horizontal="centerContinuous"/>
    </xf>
    <xf numFmtId="0" fontId="18" fillId="11" borderId="13" xfId="9" applyNumberFormat="1" applyFont="1" applyFill="1" applyBorder="1" applyAlignment="1">
      <alignment horizontal="centerContinuous"/>
    </xf>
    <xf numFmtId="0" fontId="22" fillId="11" borderId="0" xfId="6" applyFont="1" applyFill="1" applyAlignment="1">
      <alignment horizontal="center"/>
    </xf>
    <xf numFmtId="0" fontId="22" fillId="11" borderId="8" xfId="6" applyFont="1" applyFill="1" applyBorder="1" applyAlignment="1">
      <alignment horizontal="center"/>
    </xf>
    <xf numFmtId="3" fontId="21" fillId="0" borderId="19" xfId="9" applyNumberFormat="1" applyFont="1" applyFill="1" applyBorder="1" applyAlignment="1">
      <alignment horizontal="center"/>
    </xf>
    <xf numFmtId="0" fontId="22" fillId="11" borderId="20" xfId="6" applyFont="1" applyFill="1" applyBorder="1" applyAlignment="1">
      <alignment horizontal="center"/>
    </xf>
    <xf numFmtId="0" fontId="22" fillId="11" borderId="21" xfId="6" applyFont="1" applyFill="1" applyBorder="1" applyAlignment="1">
      <alignment horizontal="center"/>
    </xf>
    <xf numFmtId="0" fontId="23" fillId="4" borderId="7" xfId="6" applyFont="1" applyFill="1" applyBorder="1" applyAlignment="1">
      <alignment horizontal="left"/>
    </xf>
    <xf numFmtId="0" fontId="21" fillId="4" borderId="5" xfId="6" applyFont="1" applyFill="1" applyBorder="1"/>
    <xf numFmtId="0" fontId="23" fillId="4" borderId="9" xfId="6" applyFont="1" applyFill="1" applyBorder="1" applyAlignment="1">
      <alignment horizontal="left"/>
    </xf>
    <xf numFmtId="0" fontId="21" fillId="4" borderId="0" xfId="9" applyNumberFormat="1" applyFont="1" applyFill="1" applyBorder="1" applyAlignment="1">
      <alignment horizontal="center"/>
    </xf>
    <xf numFmtId="0" fontId="23" fillId="4" borderId="9" xfId="6" applyFont="1" applyFill="1" applyBorder="1" applyAlignment="1">
      <alignment horizontal="center"/>
    </xf>
    <xf numFmtId="183" fontId="20" fillId="4" borderId="0" xfId="5" applyNumberFormat="1" applyFont="1" applyFill="1" applyBorder="1" applyAlignment="1">
      <alignment horizontal="center"/>
    </xf>
    <xf numFmtId="183" fontId="20" fillId="4" borderId="10" xfId="5" applyNumberFormat="1" applyFont="1" applyFill="1" applyBorder="1" applyAlignment="1">
      <alignment horizontal="center"/>
    </xf>
    <xf numFmtId="0" fontId="23" fillId="4" borderId="16" xfId="6" applyFont="1" applyFill="1" applyBorder="1" applyAlignment="1">
      <alignment horizontal="left"/>
    </xf>
    <xf numFmtId="0" fontId="23" fillId="4" borderId="6" xfId="6" applyFont="1" applyFill="1" applyBorder="1"/>
    <xf numFmtId="3" fontId="23" fillId="4" borderId="6" xfId="6" applyNumberFormat="1" applyFont="1" applyFill="1" applyBorder="1" applyAlignment="1">
      <alignment horizontal="center"/>
    </xf>
    <xf numFmtId="183" fontId="23" fillId="4" borderId="5" xfId="6" applyNumberFormat="1" applyFont="1" applyFill="1" applyBorder="1" applyAlignment="1">
      <alignment horizontal="center"/>
    </xf>
    <xf numFmtId="183" fontId="23" fillId="4" borderId="8" xfId="6" applyNumberFormat="1" applyFont="1" applyFill="1" applyBorder="1" applyAlignment="1">
      <alignment horizontal="center"/>
    </xf>
    <xf numFmtId="183" fontId="23" fillId="4" borderId="0" xfId="6" applyNumberFormat="1" applyFont="1" applyFill="1" applyAlignment="1">
      <alignment horizontal="center"/>
    </xf>
    <xf numFmtId="183" fontId="23" fillId="4" borderId="10" xfId="6" applyNumberFormat="1" applyFont="1" applyFill="1" applyBorder="1" applyAlignment="1">
      <alignment horizontal="center"/>
    </xf>
    <xf numFmtId="183" fontId="23" fillId="4" borderId="6" xfId="6" applyNumberFormat="1" applyFont="1" applyFill="1" applyBorder="1" applyAlignment="1">
      <alignment horizontal="center"/>
    </xf>
    <xf numFmtId="183" fontId="23" fillId="4" borderId="17" xfId="6" applyNumberFormat="1" applyFont="1" applyFill="1" applyBorder="1" applyAlignment="1">
      <alignment horizontal="center"/>
    </xf>
    <xf numFmtId="0" fontId="21" fillId="4" borderId="5" xfId="6" quotePrefix="1" applyFont="1" applyFill="1" applyBorder="1" applyAlignment="1">
      <alignment horizontal="center"/>
    </xf>
    <xf numFmtId="0" fontId="21" fillId="4" borderId="0" xfId="6" quotePrefix="1" applyFont="1" applyFill="1" applyAlignment="1">
      <alignment horizontal="center"/>
    </xf>
    <xf numFmtId="0" fontId="21" fillId="0" borderId="0" xfId="6" applyFont="1" applyAlignment="1">
      <alignment horizontal="center" wrapText="1"/>
    </xf>
    <xf numFmtId="181" fontId="20" fillId="10" borderId="5" xfId="5" applyNumberFormat="1" applyFont="1" applyFill="1" applyBorder="1" applyAlignment="1">
      <alignment horizontal="center"/>
    </xf>
    <xf numFmtId="3" fontId="20" fillId="10" borderId="5" xfId="5" applyNumberFormat="1" applyFont="1" applyFill="1" applyBorder="1" applyAlignment="1">
      <alignment horizontal="center"/>
    </xf>
    <xf numFmtId="0" fontId="21" fillId="0" borderId="0" xfId="6" applyFont="1" applyAlignment="1">
      <alignment vertical="center"/>
    </xf>
    <xf numFmtId="0" fontId="21" fillId="0" borderId="0" xfId="6" applyFont="1" applyAlignment="1">
      <alignment horizontal="center" vertical="center"/>
    </xf>
    <xf numFmtId="0" fontId="22" fillId="11" borderId="0" xfId="6" applyFont="1" applyFill="1" applyAlignment="1">
      <alignment horizontal="centerContinuous" vertical="center"/>
    </xf>
    <xf numFmtId="0" fontId="22" fillId="6" borderId="0" xfId="6" applyFont="1" applyFill="1" applyAlignment="1">
      <alignment horizontal="centerContinuous" vertical="center"/>
    </xf>
    <xf numFmtId="0" fontId="22" fillId="12" borderId="0" xfId="6" applyFont="1" applyFill="1" applyAlignment="1">
      <alignment horizontal="centerContinuous"/>
    </xf>
    <xf numFmtId="0" fontId="22" fillId="12" borderId="0" xfId="7" applyNumberFormat="1" applyFont="1" applyFill="1" applyAlignment="1">
      <alignment horizontal="centerContinuous"/>
    </xf>
    <xf numFmtId="9" fontId="22" fillId="12" borderId="0" xfId="7" applyFont="1" applyFill="1" applyAlignment="1">
      <alignment horizontal="centerContinuous"/>
    </xf>
    <xf numFmtId="1" fontId="22" fillId="12" borderId="0" xfId="6" applyNumberFormat="1" applyFont="1" applyFill="1" applyAlignment="1">
      <alignment horizontal="centerContinuous"/>
    </xf>
    <xf numFmtId="3" fontId="22" fillId="12" borderId="0" xfId="6" applyNumberFormat="1" applyFont="1" applyFill="1" applyAlignment="1">
      <alignment horizontal="centerContinuous"/>
    </xf>
    <xf numFmtId="37" fontId="22" fillId="12" borderId="0" xfId="6" applyNumberFormat="1" applyFont="1" applyFill="1" applyAlignment="1">
      <alignment horizontal="centerContinuous"/>
    </xf>
    <xf numFmtId="169" fontId="25" fillId="0" borderId="0" xfId="0" applyNumberFormat="1" applyFont="1"/>
    <xf numFmtId="165" fontId="21" fillId="0" borderId="0" xfId="1" applyNumberFormat="1" applyFont="1" applyFill="1" applyBorder="1"/>
    <xf numFmtId="0" fontId="38" fillId="3" borderId="0" xfId="0" applyFont="1" applyFill="1" applyAlignment="1">
      <alignment horizontal="centerContinuous"/>
    </xf>
    <xf numFmtId="0" fontId="20" fillId="0" borderId="0" xfId="0" applyFont="1" applyAlignment="1">
      <alignment horizontal="center"/>
    </xf>
    <xf numFmtId="174" fontId="20" fillId="0" borderId="0" xfId="0" applyNumberFormat="1" applyFont="1"/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/>
    </xf>
    <xf numFmtId="10" fontId="19" fillId="4" borderId="1" xfId="1" applyNumberFormat="1" applyFont="1" applyFill="1" applyBorder="1"/>
    <xf numFmtId="14" fontId="19" fillId="4" borderId="1" xfId="2" applyNumberFormat="1" applyFont="1" applyFill="1"/>
    <xf numFmtId="0" fontId="19" fillId="0" borderId="0" xfId="6" applyFont="1" applyAlignment="1">
      <alignment horizontal="center"/>
    </xf>
    <xf numFmtId="0" fontId="19" fillId="0" borderId="0" xfId="7" applyNumberFormat="1" applyFont="1" applyAlignment="1">
      <alignment horizontal="center"/>
    </xf>
    <xf numFmtId="9" fontId="19" fillId="0" borderId="0" xfId="7" applyFont="1" applyAlignment="1">
      <alignment horizontal="center"/>
    </xf>
    <xf numFmtId="3" fontId="19" fillId="0" borderId="0" xfId="6" applyNumberFormat="1" applyFont="1" applyAlignment="1">
      <alignment horizontal="center"/>
    </xf>
    <xf numFmtId="5" fontId="19" fillId="0" borderId="0" xfId="6" applyNumberFormat="1" applyFont="1" applyAlignment="1">
      <alignment horizontal="center"/>
    </xf>
    <xf numFmtId="5" fontId="21" fillId="0" borderId="0" xfId="6" applyNumberFormat="1" applyFont="1" applyAlignment="1">
      <alignment horizontal="center"/>
    </xf>
    <xf numFmtId="37" fontId="19" fillId="0" borderId="0" xfId="6" applyNumberFormat="1" applyFont="1" applyAlignment="1">
      <alignment horizontal="center"/>
    </xf>
    <xf numFmtId="37" fontId="21" fillId="0" borderId="0" xfId="6" applyNumberFormat="1" applyFont="1" applyAlignment="1">
      <alignment horizontal="center"/>
    </xf>
    <xf numFmtId="1" fontId="19" fillId="0" borderId="0" xfId="6" applyNumberFormat="1" applyFont="1" applyAlignment="1">
      <alignment horizontal="center"/>
    </xf>
    <xf numFmtId="0" fontId="19" fillId="0" borderId="9" xfId="6" applyFont="1" applyBorder="1"/>
    <xf numFmtId="0" fontId="19" fillId="0" borderId="9" xfId="6" quotePrefix="1" applyFont="1" applyBorder="1"/>
    <xf numFmtId="169" fontId="21" fillId="0" borderId="0" xfId="0" applyNumberFormat="1" applyFont="1"/>
    <xf numFmtId="0" fontId="23" fillId="0" borderId="5" xfId="6" applyFont="1" applyBorder="1" applyAlignment="1">
      <alignment horizontal="left"/>
    </xf>
    <xf numFmtId="165" fontId="26" fillId="4" borderId="0" xfId="0" applyNumberFormat="1" applyFont="1" applyFill="1"/>
    <xf numFmtId="164" fontId="26" fillId="4" borderId="0" xfId="0" applyNumberFormat="1" applyFont="1" applyFill="1"/>
    <xf numFmtId="164" fontId="28" fillId="4" borderId="0" xfId="0" applyNumberFormat="1" applyFont="1" applyFill="1"/>
    <xf numFmtId="168" fontId="26" fillId="4" borderId="0" xfId="0" applyNumberFormat="1" applyFont="1" applyFill="1"/>
    <xf numFmtId="169" fontId="28" fillId="4" borderId="0" xfId="0" applyNumberFormat="1" applyFont="1" applyFill="1"/>
    <xf numFmtId="169" fontId="26" fillId="4" borderId="0" xfId="0" applyNumberFormat="1" applyFont="1" applyFill="1"/>
    <xf numFmtId="165" fontId="26" fillId="4" borderId="0" xfId="0" applyNumberFormat="1" applyFont="1" applyFill="1" applyAlignment="1">
      <alignment horizontal="right"/>
    </xf>
    <xf numFmtId="3" fontId="28" fillId="4" borderId="0" xfId="0" applyNumberFormat="1" applyFont="1" applyFill="1" applyAlignment="1">
      <alignment horizontal="left" indent="2"/>
    </xf>
    <xf numFmtId="0" fontId="27" fillId="4" borderId="0" xfId="0" applyFont="1" applyFill="1" applyAlignment="1">
      <alignment horizontal="left" indent="2"/>
    </xf>
    <xf numFmtId="0" fontId="39" fillId="4" borderId="0" xfId="4" applyFont="1" applyFill="1" applyAlignment="1">
      <alignment horizontal="left" vertical="center" indent="2"/>
    </xf>
    <xf numFmtId="0" fontId="32" fillId="3" borderId="0" xfId="0" applyFont="1" applyFill="1" applyAlignment="1">
      <alignment horizontal="centerContinuous" vertical="center"/>
    </xf>
    <xf numFmtId="0" fontId="18" fillId="3" borderId="0" xfId="0" applyFont="1" applyFill="1" applyAlignment="1">
      <alignment horizontal="centerContinuous" vertical="center"/>
    </xf>
    <xf numFmtId="9" fontId="22" fillId="6" borderId="0" xfId="1" applyFont="1" applyFill="1"/>
    <xf numFmtId="0" fontId="23" fillId="0" borderId="0" xfId="0" applyFont="1"/>
    <xf numFmtId="165" fontId="40" fillId="0" borderId="5" xfId="1" applyNumberFormat="1" applyFont="1" applyBorder="1"/>
    <xf numFmtId="164" fontId="23" fillId="0" borderId="5" xfId="0" applyNumberFormat="1" applyFont="1" applyBorder="1"/>
    <xf numFmtId="0" fontId="22" fillId="3" borderId="0" xfId="0" applyFont="1" applyFill="1" applyAlignment="1">
      <alignment vertical="center"/>
    </xf>
    <xf numFmtId="165" fontId="21" fillId="4" borderId="1" xfId="1" applyNumberFormat="1" applyFont="1" applyFill="1" applyBorder="1"/>
    <xf numFmtId="165" fontId="26" fillId="4" borderId="1" xfId="1" applyNumberFormat="1" applyFont="1" applyFill="1" applyBorder="1"/>
    <xf numFmtId="185" fontId="19" fillId="0" borderId="0" xfId="0" applyNumberFormat="1" applyFont="1"/>
    <xf numFmtId="184" fontId="19" fillId="0" borderId="0" xfId="0" applyNumberFormat="1" applyFont="1"/>
    <xf numFmtId="0" fontId="16" fillId="0" borderId="2" xfId="0" applyFont="1" applyBorder="1"/>
    <xf numFmtId="0" fontId="27" fillId="0" borderId="0" xfId="0" applyFont="1" applyAlignment="1">
      <alignment horizontal="center"/>
    </xf>
    <xf numFmtId="164" fontId="19" fillId="0" borderId="22" xfId="0" applyNumberFormat="1" applyFont="1" applyBorder="1"/>
    <xf numFmtId="167" fontId="19" fillId="0" borderId="22" xfId="0" applyNumberFormat="1" applyFont="1" applyBorder="1"/>
    <xf numFmtId="164" fontId="20" fillId="0" borderId="23" xfId="0" applyNumberFormat="1" applyFont="1" applyBorder="1"/>
    <xf numFmtId="164" fontId="20" fillId="0" borderId="22" xfId="0" applyNumberFormat="1" applyFont="1" applyBorder="1"/>
    <xf numFmtId="0" fontId="17" fillId="0" borderId="22" xfId="0" applyFont="1" applyBorder="1"/>
    <xf numFmtId="164" fontId="29" fillId="4" borderId="22" xfId="0" applyNumberFormat="1" applyFont="1" applyFill="1" applyBorder="1"/>
    <xf numFmtId="164" fontId="21" fillId="0" borderId="22" xfId="0" applyNumberFormat="1" applyFont="1" applyBorder="1"/>
    <xf numFmtId="169" fontId="29" fillId="4" borderId="22" xfId="0" applyNumberFormat="1" applyFont="1" applyFill="1" applyBorder="1"/>
    <xf numFmtId="169" fontId="21" fillId="0" borderId="22" xfId="0" applyNumberFormat="1" applyFont="1" applyBorder="1"/>
    <xf numFmtId="169" fontId="25" fillId="0" borderId="22" xfId="0" applyNumberFormat="1" applyFont="1" applyBorder="1"/>
    <xf numFmtId="164" fontId="17" fillId="0" borderId="19" xfId="0" applyNumberFormat="1" applyFont="1" applyBorder="1"/>
    <xf numFmtId="165" fontId="27" fillId="0" borderId="22" xfId="1" applyNumberFormat="1" applyFont="1" applyBorder="1" applyAlignment="1">
      <alignment horizontal="right"/>
    </xf>
    <xf numFmtId="168" fontId="17" fillId="7" borderId="22" xfId="0" applyNumberFormat="1" applyFont="1" applyFill="1" applyBorder="1"/>
    <xf numFmtId="42" fontId="20" fillId="0" borderId="24" xfId="0" applyNumberFormat="1" applyFont="1" applyBorder="1"/>
    <xf numFmtId="42" fontId="20" fillId="0" borderId="22" xfId="0" applyNumberFormat="1" applyFont="1" applyBorder="1"/>
    <xf numFmtId="41" fontId="25" fillId="0" borderId="22" xfId="0" applyNumberFormat="1" applyFont="1" applyBorder="1" applyAlignment="1">
      <alignment horizontal="right"/>
    </xf>
    <xf numFmtId="41" fontId="25" fillId="0" borderId="22" xfId="0" quotePrefix="1" applyNumberFormat="1" applyFont="1" applyBorder="1" applyAlignment="1">
      <alignment horizontal="right"/>
    </xf>
    <xf numFmtId="42" fontId="20" fillId="0" borderId="24" xfId="0" quotePrefix="1" applyNumberFormat="1" applyFont="1" applyBorder="1" applyAlignment="1">
      <alignment horizontal="right"/>
    </xf>
    <xf numFmtId="165" fontId="26" fillId="4" borderId="22" xfId="0" applyNumberFormat="1" applyFont="1" applyFill="1" applyBorder="1" applyAlignment="1">
      <alignment horizontal="right"/>
    </xf>
    <xf numFmtId="164" fontId="27" fillId="0" borderId="0" xfId="0" applyNumberFormat="1" applyFont="1" applyAlignment="1">
      <alignment horizontal="right"/>
    </xf>
    <xf numFmtId="186" fontId="23" fillId="0" borderId="15" xfId="2" applyNumberFormat="1" applyFont="1" applyFill="1" applyBorder="1"/>
    <xf numFmtId="0" fontId="16" fillId="0" borderId="0" xfId="0" applyFont="1"/>
    <xf numFmtId="9" fontId="22" fillId="0" borderId="0" xfId="1" applyFont="1" applyFill="1"/>
    <xf numFmtId="0" fontId="32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Continuous"/>
    </xf>
    <xf numFmtId="177" fontId="22" fillId="0" borderId="0" xfId="0" applyNumberFormat="1" applyFont="1" applyAlignment="1">
      <alignment horizontal="centerContinuous"/>
    </xf>
    <xf numFmtId="164" fontId="26" fillId="4" borderId="22" xfId="0" applyNumberFormat="1" applyFont="1" applyFill="1" applyBorder="1"/>
    <xf numFmtId="164" fontId="25" fillId="0" borderId="22" xfId="0" applyNumberFormat="1" applyFont="1" applyBorder="1"/>
    <xf numFmtId="169" fontId="26" fillId="4" borderId="22" xfId="0" applyNumberFormat="1" applyFont="1" applyFill="1" applyBorder="1"/>
    <xf numFmtId="164" fontId="41" fillId="0" borderId="23" xfId="0" applyNumberFormat="1" applyFont="1" applyBorder="1"/>
    <xf numFmtId="164" fontId="41" fillId="0" borderId="5" xfId="0" applyNumberFormat="1" applyFont="1" applyBorder="1"/>
    <xf numFmtId="169" fontId="41" fillId="0" borderId="22" xfId="0" applyNumberFormat="1" applyFont="1" applyBorder="1"/>
    <xf numFmtId="169" fontId="41" fillId="0" borderId="0" xfId="0" applyNumberFormat="1" applyFont="1"/>
    <xf numFmtId="164" fontId="41" fillId="0" borderId="22" xfId="0" applyNumberFormat="1" applyFont="1" applyBorder="1"/>
    <xf numFmtId="164" fontId="41" fillId="0" borderId="0" xfId="0" applyNumberFormat="1" applyFont="1"/>
    <xf numFmtId="0" fontId="22" fillId="3" borderId="0" xfId="0" applyFont="1" applyFill="1" applyAlignment="1">
      <alignment horizontal="centerContinuous"/>
    </xf>
    <xf numFmtId="167" fontId="25" fillId="0" borderId="22" xfId="0" applyNumberFormat="1" applyFont="1" applyBorder="1"/>
    <xf numFmtId="164" fontId="20" fillId="0" borderId="22" xfId="0" quotePrefix="1" applyNumberFormat="1" applyFont="1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33" fillId="0" borderId="13" xfId="0" applyFont="1" applyBorder="1" applyAlignment="1">
      <alignment horizontal="center"/>
    </xf>
    <xf numFmtId="0" fontId="32" fillId="3" borderId="7" xfId="0" applyFont="1" applyFill="1" applyBorder="1" applyAlignment="1">
      <alignment horizontal="centerContinuous" vertical="center"/>
    </xf>
    <xf numFmtId="0" fontId="32" fillId="3" borderId="5" xfId="0" applyFont="1" applyFill="1" applyBorder="1" applyAlignment="1">
      <alignment horizontal="centerContinuous" vertical="center"/>
    </xf>
    <xf numFmtId="0" fontId="32" fillId="3" borderId="8" xfId="0" applyFont="1" applyFill="1" applyBorder="1" applyAlignment="1">
      <alignment horizontal="centerContinuous" vertical="center"/>
    </xf>
    <xf numFmtId="0" fontId="32" fillId="6" borderId="9" xfId="0" applyFont="1" applyFill="1" applyBorder="1" applyAlignment="1">
      <alignment horizontal="centerContinuous" vertical="center"/>
    </xf>
    <xf numFmtId="0" fontId="32" fillId="6" borderId="0" xfId="0" applyFont="1" applyFill="1" applyAlignment="1">
      <alignment horizontal="centerContinuous" vertical="center"/>
    </xf>
    <xf numFmtId="0" fontId="32" fillId="6" borderId="10" xfId="0" applyFont="1" applyFill="1" applyBorder="1" applyAlignment="1">
      <alignment horizontal="centerContinuous" vertical="center"/>
    </xf>
    <xf numFmtId="0" fontId="33" fillId="0" borderId="9" xfId="0" applyFont="1" applyBorder="1"/>
    <xf numFmtId="0" fontId="33" fillId="0" borderId="0" xfId="0" applyFont="1"/>
    <xf numFmtId="0" fontId="33" fillId="0" borderId="16" xfId="0" applyFont="1" applyBorder="1"/>
    <xf numFmtId="0" fontId="33" fillId="0" borderId="6" xfId="0" applyFont="1" applyBorder="1"/>
    <xf numFmtId="187" fontId="33" fillId="0" borderId="10" xfId="0" applyNumberFormat="1" applyFont="1" applyBorder="1" applyAlignment="1">
      <alignment horizontal="center"/>
    </xf>
    <xf numFmtId="188" fontId="33" fillId="0" borderId="17" xfId="0" applyNumberFormat="1" applyFont="1" applyBorder="1" applyAlignment="1">
      <alignment horizontal="center"/>
    </xf>
    <xf numFmtId="165" fontId="33" fillId="0" borderId="10" xfId="0" applyNumberFormat="1" applyFont="1" applyBorder="1" applyAlignment="1">
      <alignment horizontal="center"/>
    </xf>
    <xf numFmtId="0" fontId="42" fillId="0" borderId="0" xfId="11" applyFont="1" applyAlignment="1">
      <alignment vertical="center"/>
    </xf>
    <xf numFmtId="0" fontId="44" fillId="0" borderId="26" xfId="12" applyFont="1" applyBorder="1"/>
    <xf numFmtId="0" fontId="45" fillId="0" borderId="0" xfId="13" applyFont="1" applyAlignment="1">
      <alignment vertical="center"/>
    </xf>
    <xf numFmtId="14" fontId="46" fillId="0" borderId="0" xfId="13" applyNumberFormat="1" applyFont="1" applyAlignment="1">
      <alignment vertical="center"/>
    </xf>
    <xf numFmtId="0" fontId="48" fillId="0" borderId="27" xfId="14" applyFont="1" applyBorder="1" applyAlignment="1">
      <alignment vertical="center"/>
    </xf>
    <xf numFmtId="0" fontId="49" fillId="0" borderId="27" xfId="14" applyFont="1" applyBorder="1" applyAlignment="1">
      <alignment vertical="center"/>
    </xf>
    <xf numFmtId="0" fontId="50" fillId="0" borderId="0" xfId="14" applyFont="1" applyAlignment="1">
      <alignment vertical="center"/>
    </xf>
    <xf numFmtId="0" fontId="54" fillId="0" borderId="0" xfId="15" applyFont="1" applyBorder="1" applyAlignment="1">
      <alignment horizontal="centerContinuous" vertical="center"/>
    </xf>
    <xf numFmtId="0" fontId="54" fillId="0" borderId="10" xfId="15" applyFont="1" applyBorder="1" applyAlignment="1">
      <alignment horizontal="centerContinuous" vertical="center"/>
    </xf>
    <xf numFmtId="190" fontId="55" fillId="0" borderId="9" xfId="16" applyNumberFormat="1" applyFont="1" applyBorder="1" applyAlignment="1">
      <alignment vertical="center"/>
    </xf>
    <xf numFmtId="0" fontId="56" fillId="0" borderId="28" xfId="15" applyFont="1" applyAlignment="1">
      <alignment horizontal="center" vertical="center"/>
    </xf>
    <xf numFmtId="0" fontId="56" fillId="0" borderId="29" xfId="15" applyFont="1" applyBorder="1" applyAlignment="1">
      <alignment horizontal="center" vertical="center"/>
    </xf>
    <xf numFmtId="3" fontId="56" fillId="0" borderId="30" xfId="15" applyNumberFormat="1" applyFont="1" applyBorder="1" applyAlignment="1">
      <alignment horizontal="center" vertical="center"/>
    </xf>
    <xf numFmtId="0" fontId="42" fillId="0" borderId="9" xfId="16" applyFont="1" applyBorder="1" applyAlignment="1">
      <alignment vertical="center"/>
    </xf>
    <xf numFmtId="191" fontId="57" fillId="0" borderId="0" xfId="17" applyNumberFormat="1" applyFont="1" applyBorder="1" applyAlignment="1">
      <alignment horizontal="center" vertical="center"/>
    </xf>
    <xf numFmtId="192" fontId="57" fillId="0" borderId="0" xfId="17" applyNumberFormat="1" applyFont="1" applyBorder="1" applyAlignment="1">
      <alignment horizontal="center" vertical="center"/>
    </xf>
    <xf numFmtId="0" fontId="57" fillId="0" borderId="0" xfId="11" applyFont="1" applyAlignment="1">
      <alignment horizontal="center" vertical="center"/>
    </xf>
    <xf numFmtId="165" fontId="57" fillId="0" borderId="0" xfId="18" applyNumberFormat="1" applyFont="1" applyFill="1" applyBorder="1" applyAlignment="1">
      <alignment horizontal="center" vertical="center"/>
    </xf>
    <xf numFmtId="165" fontId="57" fillId="0" borderId="10" xfId="18" applyNumberFormat="1" applyFont="1" applyBorder="1" applyAlignment="1">
      <alignment horizontal="center" vertical="center"/>
    </xf>
    <xf numFmtId="165" fontId="57" fillId="0" borderId="0" xfId="17" applyNumberFormat="1" applyFont="1" applyBorder="1" applyAlignment="1">
      <alignment horizontal="center" vertical="center"/>
    </xf>
    <xf numFmtId="0" fontId="42" fillId="0" borderId="16" xfId="16" applyFont="1" applyBorder="1" applyAlignment="1">
      <alignment vertical="center"/>
    </xf>
    <xf numFmtId="165" fontId="57" fillId="0" borderId="6" xfId="17" applyNumberFormat="1" applyFont="1" applyBorder="1" applyAlignment="1">
      <alignment horizontal="center" vertical="center"/>
    </xf>
    <xf numFmtId="192" fontId="57" fillId="0" borderId="6" xfId="17" applyNumberFormat="1" applyFont="1" applyBorder="1" applyAlignment="1">
      <alignment horizontal="center" vertical="center"/>
    </xf>
    <xf numFmtId="165" fontId="57" fillId="0" borderId="6" xfId="18" applyNumberFormat="1" applyFont="1" applyFill="1" applyBorder="1" applyAlignment="1">
      <alignment horizontal="center" vertical="center"/>
    </xf>
    <xf numFmtId="165" fontId="57" fillId="0" borderId="17" xfId="18" applyNumberFormat="1" applyFont="1" applyBorder="1" applyAlignment="1">
      <alignment horizontal="center" vertical="center"/>
    </xf>
    <xf numFmtId="193" fontId="42" fillId="0" borderId="0" xfId="11" applyNumberFormat="1" applyFont="1" applyAlignment="1">
      <alignment vertical="center"/>
    </xf>
    <xf numFmtId="0" fontId="42" fillId="15" borderId="11" xfId="11" applyFont="1" applyFill="1" applyBorder="1" applyAlignment="1">
      <alignment vertical="center"/>
    </xf>
    <xf numFmtId="0" fontId="58" fillId="15" borderId="25" xfId="11" applyFont="1" applyFill="1" applyBorder="1" applyAlignment="1">
      <alignment horizontal="center" vertical="center"/>
    </xf>
    <xf numFmtId="0" fontId="58" fillId="15" borderId="12" xfId="11" applyFont="1" applyFill="1" applyBorder="1" applyAlignment="1">
      <alignment horizontal="center" vertical="center"/>
    </xf>
    <xf numFmtId="3" fontId="58" fillId="15" borderId="13" xfId="11" applyNumberFormat="1" applyFont="1" applyFill="1" applyBorder="1" applyAlignment="1">
      <alignment horizontal="center" vertical="center"/>
    </xf>
    <xf numFmtId="0" fontId="58" fillId="0" borderId="22" xfId="11" applyFont="1" applyBorder="1" applyAlignment="1">
      <alignment vertical="center"/>
    </xf>
    <xf numFmtId="165" fontId="58" fillId="4" borderId="22" xfId="18" applyNumberFormat="1" applyFont="1" applyFill="1" applyBorder="1" applyAlignment="1">
      <alignment horizontal="centerContinuous" vertical="center"/>
    </xf>
    <xf numFmtId="165" fontId="58" fillId="0" borderId="0" xfId="18" applyNumberFormat="1" applyFont="1" applyBorder="1" applyAlignment="1">
      <alignment horizontal="centerContinuous" vertical="center"/>
    </xf>
    <xf numFmtId="165" fontId="58" fillId="0" borderId="10" xfId="18" applyNumberFormat="1" applyFont="1" applyBorder="1" applyAlignment="1">
      <alignment horizontal="centerContinuous" vertical="center"/>
    </xf>
    <xf numFmtId="179" fontId="58" fillId="4" borderId="22" xfId="11" applyNumberFormat="1" applyFont="1" applyFill="1" applyBorder="1" applyAlignment="1">
      <alignment horizontal="centerContinuous" vertical="center"/>
    </xf>
    <xf numFmtId="179" fontId="58" fillId="0" borderId="0" xfId="11" applyNumberFormat="1" applyFont="1" applyAlignment="1">
      <alignment horizontal="centerContinuous" vertical="center"/>
    </xf>
    <xf numFmtId="179" fontId="58" fillId="0" borderId="10" xfId="11" applyNumberFormat="1" applyFont="1" applyBorder="1" applyAlignment="1">
      <alignment horizontal="centerContinuous" vertical="center"/>
    </xf>
    <xf numFmtId="5" fontId="58" fillId="4" borderId="22" xfId="11" applyNumberFormat="1" applyFont="1" applyFill="1" applyBorder="1" applyAlignment="1">
      <alignment horizontal="centerContinuous" vertical="center"/>
    </xf>
    <xf numFmtId="5" fontId="58" fillId="0" borderId="0" xfId="11" applyNumberFormat="1" applyFont="1" applyAlignment="1">
      <alignment horizontal="centerContinuous" vertical="center"/>
    </xf>
    <xf numFmtId="5" fontId="58" fillId="0" borderId="10" xfId="11" applyNumberFormat="1" applyFont="1" applyBorder="1" applyAlignment="1">
      <alignment horizontal="centerContinuous" vertical="center"/>
    </xf>
    <xf numFmtId="165" fontId="59" fillId="4" borderId="22" xfId="18" applyNumberFormat="1" applyFont="1" applyFill="1" applyBorder="1" applyAlignment="1">
      <alignment horizontal="centerContinuous" vertical="center"/>
    </xf>
    <xf numFmtId="0" fontId="58" fillId="0" borderId="19" xfId="11" applyFont="1" applyBorder="1" applyAlignment="1">
      <alignment vertical="center"/>
    </xf>
    <xf numFmtId="0" fontId="59" fillId="4" borderId="19" xfId="11" applyFont="1" applyFill="1" applyBorder="1" applyAlignment="1">
      <alignment horizontal="center" vertical="center"/>
    </xf>
    <xf numFmtId="0" fontId="59" fillId="0" borderId="6" xfId="11" applyFont="1" applyBorder="1" applyAlignment="1">
      <alignment horizontal="center" vertical="center"/>
    </xf>
    <xf numFmtId="194" fontId="58" fillId="0" borderId="17" xfId="11" applyNumberFormat="1" applyFont="1" applyBorder="1" applyAlignment="1">
      <alignment horizontal="centerContinuous" vertical="center"/>
    </xf>
    <xf numFmtId="0" fontId="60" fillId="0" borderId="0" xfId="11" applyFont="1" applyAlignment="1">
      <alignment vertical="center"/>
    </xf>
    <xf numFmtId="0" fontId="42" fillId="0" borderId="0" xfId="16" applyFont="1"/>
    <xf numFmtId="9" fontId="42" fillId="0" borderId="0" xfId="16" applyNumberFormat="1" applyFont="1"/>
    <xf numFmtId="0" fontId="45" fillId="0" borderId="26" xfId="13" applyFont="1" applyBorder="1"/>
    <xf numFmtId="14" fontId="46" fillId="0" borderId="26" xfId="13" applyNumberFormat="1" applyFont="1" applyBorder="1"/>
    <xf numFmtId="0" fontId="48" fillId="0" borderId="27" xfId="14" applyFont="1" applyBorder="1"/>
    <xf numFmtId="0" fontId="45" fillId="0" borderId="27" xfId="13" applyFont="1" applyBorder="1"/>
    <xf numFmtId="5" fontId="45" fillId="0" borderId="27" xfId="13" applyNumberFormat="1" applyFont="1" applyBorder="1"/>
    <xf numFmtId="0" fontId="48" fillId="0" borderId="0" xfId="14" applyFont="1"/>
    <xf numFmtId="0" fontId="45" fillId="0" borderId="0" xfId="13" applyFont="1"/>
    <xf numFmtId="5" fontId="45" fillId="0" borderId="0" xfId="13" applyNumberFormat="1" applyFont="1"/>
    <xf numFmtId="5" fontId="42" fillId="0" borderId="0" xfId="16" applyNumberFormat="1" applyFont="1"/>
    <xf numFmtId="195" fontId="57" fillId="0" borderId="0" xfId="16" applyNumberFormat="1" applyFont="1" applyAlignment="1">
      <alignment horizontal="center"/>
    </xf>
    <xf numFmtId="0" fontId="52" fillId="14" borderId="0" xfId="16" applyFont="1" applyFill="1"/>
    <xf numFmtId="196" fontId="52" fillId="14" borderId="0" xfId="16" applyNumberFormat="1" applyFont="1" applyFill="1"/>
    <xf numFmtId="195" fontId="52" fillId="14" borderId="0" xfId="16" applyNumberFormat="1" applyFont="1" applyFill="1"/>
    <xf numFmtId="14" fontId="52" fillId="14" borderId="0" xfId="16" applyNumberFormat="1" applyFont="1" applyFill="1"/>
    <xf numFmtId="0" fontId="42" fillId="0" borderId="0" xfId="16" applyFont="1" applyAlignment="1">
      <alignment vertical="center"/>
    </xf>
    <xf numFmtId="197" fontId="42" fillId="0" borderId="0" xfId="19" applyNumberFormat="1" applyFont="1" applyAlignment="1">
      <alignment vertical="center"/>
    </xf>
    <xf numFmtId="0" fontId="58" fillId="0" borderId="4" xfId="19" applyFont="1" applyBorder="1"/>
    <xf numFmtId="197" fontId="58" fillId="0" borderId="4" xfId="19" applyNumberFormat="1" applyFont="1" applyBorder="1" applyAlignment="1">
      <alignment vertical="center"/>
    </xf>
    <xf numFmtId="197" fontId="42" fillId="0" borderId="0" xfId="16" applyNumberFormat="1" applyFont="1"/>
    <xf numFmtId="37" fontId="42" fillId="0" borderId="0" xfId="16" applyNumberFormat="1" applyFont="1"/>
    <xf numFmtId="0" fontId="58" fillId="0" borderId="7" xfId="19" applyFont="1" applyBorder="1" applyAlignment="1">
      <alignment vertical="center"/>
    </xf>
    <xf numFmtId="0" fontId="58" fillId="0" borderId="8" xfId="19" applyFont="1" applyBorder="1" applyAlignment="1">
      <alignment horizontal="right"/>
    </xf>
    <xf numFmtId="0" fontId="58" fillId="0" borderId="0" xfId="19" applyFont="1" applyAlignment="1">
      <alignment horizontal="right"/>
    </xf>
    <xf numFmtId="0" fontId="58" fillId="4" borderId="7" xfId="19" applyFont="1" applyFill="1" applyBorder="1" applyAlignment="1">
      <alignment vertical="center"/>
    </xf>
    <xf numFmtId="165" fontId="58" fillId="4" borderId="8" xfId="20" applyNumberFormat="1" applyFont="1" applyFill="1" applyBorder="1" applyAlignment="1">
      <alignment vertical="center"/>
    </xf>
    <xf numFmtId="165" fontId="58" fillId="0" borderId="0" xfId="20" applyNumberFormat="1" applyFont="1" applyFill="1" applyBorder="1"/>
    <xf numFmtId="0" fontId="58" fillId="4" borderId="9" xfId="19" applyFont="1" applyFill="1" applyBorder="1" applyAlignment="1">
      <alignment vertical="center"/>
    </xf>
    <xf numFmtId="179" fontId="58" fillId="4" borderId="10" xfId="19" applyNumberFormat="1" applyFont="1" applyFill="1" applyBorder="1" applyAlignment="1">
      <alignment vertical="center"/>
    </xf>
    <xf numFmtId="189" fontId="58" fillId="0" borderId="0" xfId="19" applyNumberFormat="1" applyFont="1"/>
    <xf numFmtId="0" fontId="58" fillId="4" borderId="16" xfId="19" applyFont="1" applyFill="1" applyBorder="1" applyAlignment="1">
      <alignment vertical="center"/>
    </xf>
    <xf numFmtId="198" fontId="58" fillId="4" borderId="17" xfId="19" applyNumberFormat="1" applyFont="1" applyFill="1" applyBorder="1" applyAlignment="1">
      <alignment vertical="center"/>
    </xf>
    <xf numFmtId="197" fontId="58" fillId="0" borderId="0" xfId="19" applyNumberFormat="1" applyFont="1"/>
    <xf numFmtId="0" fontId="58" fillId="0" borderId="4" xfId="19" applyFont="1" applyBorder="1" applyAlignment="1">
      <alignment vertical="center"/>
    </xf>
    <xf numFmtId="193" fontId="42" fillId="0" borderId="0" xfId="16" applyNumberFormat="1" applyFont="1"/>
    <xf numFmtId="39" fontId="42" fillId="0" borderId="0" xfId="16" applyNumberFormat="1" applyFont="1"/>
    <xf numFmtId="199" fontId="61" fillId="3" borderId="0" xfId="16" applyNumberFormat="1" applyFont="1" applyFill="1" applyAlignment="1">
      <alignment horizontal="left" vertical="center"/>
    </xf>
    <xf numFmtId="0" fontId="45" fillId="0" borderId="0" xfId="16" applyFont="1" applyAlignment="1">
      <alignment vertical="center"/>
    </xf>
    <xf numFmtId="0" fontId="61" fillId="3" borderId="11" xfId="16" applyFont="1" applyFill="1" applyBorder="1" applyAlignment="1">
      <alignment vertical="center"/>
    </xf>
    <xf numFmtId="0" fontId="61" fillId="3" borderId="13" xfId="16" applyFont="1" applyFill="1" applyBorder="1" applyAlignment="1">
      <alignment vertical="center"/>
    </xf>
    <xf numFmtId="0" fontId="62" fillId="4" borderId="16" xfId="16" applyFont="1" applyFill="1" applyBorder="1" applyAlignment="1">
      <alignment vertical="center"/>
    </xf>
    <xf numFmtId="0" fontId="62" fillId="4" borderId="17" xfId="16" applyFont="1" applyFill="1" applyBorder="1" applyAlignment="1">
      <alignment horizontal="center" vertical="center"/>
    </xf>
    <xf numFmtId="0" fontId="62" fillId="0" borderId="0" xfId="16" applyFont="1" applyAlignment="1">
      <alignment vertical="center"/>
    </xf>
    <xf numFmtId="3" fontId="60" fillId="0" borderId="5" xfId="16" applyNumberFormat="1" applyFont="1" applyBorder="1" applyAlignment="1">
      <alignment vertical="center"/>
    </xf>
    <xf numFmtId="165" fontId="60" fillId="0" borderId="8" xfId="18" applyNumberFormat="1" applyFont="1" applyBorder="1" applyAlignment="1">
      <alignment horizontal="center" vertical="center"/>
    </xf>
    <xf numFmtId="165" fontId="60" fillId="0" borderId="0" xfId="18" applyNumberFormat="1" applyFont="1" applyBorder="1" applyAlignment="1">
      <alignment vertical="center"/>
    </xf>
    <xf numFmtId="3" fontId="60" fillId="0" borderId="6" xfId="16" applyNumberFormat="1" applyFont="1" applyBorder="1" applyAlignment="1">
      <alignment vertical="center"/>
    </xf>
    <xf numFmtId="165" fontId="60" fillId="0" borderId="10" xfId="16" applyNumberFormat="1" applyFont="1" applyBorder="1" applyAlignment="1">
      <alignment horizontal="center" vertical="center"/>
    </xf>
    <xf numFmtId="165" fontId="60" fillId="0" borderId="0" xfId="16" applyNumberFormat="1" applyFont="1" applyAlignment="1">
      <alignment vertical="center"/>
    </xf>
    <xf numFmtId="0" fontId="62" fillId="0" borderId="4" xfId="16" applyFont="1" applyBorder="1" applyAlignment="1">
      <alignment vertical="center"/>
    </xf>
    <xf numFmtId="165" fontId="62" fillId="0" borderId="31" xfId="18" applyNumberFormat="1" applyFont="1" applyBorder="1" applyAlignment="1">
      <alignment horizontal="center" vertical="center"/>
    </xf>
    <xf numFmtId="0" fontId="60" fillId="0" borderId="0" xfId="16" applyFont="1" applyAlignment="1">
      <alignment vertical="center"/>
    </xf>
    <xf numFmtId="0" fontId="61" fillId="3" borderId="0" xfId="16" applyFont="1" applyFill="1" applyAlignment="1">
      <alignment vertical="center"/>
    </xf>
    <xf numFmtId="0" fontId="62" fillId="4" borderId="11" xfId="16" applyFont="1" applyFill="1" applyBorder="1" applyAlignment="1">
      <alignment vertical="center"/>
    </xf>
    <xf numFmtId="0" fontId="62" fillId="4" borderId="12" xfId="16" applyFont="1" applyFill="1" applyBorder="1" applyAlignment="1">
      <alignment horizontal="centerContinuous" vertical="center"/>
    </xf>
    <xf numFmtId="0" fontId="63" fillId="4" borderId="12" xfId="16" applyFont="1" applyFill="1" applyBorder="1" applyAlignment="1">
      <alignment horizontal="centerContinuous" vertical="center"/>
    </xf>
    <xf numFmtId="0" fontId="63" fillId="4" borderId="13" xfId="16" applyFont="1" applyFill="1" applyBorder="1" applyAlignment="1">
      <alignment horizontal="centerContinuous" vertical="center"/>
    </xf>
    <xf numFmtId="0" fontId="42" fillId="4" borderId="25" xfId="16" applyFont="1" applyFill="1" applyBorder="1"/>
    <xf numFmtId="0" fontId="61" fillId="3" borderId="23" xfId="16" applyFont="1" applyFill="1" applyBorder="1" applyAlignment="1">
      <alignment horizontal="center" vertical="center"/>
    </xf>
    <xf numFmtId="0" fontId="62" fillId="0" borderId="6" xfId="16" applyFont="1" applyBorder="1" applyAlignment="1">
      <alignment vertical="center"/>
    </xf>
    <xf numFmtId="0" fontId="62" fillId="0" borderId="6" xfId="16" applyFont="1" applyBorder="1" applyAlignment="1">
      <alignment horizontal="center" vertical="center"/>
    </xf>
    <xf numFmtId="0" fontId="62" fillId="0" borderId="25" xfId="16" applyFont="1" applyBorder="1" applyAlignment="1">
      <alignment horizontal="center" vertical="center"/>
    </xf>
    <xf numFmtId="0" fontId="62" fillId="0" borderId="11" xfId="16" applyFont="1" applyBorder="1" applyAlignment="1">
      <alignment horizontal="center" vertical="center"/>
    </xf>
    <xf numFmtId="3" fontId="62" fillId="0" borderId="13" xfId="16" applyNumberFormat="1" applyFont="1" applyBorder="1" applyAlignment="1">
      <alignment horizontal="center" vertical="center"/>
    </xf>
    <xf numFmtId="0" fontId="64" fillId="4" borderId="25" xfId="16" applyFont="1" applyFill="1" applyBorder="1" applyAlignment="1">
      <alignment horizontal="center" vertical="center"/>
    </xf>
    <xf numFmtId="165" fontId="60" fillId="0" borderId="0" xfId="16" applyNumberFormat="1" applyFont="1" applyAlignment="1">
      <alignment horizontal="center" vertical="center"/>
    </xf>
    <xf numFmtId="200" fontId="45" fillId="0" borderId="0" xfId="16" applyNumberFormat="1" applyFont="1" applyAlignment="1">
      <alignment horizontal="center" vertical="center"/>
    </xf>
    <xf numFmtId="0" fontId="45" fillId="0" borderId="22" xfId="16" applyFont="1" applyBorder="1" applyAlignment="1">
      <alignment horizontal="center"/>
    </xf>
    <xf numFmtId="165" fontId="60" fillId="0" borderId="9" xfId="16" applyNumberFormat="1" applyFont="1" applyBorder="1" applyAlignment="1">
      <alignment horizontal="center" vertical="center"/>
    </xf>
    <xf numFmtId="0" fontId="45" fillId="0" borderId="19" xfId="16" applyFont="1" applyBorder="1" applyAlignment="1">
      <alignment horizontal="center" vertical="center"/>
    </xf>
    <xf numFmtId="200" fontId="60" fillId="0" borderId="0" xfId="16" applyNumberFormat="1" applyFont="1" applyAlignment="1">
      <alignment horizontal="center" vertical="center"/>
    </xf>
    <xf numFmtId="165" fontId="60" fillId="0" borderId="22" xfId="16" applyNumberFormat="1" applyFont="1" applyBorder="1" applyAlignment="1">
      <alignment horizontal="center" vertical="center"/>
    </xf>
    <xf numFmtId="0" fontId="60" fillId="0" borderId="6" xfId="16" applyFont="1" applyBorder="1" applyAlignment="1">
      <alignment vertical="center"/>
    </xf>
    <xf numFmtId="165" fontId="60" fillId="0" borderId="6" xfId="16" applyNumberFormat="1" applyFont="1" applyBorder="1" applyAlignment="1">
      <alignment horizontal="center" vertical="center"/>
    </xf>
    <xf numFmtId="201" fontId="60" fillId="0" borderId="6" xfId="16" applyNumberFormat="1" applyFont="1" applyBorder="1" applyAlignment="1">
      <alignment horizontal="center" vertical="center"/>
    </xf>
    <xf numFmtId="165" fontId="60" fillId="0" borderId="19" xfId="16" applyNumberFormat="1" applyFont="1" applyBorder="1" applyAlignment="1">
      <alignment horizontal="center" vertical="center"/>
    </xf>
    <xf numFmtId="165" fontId="60" fillId="0" borderId="16" xfId="16" applyNumberFormat="1" applyFont="1" applyBorder="1" applyAlignment="1">
      <alignment horizontal="center" vertical="center"/>
    </xf>
    <xf numFmtId="165" fontId="60" fillId="0" borderId="17" xfId="16" applyNumberFormat="1" applyFont="1" applyBorder="1" applyAlignment="1">
      <alignment horizontal="center" vertical="center"/>
    </xf>
    <xf numFmtId="3" fontId="61" fillId="3" borderId="9" xfId="16" applyNumberFormat="1" applyFont="1" applyFill="1" applyBorder="1" applyAlignment="1">
      <alignment vertical="center"/>
    </xf>
    <xf numFmtId="0" fontId="65" fillId="3" borderId="8" xfId="16" applyFont="1" applyFill="1" applyBorder="1" applyAlignment="1">
      <alignment vertical="center"/>
    </xf>
    <xf numFmtId="0" fontId="65" fillId="3" borderId="0" xfId="16" applyFont="1" applyFill="1" applyAlignment="1">
      <alignment vertical="center"/>
    </xf>
    <xf numFmtId="0" fontId="65" fillId="3" borderId="5" xfId="16" applyFont="1" applyFill="1" applyBorder="1" applyAlignment="1">
      <alignment vertical="center"/>
    </xf>
    <xf numFmtId="0" fontId="45" fillId="3" borderId="5" xfId="16" applyFont="1" applyFill="1" applyBorder="1" applyAlignment="1">
      <alignment vertical="center"/>
    </xf>
    <xf numFmtId="0" fontId="60" fillId="0" borderId="9" xfId="16" applyFont="1" applyBorder="1" applyAlignment="1">
      <alignment vertical="center"/>
    </xf>
    <xf numFmtId="5" fontId="62" fillId="0" borderId="10" xfId="16" applyNumberFormat="1" applyFont="1" applyBorder="1" applyAlignment="1">
      <alignment vertical="center"/>
    </xf>
    <xf numFmtId="5" fontId="62" fillId="0" borderId="0" xfId="16" applyNumberFormat="1" applyFont="1" applyAlignment="1">
      <alignment vertical="center"/>
    </xf>
    <xf numFmtId="197" fontId="45" fillId="0" borderId="0" xfId="16" applyNumberFormat="1" applyFont="1" applyAlignment="1">
      <alignment vertical="center"/>
    </xf>
    <xf numFmtId="202" fontId="62" fillId="0" borderId="10" xfId="16" applyNumberFormat="1" applyFont="1" applyBorder="1" applyAlignment="1">
      <alignment vertical="center"/>
    </xf>
    <xf numFmtId="202" fontId="62" fillId="0" borderId="0" xfId="16" applyNumberFormat="1" applyFont="1" applyAlignment="1">
      <alignment vertical="center"/>
    </xf>
    <xf numFmtId="202" fontId="45" fillId="0" borderId="0" xfId="16" applyNumberFormat="1" applyFont="1" applyAlignment="1">
      <alignment vertical="center"/>
    </xf>
    <xf numFmtId="5" fontId="62" fillId="0" borderId="31" xfId="16" applyNumberFormat="1" applyFont="1" applyBorder="1" applyAlignment="1">
      <alignment vertical="center"/>
    </xf>
    <xf numFmtId="5" fontId="62" fillId="0" borderId="4" xfId="16" applyNumberFormat="1" applyFont="1" applyBorder="1" applyAlignment="1">
      <alignment vertical="center"/>
    </xf>
    <xf numFmtId="197" fontId="62" fillId="0" borderId="4" xfId="16" applyNumberFormat="1" applyFont="1" applyBorder="1" applyAlignment="1">
      <alignment vertical="center"/>
    </xf>
    <xf numFmtId="0" fontId="64" fillId="0" borderId="11" xfId="16" applyFont="1" applyBorder="1" applyAlignment="1">
      <alignment vertical="center"/>
    </xf>
    <xf numFmtId="0" fontId="45" fillId="0" borderId="13" xfId="16" applyFont="1" applyBorder="1" applyAlignment="1">
      <alignment vertical="center"/>
    </xf>
    <xf numFmtId="10" fontId="62" fillId="0" borderId="0" xfId="21" applyNumberFormat="1" applyFont="1" applyBorder="1" applyAlignment="1">
      <alignment vertical="center"/>
    </xf>
    <xf numFmtId="203" fontId="64" fillId="0" borderId="11" xfId="16" applyNumberFormat="1" applyFont="1" applyBorder="1" applyAlignment="1">
      <alignment horizontal="center" vertical="center"/>
    </xf>
    <xf numFmtId="203" fontId="64" fillId="0" borderId="13" xfId="16" applyNumberFormat="1" applyFont="1" applyBorder="1" applyAlignment="1">
      <alignment horizontal="center" vertical="center"/>
    </xf>
    <xf numFmtId="0" fontId="62" fillId="4" borderId="7" xfId="16" applyFont="1" applyFill="1" applyBorder="1" applyAlignment="1">
      <alignment vertical="center"/>
    </xf>
    <xf numFmtId="165" fontId="62" fillId="4" borderId="8" xfId="21" applyNumberFormat="1" applyFont="1" applyFill="1" applyBorder="1" applyAlignment="1">
      <alignment vertical="center"/>
    </xf>
    <xf numFmtId="193" fontId="62" fillId="0" borderId="0" xfId="16" applyNumberFormat="1" applyFont="1" applyAlignment="1">
      <alignment vertical="center"/>
    </xf>
    <xf numFmtId="165" fontId="58" fillId="16" borderId="23" xfId="18" applyNumberFormat="1" applyFont="1" applyFill="1" applyBorder="1" applyAlignment="1">
      <alignment horizontal="center"/>
    </xf>
    <xf numFmtId="165" fontId="58" fillId="16" borderId="8" xfId="18" applyNumberFormat="1" applyFont="1" applyFill="1" applyBorder="1" applyAlignment="1">
      <alignment horizontal="center"/>
    </xf>
    <xf numFmtId="0" fontId="62" fillId="4" borderId="9" xfId="16" applyFont="1" applyFill="1" applyBorder="1" applyAlignment="1">
      <alignment vertical="center"/>
    </xf>
    <xf numFmtId="5" fontId="62" fillId="4" borderId="10" xfId="16" applyNumberFormat="1" applyFont="1" applyFill="1" applyBorder="1" applyAlignment="1">
      <alignment vertical="center"/>
    </xf>
    <xf numFmtId="193" fontId="62" fillId="0" borderId="0" xfId="22" applyNumberFormat="1" applyFont="1" applyBorder="1" applyAlignment="1">
      <alignment vertical="center"/>
    </xf>
    <xf numFmtId="189" fontId="58" fillId="16" borderId="22" xfId="16" applyNumberFormat="1" applyFont="1" applyFill="1" applyBorder="1" applyAlignment="1">
      <alignment horizontal="center"/>
    </xf>
    <xf numFmtId="189" fontId="58" fillId="16" borderId="10" xfId="16" applyNumberFormat="1" applyFont="1" applyFill="1" applyBorder="1" applyAlignment="1">
      <alignment horizontal="center"/>
    </xf>
    <xf numFmtId="204" fontId="62" fillId="4" borderId="10" xfId="21" applyNumberFormat="1" applyFont="1" applyFill="1" applyBorder="1" applyAlignment="1">
      <alignment vertical="center"/>
    </xf>
    <xf numFmtId="193" fontId="62" fillId="0" borderId="0" xfId="21" applyNumberFormat="1" applyFont="1" applyFill="1" applyBorder="1" applyAlignment="1">
      <alignment vertical="center"/>
    </xf>
    <xf numFmtId="5" fontId="58" fillId="16" borderId="19" xfId="16" applyNumberFormat="1" applyFont="1" applyFill="1" applyBorder="1" applyAlignment="1">
      <alignment horizontal="center"/>
    </xf>
    <xf numFmtId="5" fontId="58" fillId="16" borderId="17" xfId="16" applyNumberFormat="1" applyFont="1" applyFill="1" applyBorder="1" applyAlignment="1">
      <alignment horizontal="center"/>
    </xf>
    <xf numFmtId="165" fontId="62" fillId="4" borderId="17" xfId="21" applyNumberFormat="1" applyFont="1" applyFill="1" applyBorder="1" applyAlignment="1">
      <alignment vertical="center"/>
    </xf>
    <xf numFmtId="0" fontId="1" fillId="0" borderId="0" xfId="16"/>
    <xf numFmtId="197" fontId="45" fillId="0" borderId="9" xfId="16" applyNumberFormat="1" applyFont="1" applyBorder="1" applyAlignment="1">
      <alignment vertical="center"/>
    </xf>
    <xf numFmtId="202" fontId="45" fillId="0" borderId="9" xfId="16" applyNumberFormat="1" applyFont="1" applyBorder="1" applyAlignment="1">
      <alignment vertical="center"/>
    </xf>
    <xf numFmtId="202" fontId="45" fillId="0" borderId="16" xfId="16" applyNumberFormat="1" applyFont="1" applyBorder="1" applyAlignment="1">
      <alignment vertical="center"/>
    </xf>
    <xf numFmtId="202" fontId="45" fillId="0" borderId="6" xfId="16" applyNumberFormat="1" applyFont="1" applyBorder="1" applyAlignment="1">
      <alignment vertical="center"/>
    </xf>
    <xf numFmtId="0" fontId="62" fillId="0" borderId="4" xfId="16" applyFont="1" applyBorder="1"/>
    <xf numFmtId="5" fontId="62" fillId="0" borderId="31" xfId="16" applyNumberFormat="1" applyFont="1" applyBorder="1"/>
    <xf numFmtId="5" fontId="62" fillId="0" borderId="4" xfId="16" applyNumberFormat="1" applyFont="1" applyBorder="1"/>
    <xf numFmtId="197" fontId="62" fillId="0" borderId="4" xfId="16" applyNumberFormat="1" applyFont="1" applyBorder="1"/>
    <xf numFmtId="205" fontId="62" fillId="0" borderId="0" xfId="16" applyNumberFormat="1" applyFont="1" applyAlignment="1">
      <alignment vertical="center"/>
    </xf>
    <xf numFmtId="204" fontId="62" fillId="0" borderId="0" xfId="21" applyNumberFormat="1" applyFont="1" applyBorder="1" applyAlignment="1">
      <alignment vertical="center"/>
    </xf>
    <xf numFmtId="10" fontId="62" fillId="0" borderId="0" xfId="21" applyNumberFormat="1" applyFont="1" applyFill="1" applyBorder="1" applyAlignment="1">
      <alignment vertical="center"/>
    </xf>
    <xf numFmtId="7" fontId="45" fillId="0" borderId="0" xfId="16" applyNumberFormat="1" applyFont="1" applyAlignment="1">
      <alignment vertical="center"/>
    </xf>
    <xf numFmtId="0" fontId="42" fillId="0" borderId="6" xfId="16" applyFont="1" applyBorder="1"/>
    <xf numFmtId="5" fontId="62" fillId="0" borderId="8" xfId="16" applyNumberFormat="1" applyFont="1" applyBorder="1" applyAlignment="1">
      <alignment vertical="center"/>
    </xf>
    <xf numFmtId="197" fontId="45" fillId="0" borderId="5" xfId="16" applyNumberFormat="1" applyFont="1" applyBorder="1" applyAlignment="1">
      <alignment vertical="center"/>
    </xf>
    <xf numFmtId="3" fontId="60" fillId="0" borderId="0" xfId="16" applyNumberFormat="1" applyFont="1" applyAlignment="1">
      <alignment vertical="center"/>
    </xf>
    <xf numFmtId="37" fontId="62" fillId="0" borderId="10" xfId="16" applyNumberFormat="1" applyFont="1" applyBorder="1" applyAlignment="1">
      <alignment vertical="center"/>
    </xf>
    <xf numFmtId="0" fontId="45" fillId="0" borderId="10" xfId="16" applyFont="1" applyBorder="1" applyAlignment="1">
      <alignment vertical="center"/>
    </xf>
    <xf numFmtId="0" fontId="66" fillId="0" borderId="6" xfId="16" applyFont="1" applyBorder="1" applyAlignment="1">
      <alignment vertical="center"/>
    </xf>
    <xf numFmtId="197" fontId="66" fillId="0" borderId="17" xfId="16" applyNumberFormat="1" applyFont="1" applyBorder="1" applyAlignment="1">
      <alignment vertical="center"/>
    </xf>
    <xf numFmtId="197" fontId="64" fillId="0" borderId="6" xfId="16" applyNumberFormat="1" applyFont="1" applyBorder="1" applyAlignment="1">
      <alignment vertical="center"/>
    </xf>
    <xf numFmtId="0" fontId="45" fillId="0" borderId="6" xfId="16" applyFont="1" applyBorder="1" applyAlignment="1">
      <alignment vertical="center"/>
    </xf>
    <xf numFmtId="7" fontId="60" fillId="0" borderId="6" xfId="16" applyNumberFormat="1" applyFont="1" applyBorder="1" applyAlignment="1">
      <alignment vertical="center"/>
    </xf>
    <xf numFmtId="0" fontId="67" fillId="0" borderId="6" xfId="16" applyFont="1" applyBorder="1" applyAlignment="1">
      <alignment horizontal="right" vertical="center"/>
    </xf>
    <xf numFmtId="206" fontId="67" fillId="0" borderId="6" xfId="16" applyNumberFormat="1" applyFont="1" applyBorder="1" applyAlignment="1">
      <alignment horizontal="right" vertical="center"/>
    </xf>
    <xf numFmtId="3" fontId="62" fillId="0" borderId="0" xfId="16" applyNumberFormat="1" applyFont="1" applyAlignment="1">
      <alignment vertical="center"/>
    </xf>
    <xf numFmtId="37" fontId="60" fillId="0" borderId="0" xfId="16" applyNumberFormat="1" applyFont="1" applyAlignment="1">
      <alignment vertical="center"/>
    </xf>
    <xf numFmtId="193" fontId="67" fillId="0" borderId="0" xfId="16" applyNumberFormat="1" applyFont="1" applyAlignment="1">
      <alignment vertical="center"/>
    </xf>
    <xf numFmtId="197" fontId="68" fillId="0" borderId="0" xfId="16" applyNumberFormat="1" applyFont="1" applyAlignment="1">
      <alignment vertical="center"/>
    </xf>
    <xf numFmtId="197" fontId="60" fillId="0" borderId="0" xfId="16" applyNumberFormat="1" applyFont="1" applyAlignment="1">
      <alignment vertical="center"/>
    </xf>
    <xf numFmtId="5" fontId="60" fillId="0" borderId="0" xfId="16" applyNumberFormat="1" applyFont="1" applyAlignment="1">
      <alignment vertical="center"/>
    </xf>
    <xf numFmtId="202" fontId="60" fillId="0" borderId="0" xfId="16" applyNumberFormat="1" applyFont="1" applyAlignment="1">
      <alignment vertical="center"/>
    </xf>
    <xf numFmtId="207" fontId="60" fillId="0" borderId="0" xfId="16" applyNumberFormat="1" applyFont="1" applyAlignment="1">
      <alignment horizontal="left" vertical="center"/>
    </xf>
    <xf numFmtId="10" fontId="60" fillId="0" borderId="0" xfId="23" applyNumberFormat="1" applyFont="1" applyFill="1" applyBorder="1" applyAlignment="1">
      <alignment vertical="center"/>
    </xf>
    <xf numFmtId="37" fontId="60" fillId="0" borderId="6" xfId="16" applyNumberFormat="1" applyFont="1" applyBorder="1" applyAlignment="1">
      <alignment vertical="center"/>
    </xf>
    <xf numFmtId="0" fontId="45" fillId="10" borderId="0" xfId="16" applyFont="1" applyFill="1" applyAlignment="1">
      <alignment vertical="center"/>
    </xf>
    <xf numFmtId="0" fontId="45" fillId="10" borderId="0" xfId="16" applyFont="1" applyFill="1" applyAlignment="1">
      <alignment horizontal="center" vertical="center"/>
    </xf>
    <xf numFmtId="0" fontId="60" fillId="0" borderId="0" xfId="16" applyFont="1" applyAlignment="1">
      <alignment horizontal="center" vertical="center"/>
    </xf>
    <xf numFmtId="5" fontId="68" fillId="0" borderId="0" xfId="16" applyNumberFormat="1" applyFont="1" applyAlignment="1">
      <alignment vertical="center"/>
    </xf>
    <xf numFmtId="0" fontId="60" fillId="0" borderId="0" xfId="16" applyFont="1" applyAlignment="1">
      <alignment horizontal="left" vertical="center"/>
    </xf>
    <xf numFmtId="204" fontId="60" fillId="0" borderId="0" xfId="23" applyNumberFormat="1" applyFont="1" applyBorder="1" applyAlignment="1">
      <alignment horizontal="center" vertical="center"/>
    </xf>
    <xf numFmtId="10" fontId="60" fillId="0" borderId="0" xfId="23" applyNumberFormat="1" applyFont="1" applyFill="1" applyBorder="1" applyAlignment="1">
      <alignment horizontal="center" vertical="center"/>
    </xf>
    <xf numFmtId="0" fontId="62" fillId="9" borderId="0" xfId="16" applyFont="1" applyFill="1" applyAlignment="1">
      <alignment vertical="center"/>
    </xf>
    <xf numFmtId="0" fontId="60" fillId="9" borderId="0" xfId="16" applyFont="1" applyFill="1" applyAlignment="1">
      <alignment vertical="center"/>
    </xf>
    <xf numFmtId="37" fontId="60" fillId="9" borderId="0" xfId="16" applyNumberFormat="1" applyFont="1" applyFill="1" applyAlignment="1">
      <alignment vertical="center"/>
    </xf>
    <xf numFmtId="37" fontId="62" fillId="9" borderId="4" xfId="16" applyNumberFormat="1" applyFont="1" applyFill="1" applyBorder="1" applyAlignment="1">
      <alignment vertical="center"/>
    </xf>
    <xf numFmtId="202" fontId="60" fillId="9" borderId="0" xfId="16" applyNumberFormat="1" applyFont="1" applyFill="1" applyAlignment="1">
      <alignment vertical="center"/>
    </xf>
    <xf numFmtId="10" fontId="60" fillId="0" borderId="0" xfId="23" applyNumberFormat="1" applyFont="1" applyBorder="1" applyAlignment="1">
      <alignment vertical="center"/>
    </xf>
    <xf numFmtId="10" fontId="62" fillId="0" borderId="0" xfId="23" applyNumberFormat="1" applyFont="1" applyFill="1" applyBorder="1" applyAlignment="1">
      <alignment horizontal="left" vertical="center"/>
    </xf>
    <xf numFmtId="165" fontId="60" fillId="0" borderId="0" xfId="23" applyNumberFormat="1" applyFont="1" applyFill="1" applyBorder="1" applyAlignment="1">
      <alignment horizontal="center" vertical="center"/>
    </xf>
    <xf numFmtId="9" fontId="60" fillId="0" borderId="0" xfId="23" applyFont="1" applyFill="1" applyBorder="1" applyAlignment="1">
      <alignment vertical="center"/>
    </xf>
    <xf numFmtId="5" fontId="62" fillId="0" borderId="2" xfId="16" applyNumberFormat="1" applyFont="1" applyBorder="1" applyAlignment="1">
      <alignment vertical="center"/>
    </xf>
    <xf numFmtId="197" fontId="62" fillId="0" borderId="2" xfId="16" applyNumberFormat="1" applyFont="1" applyBorder="1" applyAlignment="1">
      <alignment vertical="center"/>
    </xf>
    <xf numFmtId="0" fontId="64" fillId="0" borderId="0" xfId="16" applyFont="1" applyAlignment="1">
      <alignment vertical="center"/>
    </xf>
    <xf numFmtId="202" fontId="62" fillId="9" borderId="4" xfId="16" applyNumberFormat="1" applyFont="1" applyFill="1" applyBorder="1" applyAlignment="1">
      <alignment vertical="center"/>
    </xf>
    <xf numFmtId="197" fontId="62" fillId="0" borderId="0" xfId="16" applyNumberFormat="1" applyFont="1" applyAlignment="1">
      <alignment vertical="center"/>
    </xf>
    <xf numFmtId="14" fontId="46" fillId="0" borderId="27" xfId="13" applyNumberFormat="1" applyFont="1" applyBorder="1"/>
    <xf numFmtId="0" fontId="61" fillId="3" borderId="7" xfId="16" applyFont="1" applyFill="1" applyBorder="1" applyAlignment="1">
      <alignment vertical="center"/>
    </xf>
    <xf numFmtId="0" fontId="61" fillId="3" borderId="8" xfId="16" applyFont="1" applyFill="1" applyBorder="1" applyAlignment="1">
      <alignment vertical="center"/>
    </xf>
    <xf numFmtId="0" fontId="62" fillId="4" borderId="16" xfId="16" applyFont="1" applyFill="1" applyBorder="1" applyAlignment="1">
      <alignment vertical="center" wrapText="1"/>
    </xf>
    <xf numFmtId="3" fontId="60" fillId="0" borderId="7" xfId="16" applyNumberFormat="1" applyFont="1" applyBorder="1" applyAlignment="1">
      <alignment vertical="center"/>
    </xf>
    <xf numFmtId="3" fontId="60" fillId="0" borderId="16" xfId="16" applyNumberFormat="1" applyFont="1" applyBorder="1" applyAlignment="1">
      <alignment vertical="center"/>
    </xf>
    <xf numFmtId="0" fontId="62" fillId="0" borderId="32" xfId="16" applyFont="1" applyBorder="1" applyAlignment="1">
      <alignment vertical="center"/>
    </xf>
    <xf numFmtId="0" fontId="62" fillId="4" borderId="11" xfId="16" applyFont="1" applyFill="1" applyBorder="1" applyAlignment="1">
      <alignment horizontal="centerContinuous" vertical="center"/>
    </xf>
    <xf numFmtId="0" fontId="62" fillId="4" borderId="25" xfId="16" applyFont="1" applyFill="1" applyBorder="1" applyAlignment="1">
      <alignment horizontal="centerContinuous" vertical="center"/>
    </xf>
    <xf numFmtId="0" fontId="62" fillId="0" borderId="7" xfId="16" applyFont="1" applyBorder="1" applyAlignment="1">
      <alignment vertical="center"/>
    </xf>
    <xf numFmtId="0" fontId="62" fillId="0" borderId="9" xfId="16" applyFont="1" applyBorder="1" applyAlignment="1">
      <alignment horizontal="center" vertical="center"/>
    </xf>
    <xf numFmtId="0" fontId="62" fillId="0" borderId="0" xfId="16" applyFont="1" applyAlignment="1">
      <alignment horizontal="center" vertical="center"/>
    </xf>
    <xf numFmtId="0" fontId="62" fillId="0" borderId="22" xfId="16" applyFont="1" applyBorder="1" applyAlignment="1">
      <alignment horizontal="center" vertical="center"/>
    </xf>
    <xf numFmtId="3" fontId="62" fillId="0" borderId="8" xfId="16" applyNumberFormat="1" applyFont="1" applyBorder="1" applyAlignment="1">
      <alignment horizontal="center" vertical="center"/>
    </xf>
    <xf numFmtId="208" fontId="60" fillId="0" borderId="0" xfId="16" applyNumberFormat="1" applyFont="1" applyAlignment="1">
      <alignment horizontal="center" vertical="center"/>
    </xf>
    <xf numFmtId="0" fontId="60" fillId="0" borderId="16" xfId="16" applyFont="1" applyBorder="1" applyAlignment="1">
      <alignment vertical="center"/>
    </xf>
    <xf numFmtId="195" fontId="61" fillId="3" borderId="11" xfId="16" applyNumberFormat="1" applyFont="1" applyFill="1" applyBorder="1" applyAlignment="1">
      <alignment horizontal="left" vertical="center"/>
    </xf>
    <xf numFmtId="195" fontId="61" fillId="3" borderId="12" xfId="16" applyNumberFormat="1" applyFont="1" applyFill="1" applyBorder="1" applyAlignment="1">
      <alignment horizontal="right" vertical="center"/>
    </xf>
    <xf numFmtId="196" fontId="61" fillId="3" borderId="12" xfId="16" applyNumberFormat="1" applyFont="1" applyFill="1" applyBorder="1" applyAlignment="1">
      <alignment vertical="center"/>
    </xf>
    <xf numFmtId="196" fontId="61" fillId="3" borderId="25" xfId="16" applyNumberFormat="1" applyFont="1" applyFill="1" applyBorder="1" applyAlignment="1">
      <alignment horizontal="center" vertical="center"/>
    </xf>
    <xf numFmtId="194" fontId="45" fillId="0" borderId="0" xfId="16" applyNumberFormat="1" applyFont="1" applyAlignment="1">
      <alignment vertical="center"/>
    </xf>
    <xf numFmtId="197" fontId="64" fillId="4" borderId="22" xfId="16" applyNumberFormat="1" applyFont="1" applyFill="1" applyBorder="1" applyAlignment="1">
      <alignment vertical="center"/>
    </xf>
    <xf numFmtId="202" fontId="64" fillId="4" borderId="22" xfId="16" applyNumberFormat="1" applyFont="1" applyFill="1" applyBorder="1" applyAlignment="1">
      <alignment vertical="center"/>
    </xf>
    <xf numFmtId="197" fontId="62" fillId="4" borderId="24" xfId="16" applyNumberFormat="1" applyFont="1" applyFill="1" applyBorder="1" applyAlignment="1">
      <alignment vertical="center"/>
    </xf>
    <xf numFmtId="210" fontId="62" fillId="4" borderId="10" xfId="21" applyNumberFormat="1" applyFont="1" applyFill="1" applyBorder="1" applyAlignment="1">
      <alignment vertical="center"/>
    </xf>
    <xf numFmtId="196" fontId="61" fillId="3" borderId="6" xfId="16" applyNumberFormat="1" applyFont="1" applyFill="1" applyBorder="1" applyAlignment="1">
      <alignment vertical="center"/>
    </xf>
    <xf numFmtId="194" fontId="45" fillId="0" borderId="9" xfId="16" applyNumberFormat="1" applyFont="1" applyBorder="1" applyAlignment="1">
      <alignment vertical="center"/>
    </xf>
    <xf numFmtId="0" fontId="58" fillId="0" borderId="7" xfId="16" applyFont="1" applyBorder="1"/>
    <xf numFmtId="0" fontId="42" fillId="0" borderId="8" xfId="16" applyFont="1" applyBorder="1"/>
    <xf numFmtId="3" fontId="58" fillId="0" borderId="16" xfId="16" applyNumberFormat="1" applyFont="1" applyBorder="1"/>
    <xf numFmtId="0" fontId="58" fillId="0" borderId="17" xfId="16" applyFont="1" applyBorder="1"/>
    <xf numFmtId="0" fontId="52" fillId="3" borderId="11" xfId="15" applyFont="1" applyFill="1" applyBorder="1" applyAlignment="1">
      <alignment horizontal="left" vertical="center"/>
    </xf>
    <xf numFmtId="0" fontId="53" fillId="3" borderId="12" xfId="16" applyFont="1" applyFill="1" applyBorder="1" applyAlignment="1">
      <alignment vertical="center"/>
    </xf>
    <xf numFmtId="0" fontId="53" fillId="3" borderId="13" xfId="16" applyFont="1" applyFill="1" applyBorder="1" applyAlignment="1">
      <alignment vertical="center"/>
    </xf>
    <xf numFmtId="0" fontId="62" fillId="3" borderId="0" xfId="16" applyFont="1" applyFill="1" applyAlignment="1">
      <alignment vertical="center"/>
    </xf>
    <xf numFmtId="0" fontId="45" fillId="3" borderId="0" xfId="16" applyFont="1" applyFill="1" applyAlignment="1">
      <alignment vertical="center"/>
    </xf>
    <xf numFmtId="0" fontId="42" fillId="3" borderId="0" xfId="16" applyFont="1" applyFill="1"/>
    <xf numFmtId="0" fontId="59" fillId="3" borderId="0" xfId="16" applyFont="1" applyFill="1"/>
    <xf numFmtId="5" fontId="42" fillId="3" borderId="0" xfId="16" applyNumberFormat="1" applyFont="1" applyFill="1"/>
    <xf numFmtId="0" fontId="52" fillId="3" borderId="11" xfId="11" applyFont="1" applyFill="1" applyBorder="1" applyAlignment="1">
      <alignment horizontal="centerContinuous" vertical="center"/>
    </xf>
    <xf numFmtId="0" fontId="52" fillId="3" borderId="12" xfId="11" applyFont="1" applyFill="1" applyBorder="1" applyAlignment="1">
      <alignment horizontal="centerContinuous" vertical="center"/>
    </xf>
    <xf numFmtId="0" fontId="52" fillId="3" borderId="13" xfId="11" applyFont="1" applyFill="1" applyBorder="1" applyAlignment="1">
      <alignment horizontal="centerContinuous" vertical="center"/>
    </xf>
    <xf numFmtId="195" fontId="69" fillId="3" borderId="0" xfId="16" applyNumberFormat="1" applyFont="1" applyFill="1" applyAlignment="1">
      <alignment horizontal="center"/>
    </xf>
    <xf numFmtId="209" fontId="60" fillId="0" borderId="22" xfId="16" applyNumberFormat="1" applyFont="1" applyBorder="1" applyAlignment="1">
      <alignment horizontal="center" vertical="center"/>
    </xf>
    <xf numFmtId="1" fontId="23" fillId="0" borderId="0" xfId="6" applyNumberFormat="1" applyFont="1" applyAlignment="1">
      <alignment horizontal="center"/>
    </xf>
    <xf numFmtId="165" fontId="23" fillId="0" borderId="0" xfId="9" applyNumberFormat="1" applyFont="1" applyFill="1" applyBorder="1" applyAlignment="1">
      <alignment horizontal="center"/>
    </xf>
    <xf numFmtId="9" fontId="21" fillId="0" borderId="9" xfId="6" applyNumberFormat="1" applyFont="1" applyBorder="1"/>
    <xf numFmtId="183" fontId="21" fillId="0" borderId="19" xfId="6" applyNumberFormat="1" applyFont="1" applyBorder="1" applyAlignment="1">
      <alignment horizontal="center"/>
    </xf>
    <xf numFmtId="183" fontId="21" fillId="0" borderId="17" xfId="6" applyNumberFormat="1" applyFont="1" applyBorder="1" applyAlignment="1">
      <alignment horizontal="center"/>
    </xf>
    <xf numFmtId="164" fontId="21" fillId="4" borderId="1" xfId="2" quotePrefix="1" applyNumberFormat="1" applyFont="1" applyFill="1" applyAlignment="1">
      <alignment horizontal="right"/>
    </xf>
    <xf numFmtId="0" fontId="23" fillId="0" borderId="6" xfId="6" applyFont="1" applyBorder="1" applyAlignment="1">
      <alignment horizontal="center" wrapText="1"/>
    </xf>
    <xf numFmtId="1" fontId="23" fillId="0" borderId="6" xfId="4" applyNumberFormat="1" applyFont="1" applyBorder="1" applyAlignment="1">
      <alignment horizontal="center" wrapText="1"/>
    </xf>
    <xf numFmtId="1" fontId="21" fillId="0" borderId="0" xfId="4" applyNumberFormat="1" applyFont="1" applyAlignment="1">
      <alignment horizontal="center"/>
    </xf>
    <xf numFmtId="3" fontId="21" fillId="0" borderId="0" xfId="4" applyNumberFormat="1" applyFont="1" applyAlignment="1">
      <alignment horizontal="center"/>
    </xf>
    <xf numFmtId="181" fontId="21" fillId="0" borderId="0" xfId="8" applyNumberFormat="1" applyFont="1" applyAlignment="1">
      <alignment horizontal="center"/>
    </xf>
    <xf numFmtId="181" fontId="36" fillId="0" borderId="0" xfId="8" applyNumberFormat="1" applyFont="1" applyAlignment="1">
      <alignment horizontal="center"/>
    </xf>
    <xf numFmtId="181" fontId="21" fillId="13" borderId="0" xfId="8" applyNumberFormat="1" applyFont="1" applyFill="1" applyAlignment="1">
      <alignment horizontal="center"/>
    </xf>
    <xf numFmtId="9" fontId="21" fillId="0" borderId="0" xfId="4" applyNumberFormat="1" applyFont="1" applyAlignment="1">
      <alignment horizontal="center"/>
    </xf>
    <xf numFmtId="1" fontId="25" fillId="0" borderId="0" xfId="4" applyNumberFormat="1" applyFont="1" applyAlignment="1">
      <alignment horizontal="center"/>
    </xf>
    <xf numFmtId="9" fontId="25" fillId="0" borderId="0" xfId="4" applyNumberFormat="1" applyFont="1" applyAlignment="1">
      <alignment horizontal="center"/>
    </xf>
    <xf numFmtId="3" fontId="25" fillId="0" borderId="0" xfId="4" applyNumberFormat="1" applyFont="1" applyAlignment="1">
      <alignment horizontal="center"/>
    </xf>
    <xf numFmtId="181" fontId="25" fillId="0" borderId="0" xfId="8" applyNumberFormat="1" applyFont="1" applyAlignment="1">
      <alignment horizontal="center"/>
    </xf>
    <xf numFmtId="181" fontId="25" fillId="13" borderId="0" xfId="8" applyNumberFormat="1" applyFont="1" applyFill="1" applyAlignment="1">
      <alignment horizontal="center"/>
    </xf>
    <xf numFmtId="181" fontId="25" fillId="9" borderId="0" xfId="8" applyNumberFormat="1" applyFont="1" applyFill="1" applyAlignment="1">
      <alignment horizontal="center"/>
    </xf>
    <xf numFmtId="181" fontId="36" fillId="9" borderId="0" xfId="8" applyNumberFormat="1" applyFont="1" applyFill="1" applyAlignment="1">
      <alignment horizontal="center"/>
    </xf>
    <xf numFmtId="181" fontId="7" fillId="17" borderId="0" xfId="8" applyNumberFormat="1" applyFont="1" applyFill="1" applyAlignment="1">
      <alignment horizontal="center"/>
    </xf>
    <xf numFmtId="181" fontId="25" fillId="4" borderId="0" xfId="8" applyNumberFormat="1" applyFont="1" applyFill="1" applyAlignment="1">
      <alignment horizontal="center"/>
    </xf>
    <xf numFmtId="3" fontId="37" fillId="0" borderId="5" xfId="4" applyNumberFormat="1" applyFont="1" applyBorder="1" applyAlignment="1">
      <alignment horizontal="center"/>
    </xf>
    <xf numFmtId="1" fontId="20" fillId="0" borderId="0" xfId="0" applyNumberFormat="1" applyFont="1"/>
    <xf numFmtId="9" fontId="31" fillId="0" borderId="0" xfId="1" applyFont="1" applyBorder="1"/>
    <xf numFmtId="0" fontId="20" fillId="0" borderId="3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5" fillId="0" borderId="0" xfId="3" applyAlignment="1">
      <alignment horizontal="center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/>
    </xf>
  </cellXfs>
  <cellStyles count="24">
    <cellStyle name="Comma 10" xfId="22" xr:uid="{4C15E459-6FC0-445D-8EBB-2899B2FE74A8}"/>
    <cellStyle name="Comma 2" xfId="9" xr:uid="{0F2620D4-EC92-4394-97BD-80141ED7B000}"/>
    <cellStyle name="Currency 2" xfId="8" xr:uid="{25EB94AD-EA4A-4ADA-BDAB-A1462255AB13}"/>
    <cellStyle name="Excel Built-in Normal" xfId="4" xr:uid="{8804DE52-553E-463E-A48B-9847598ED5CF}"/>
    <cellStyle name="Head 2" xfId="15" xr:uid="{F4D949EB-8729-4F84-A3C1-482F841CA0D0}"/>
    <cellStyle name="Heading 5" xfId="12" xr:uid="{FB5FB6F9-9715-47FC-A43A-E778029E4F94}"/>
    <cellStyle name="Hyperlink" xfId="3" builtinId="8"/>
    <cellStyle name="Neutral 2" xfId="10" xr:uid="{A9B2F2AA-3449-43FA-B81F-7B0329B09942}"/>
    <cellStyle name="Normal" xfId="0" builtinId="0"/>
    <cellStyle name="Normal 2" xfId="6" xr:uid="{3B3AEBC8-A06D-46C2-8853-0CDD96AF5166}"/>
    <cellStyle name="Normal 4 8" xfId="13" xr:uid="{36334710-A136-4DB2-B2DF-E73C8C2779E1}"/>
    <cellStyle name="Normal 6 2" xfId="16" xr:uid="{70FF1A9C-B459-42C8-834B-63F499D5AFCD}"/>
    <cellStyle name="Normal 7 2" xfId="19" xr:uid="{A619A769-D590-4DE1-8DC8-92F3CB866751}"/>
    <cellStyle name="Normal 76" xfId="11" xr:uid="{65296CD6-2AFF-438B-AF5D-FBA2F2C5EA29}"/>
    <cellStyle name="Note" xfId="2" builtinId="10"/>
    <cellStyle name="Percent" xfId="1" builtinId="5"/>
    <cellStyle name="Percent 10 2" xfId="21" xr:uid="{E9EDCC9D-EAAA-4D8F-85D9-17D7C67BD1D3}"/>
    <cellStyle name="Percent 17 2" xfId="20" xr:uid="{23A103B6-529F-4F31-96BA-28D7307B6817}"/>
    <cellStyle name="Percent 18" xfId="18" xr:uid="{459A0A20-E63F-406B-9D92-9CC90083FC38}"/>
    <cellStyle name="Percent 2" xfId="7" xr:uid="{8D2E79A4-F7C5-417C-B3DA-86AB77EAB409}"/>
    <cellStyle name="Percent 2 10" xfId="23" xr:uid="{AD9AFCCB-C12A-444F-B71E-9FCAC4FCBD8D}"/>
    <cellStyle name="Percent 2 2 3" xfId="17" xr:uid="{8822F0AD-3795-407A-B1FA-B4AA13488749}"/>
    <cellStyle name="Subhead 2" xfId="14" xr:uid="{6A32E56B-79A3-48A2-A52E-FE9516BFEB68}"/>
    <cellStyle name="Total" xfId="5" builtinId="25"/>
  </cellStyles>
  <dxfs count="3">
    <dxf>
      <numFmt numFmtId="211" formatCode="General;;;"/>
    </dxf>
    <dxf>
      <numFmt numFmtId="211" formatCode="General;;;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274C"/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t Shaffer" id="{D30DFFBF-EBE2-4975-86D0-07BDA77DAF25}" userId="S::matt@apartmentcorp.com::8e970977-31da-4e9d-8aed-4168e1080c1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1-03-17T22:44:52.54" personId="{D30DFFBF-EBE2-4975-86D0-07BDA77DAF25}" id="{3E3B6AED-2C1D-4608-934B-520332C9DE78}">
    <text>Note: If S8 Voucher, calculate averages by breaking out units in breakdown section then link rows to appropriate cells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D0EE-528F-4678-883A-DD5C9032CE0E}">
  <sheetPr>
    <pageSetUpPr fitToPage="1"/>
  </sheetPr>
  <dimension ref="N3:AF33"/>
  <sheetViews>
    <sheetView showGridLines="0" view="pageBreakPreview" topLeftCell="N1" zoomScaleNormal="100" zoomScaleSheetLayoutView="100" zoomScalePageLayoutView="36" workbookViewId="0">
      <selection activeCell="N1" sqref="N1"/>
    </sheetView>
  </sheetViews>
  <sheetFormatPr defaultColWidth="0" defaultRowHeight="12.75" x14ac:dyDescent="0.2"/>
  <cols>
    <col min="1" max="13" width="9.140625" style="3" hidden="1" customWidth="1"/>
    <col min="14" max="29" width="9.140625" style="3" customWidth="1"/>
    <col min="30" max="32" width="0" style="3" hidden="1" customWidth="1"/>
    <col min="33" max="16384" width="9.140625" style="3" hidden="1"/>
  </cols>
  <sheetData>
    <row r="3" spans="14:28" ht="28.5" x14ac:dyDescent="0.45">
      <c r="N3" s="564" t="str">
        <f>+Dashboard!$E$10</f>
        <v>[…]</v>
      </c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1"/>
      <c r="AB3" s="2"/>
    </row>
    <row r="4" spans="14:28" ht="28.5" x14ac:dyDescent="0.45">
      <c r="N4" s="565" t="str">
        <f>+Dashboard!$E$12&amp;", "&amp;Dashboard!$E$13</f>
        <v>[…], […]</v>
      </c>
      <c r="O4" s="565"/>
      <c r="P4" s="565"/>
      <c r="Q4" s="565"/>
      <c r="R4" s="565"/>
      <c r="S4" s="565"/>
      <c r="T4" s="565"/>
      <c r="U4" s="565"/>
      <c r="V4" s="565"/>
      <c r="W4" s="565"/>
      <c r="X4" s="565"/>
      <c r="Y4" s="565"/>
      <c r="Z4" s="565"/>
      <c r="AA4" s="4"/>
    </row>
    <row r="5" spans="14:28" x14ac:dyDescent="0.2"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4:28" s="7" customFormat="1" ht="23.25" x14ac:dyDescent="0.35">
      <c r="N6" s="566">
        <f ca="1">TODAY()</f>
        <v>46065</v>
      </c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6"/>
    </row>
    <row r="8" spans="14:28" ht="15" x14ac:dyDescent="0.25">
      <c r="AB8"/>
    </row>
    <row r="14" spans="14:28" ht="15" x14ac:dyDescent="0.2"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4:28" ht="15" x14ac:dyDescent="0.2">
      <c r="N15" s="9"/>
      <c r="O15" s="9"/>
      <c r="P15" s="9"/>
      <c r="Q15" s="9"/>
      <c r="R15" s="9"/>
      <c r="S15" s="9"/>
      <c r="T15" s="9"/>
      <c r="U15" s="10"/>
      <c r="V15" s="10"/>
      <c r="W15" s="10"/>
      <c r="X15" s="10"/>
      <c r="Y15" s="10"/>
      <c r="Z15" s="10"/>
      <c r="AA15" s="10"/>
      <c r="AB15" s="10"/>
    </row>
    <row r="16" spans="14:28" x14ac:dyDescent="0.2">
      <c r="N16" s="11"/>
      <c r="O16" s="11"/>
      <c r="P16" s="11"/>
      <c r="Q16" s="11"/>
      <c r="R16" s="11"/>
      <c r="S16" s="11"/>
      <c r="T16" s="9"/>
    </row>
    <row r="17" spans="14:28" x14ac:dyDescent="0.2">
      <c r="N17" s="9"/>
      <c r="O17" s="9"/>
      <c r="P17" s="9"/>
      <c r="Q17" s="9"/>
      <c r="R17" s="9"/>
      <c r="S17" s="9"/>
      <c r="T17" s="9"/>
    </row>
    <row r="18" spans="14:28" x14ac:dyDescent="0.2">
      <c r="N18" s="12"/>
      <c r="O18" s="12"/>
      <c r="P18" s="12"/>
      <c r="Q18" s="12"/>
      <c r="R18" s="12"/>
      <c r="S18" s="12"/>
      <c r="T18" s="9"/>
    </row>
    <row r="19" spans="14:28" ht="12.75" customHeight="1" x14ac:dyDescent="0.2">
      <c r="T19" s="2"/>
      <c r="U19" s="2"/>
      <c r="V19" s="2"/>
      <c r="W19" s="2"/>
      <c r="X19" s="2"/>
      <c r="Y19" s="2"/>
      <c r="Z19" s="2"/>
      <c r="AA19" s="2"/>
      <c r="AB19" s="2"/>
    </row>
    <row r="32" spans="14:28" x14ac:dyDescent="0.2"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</row>
    <row r="33" spans="14:26" ht="15" x14ac:dyDescent="0.25">
      <c r="N33" s="568"/>
      <c r="O33" s="568"/>
      <c r="P33" s="568"/>
      <c r="Q33" s="568"/>
      <c r="R33" s="568"/>
      <c r="S33" s="568"/>
      <c r="T33" s="568"/>
      <c r="U33" s="568"/>
      <c r="V33" s="568"/>
      <c r="W33" s="568"/>
      <c r="X33" s="568"/>
      <c r="Y33" s="568"/>
      <c r="Z33" s="568"/>
    </row>
  </sheetData>
  <mergeCells count="5">
    <mergeCell ref="N3:Z3"/>
    <mergeCell ref="N4:Z4"/>
    <mergeCell ref="N6:Z6"/>
    <mergeCell ref="N32:Z32"/>
    <mergeCell ref="N33:Z33"/>
  </mergeCells>
  <pageMargins left="0.7" right="0.7" top="0.75" bottom="0.75" header="0.3" footer="0.3"/>
  <pageSetup scale="89" fitToHeight="0" orientation="landscape" r:id="rId1"/>
  <headerFooter>
    <oddFooter>&amp;C&amp;"Arial,Regular"&amp;9&amp;F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B3B2-0A39-4BBA-BFE3-D7D2C82431D9}">
  <dimension ref="C2:AB68"/>
  <sheetViews>
    <sheetView showGridLines="0" tabSelected="1" view="pageBreakPreview" zoomScaleNormal="100" zoomScaleSheetLayoutView="100" workbookViewId="0">
      <selection activeCell="E40" sqref="E40"/>
    </sheetView>
  </sheetViews>
  <sheetFormatPr defaultColWidth="9.140625" defaultRowHeight="13.5" customHeight="1" x14ac:dyDescent="0.2"/>
  <cols>
    <col min="1" max="2" width="1.7109375" style="13" customWidth="1"/>
    <col min="3" max="3" width="31.42578125" style="13" customWidth="1"/>
    <col min="4" max="4" width="14.28515625" style="13" customWidth="1"/>
    <col min="5" max="5" width="21.7109375" style="13" bestFit="1" customWidth="1"/>
    <col min="6" max="6" width="1.7109375" style="13" customWidth="1"/>
    <col min="7" max="7" width="30.7109375" style="13" customWidth="1"/>
    <col min="8" max="8" width="15.7109375" style="13" customWidth="1"/>
    <col min="9" max="10" width="13.28515625" style="13" customWidth="1"/>
    <col min="11" max="11" width="1.7109375" style="13" customWidth="1"/>
    <col min="12" max="12" width="31.140625" style="13" customWidth="1"/>
    <col min="13" max="13" width="8.85546875" style="13" customWidth="1"/>
    <col min="14" max="14" width="11.5703125" style="13" bestFit="1" customWidth="1"/>
    <col min="15" max="15" width="10" style="13" customWidth="1"/>
    <col min="16" max="16" width="10.7109375" style="13" bestFit="1" customWidth="1"/>
    <col min="17" max="17" width="1.7109375" style="13" customWidth="1"/>
    <col min="18" max="18" width="15.7109375" style="13" customWidth="1"/>
    <col min="19" max="19" width="10.85546875" style="13" customWidth="1"/>
    <col min="20" max="22" width="13.28515625" style="13" customWidth="1"/>
    <col min="23" max="23" width="1.7109375" style="13" customWidth="1"/>
    <col min="24" max="24" width="9.140625" style="13"/>
    <col min="25" max="25" width="18.28515625" style="13" customWidth="1"/>
    <col min="26" max="26" width="9.140625" style="13"/>
    <col min="27" max="28" width="13.28515625" style="13" customWidth="1"/>
    <col min="29" max="16384" width="9.140625" style="13"/>
  </cols>
  <sheetData>
    <row r="2" spans="3:28" customFormat="1" ht="15" customHeight="1" x14ac:dyDescent="0.3">
      <c r="C2" s="243"/>
      <c r="E2" s="13"/>
      <c r="F2" s="243"/>
      <c r="G2" s="182"/>
      <c r="H2" s="182"/>
      <c r="I2" s="182"/>
      <c r="J2" s="182"/>
      <c r="K2" s="182"/>
      <c r="L2" s="243"/>
      <c r="M2" s="182"/>
      <c r="N2" s="182"/>
      <c r="O2" s="182"/>
      <c r="P2" s="243"/>
      <c r="Q2" s="243"/>
      <c r="R2" s="243"/>
      <c r="S2" s="243"/>
      <c r="T2" s="243"/>
      <c r="U2" s="243"/>
      <c r="V2" s="243"/>
    </row>
    <row r="3" spans="3:28" customFormat="1" ht="15.75" customHeight="1" thickBot="1" x14ac:dyDescent="0.35">
      <c r="C3" s="183" t="s">
        <v>0</v>
      </c>
      <c r="D3" s="183"/>
      <c r="E3" s="183"/>
      <c r="F3" s="220"/>
      <c r="G3" s="183"/>
      <c r="H3" s="183"/>
      <c r="I3" s="183"/>
      <c r="J3" s="183"/>
      <c r="K3" s="183"/>
      <c r="L3" s="220"/>
      <c r="M3" s="183"/>
      <c r="N3" s="183"/>
      <c r="O3" s="183"/>
      <c r="P3" s="220"/>
      <c r="Q3" s="220"/>
      <c r="R3" s="220"/>
      <c r="S3" s="220"/>
      <c r="T3" s="220"/>
      <c r="U3" s="220"/>
      <c r="V3" s="220"/>
    </row>
    <row r="4" spans="3:28" customFormat="1" ht="13.5" customHeight="1" thickTop="1" x14ac:dyDescent="0.25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3:28" customFormat="1" ht="15.75" x14ac:dyDescent="0.25">
      <c r="C5" s="179" t="s">
        <v>286</v>
      </c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</row>
    <row r="6" spans="3:28" customFormat="1" ht="5.0999999999999996" customHeight="1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3:28" customFormat="1" ht="13.5" customHeight="1" x14ac:dyDescent="0.25">
      <c r="C7" s="32" t="s">
        <v>303</v>
      </c>
      <c r="D7" s="14"/>
      <c r="E7" s="14"/>
      <c r="G7" s="32" t="s">
        <v>14</v>
      </c>
      <c r="H7" s="32"/>
      <c r="I7" s="14"/>
      <c r="J7" s="14"/>
      <c r="L7" s="215" t="s">
        <v>36</v>
      </c>
      <c r="M7" s="30"/>
      <c r="N7" s="30"/>
      <c r="O7" s="30"/>
      <c r="P7" s="30"/>
      <c r="Q7" s="30"/>
      <c r="R7" s="30"/>
      <c r="S7" s="30"/>
      <c r="T7" s="30"/>
      <c r="U7" s="30"/>
      <c r="V7" s="30"/>
      <c r="Y7" s="215" t="s">
        <v>427</v>
      </c>
      <c r="Z7" s="30"/>
      <c r="AA7" s="30"/>
      <c r="AB7" s="30"/>
    </row>
    <row r="8" spans="3:28" customFormat="1" ht="5.0999999999999996" customHeight="1" x14ac:dyDescent="0.25">
      <c r="C8" s="28"/>
      <c r="D8" s="28"/>
      <c r="E8" s="28"/>
      <c r="G8" s="13"/>
      <c r="H8" s="13"/>
      <c r="I8" s="13"/>
      <c r="J8" s="13"/>
    </row>
    <row r="9" spans="3:28" customFormat="1" ht="13.5" customHeight="1" thickBot="1" x14ac:dyDescent="0.3">
      <c r="C9" s="21" t="s">
        <v>23</v>
      </c>
      <c r="D9" s="21"/>
      <c r="E9" s="563"/>
      <c r="G9" s="21" t="s">
        <v>15</v>
      </c>
      <c r="H9" s="21"/>
      <c r="I9" s="22" t="s">
        <v>16</v>
      </c>
      <c r="J9" s="22" t="s">
        <v>17</v>
      </c>
      <c r="L9" s="21" t="s">
        <v>150</v>
      </c>
      <c r="M9" s="21"/>
      <c r="N9" s="21"/>
      <c r="O9" s="21"/>
      <c r="P9" s="21"/>
      <c r="R9" s="21" t="s">
        <v>105</v>
      </c>
      <c r="S9" s="21"/>
      <c r="T9" s="21"/>
      <c r="U9" s="22" t="s">
        <v>294</v>
      </c>
      <c r="V9" s="22" t="s">
        <v>293</v>
      </c>
      <c r="Y9" s="263" t="s">
        <v>341</v>
      </c>
      <c r="Z9" s="264"/>
      <c r="AA9" s="264"/>
      <c r="AB9" s="265"/>
    </row>
    <row r="10" spans="3:28" ht="13.5" customHeight="1" x14ac:dyDescent="0.2">
      <c r="C10" s="13" t="s">
        <v>1</v>
      </c>
      <c r="E10" s="15" t="s">
        <v>327</v>
      </c>
      <c r="G10" s="13" t="s">
        <v>18</v>
      </c>
      <c r="I10" s="23">
        <f>+D49</f>
        <v>2795000</v>
      </c>
      <c r="J10" s="24">
        <f>+I10/$I$12</f>
        <v>0.60524036379385016</v>
      </c>
      <c r="L10" s="13" t="s">
        <v>69</v>
      </c>
      <c r="P10" s="48">
        <v>0.05</v>
      </c>
      <c r="R10" s="13" t="s">
        <v>106</v>
      </c>
      <c r="U10" s="29">
        <f t="shared" ref="U10:U15" si="0">+V10/$E$16</f>
        <v>0</v>
      </c>
      <c r="V10" s="87"/>
      <c r="Y10" s="266" t="s">
        <v>342</v>
      </c>
      <c r="Z10" s="267"/>
      <c r="AA10" s="267"/>
      <c r="AB10" s="268"/>
    </row>
    <row r="11" spans="3:28" ht="13.5" customHeight="1" x14ac:dyDescent="0.25">
      <c r="C11" s="13" t="s">
        <v>2</v>
      </c>
      <c r="E11" s="15" t="s">
        <v>327</v>
      </c>
      <c r="G11" s="13" t="s">
        <v>20</v>
      </c>
      <c r="I11" s="23">
        <f>+I12-I10</f>
        <v>1823000</v>
      </c>
      <c r="J11" s="24">
        <f>+I11/$I$12</f>
        <v>0.39475963620614984</v>
      </c>
      <c r="L11" s="13" t="s">
        <v>70</v>
      </c>
      <c r="P11" s="48">
        <v>0.03</v>
      </c>
      <c r="R11" s="13" t="s">
        <v>111</v>
      </c>
      <c r="U11" s="29">
        <f t="shared" si="0"/>
        <v>0</v>
      </c>
      <c r="V11" s="87"/>
      <c r="Y11" s="260"/>
      <c r="Z11" s="261"/>
      <c r="AA11" s="262" t="s">
        <v>288</v>
      </c>
      <c r="AB11" s="262" t="s">
        <v>289</v>
      </c>
    </row>
    <row r="12" spans="3:28" ht="13.5" customHeight="1" thickBot="1" x14ac:dyDescent="0.3">
      <c r="C12" s="13" t="s">
        <v>4</v>
      </c>
      <c r="E12" s="15" t="s">
        <v>327</v>
      </c>
      <c r="G12" s="25" t="s">
        <v>21</v>
      </c>
      <c r="H12" s="25"/>
      <c r="I12" s="26">
        <f>+I17</f>
        <v>4618000</v>
      </c>
      <c r="J12" s="27">
        <f>SUM(J10:J11)</f>
        <v>1</v>
      </c>
      <c r="L12" s="13" t="s">
        <v>71</v>
      </c>
      <c r="P12" s="48">
        <v>0.03</v>
      </c>
      <c r="R12" s="13" t="s">
        <v>107</v>
      </c>
      <c r="U12" s="29">
        <f t="shared" si="0"/>
        <v>0</v>
      </c>
      <c r="V12" s="87"/>
      <c r="Y12" s="269" t="s">
        <v>291</v>
      </c>
      <c r="Z12" s="270"/>
      <c r="AA12" s="275">
        <f>+'Scenario 1'!$E$122</f>
        <v>0.11402294565424453</v>
      </c>
      <c r="AB12" s="275">
        <f>+'Scenario 1'!$E$134</f>
        <v>0.13796015016657059</v>
      </c>
    </row>
    <row r="13" spans="3:28" ht="13.5" customHeight="1" thickTop="1" x14ac:dyDescent="0.25">
      <c r="C13" s="13" t="s">
        <v>5</v>
      </c>
      <c r="E13" s="15" t="s">
        <v>327</v>
      </c>
      <c r="L13" s="13" t="s">
        <v>72</v>
      </c>
      <c r="O13" s="54"/>
      <c r="P13" s="46">
        <f>+O13/E16</f>
        <v>0</v>
      </c>
      <c r="R13" s="13" t="s">
        <v>108</v>
      </c>
      <c r="U13" s="29">
        <f t="shared" si="0"/>
        <v>0</v>
      </c>
      <c r="V13" s="87"/>
      <c r="Y13" s="269" t="s">
        <v>290</v>
      </c>
      <c r="Z13" s="270"/>
      <c r="AA13" s="273">
        <f>+'Scenario 1'!$E$123</f>
        <v>1.6264054848805249</v>
      </c>
      <c r="AB13" s="273">
        <f>+'Scenario 1'!$E$135</f>
        <v>1.8048099753078757</v>
      </c>
    </row>
    <row r="14" spans="3:28" ht="13.5" customHeight="1" thickBot="1" x14ac:dyDescent="0.3">
      <c r="C14" s="13" t="s">
        <v>6</v>
      </c>
      <c r="E14" s="15" t="s">
        <v>327</v>
      </c>
      <c r="G14" s="21" t="s">
        <v>19</v>
      </c>
      <c r="H14" s="21"/>
      <c r="I14" s="22" t="s">
        <v>16</v>
      </c>
      <c r="J14" s="22" t="s">
        <v>17</v>
      </c>
      <c r="L14" s="13" t="s">
        <v>73</v>
      </c>
      <c r="O14" s="54"/>
      <c r="P14" s="48">
        <v>2.5000000000000001E-2</v>
      </c>
      <c r="R14" s="13" t="s">
        <v>109</v>
      </c>
      <c r="U14" s="29">
        <f t="shared" si="0"/>
        <v>0</v>
      </c>
      <c r="V14" s="87"/>
      <c r="Y14" s="271" t="s">
        <v>343</v>
      </c>
      <c r="Z14" s="272"/>
      <c r="AA14" s="274">
        <f>+('Scenario 1'!$J$119+'Scenario 1'!$E$119)/1000000</f>
        <v>1.4685246627183277</v>
      </c>
      <c r="AB14" s="274">
        <f>+('Scenario 1'!$J$131+'Scenario 1'!$E$131)/1000000</f>
        <v>0.96884966271832773</v>
      </c>
    </row>
    <row r="15" spans="3:28" ht="13.5" customHeight="1" x14ac:dyDescent="0.25">
      <c r="C15" s="13" t="s">
        <v>3</v>
      </c>
      <c r="E15" s="15" t="s">
        <v>327</v>
      </c>
      <c r="G15" s="13" t="s">
        <v>30</v>
      </c>
      <c r="I15" s="17">
        <f>+E32</f>
        <v>4300000</v>
      </c>
      <c r="J15" s="24">
        <f>+I15/$I$17</f>
        <v>0.93113902122130787</v>
      </c>
      <c r="L15" s="13" t="s">
        <v>74</v>
      </c>
      <c r="P15" s="48">
        <v>0.03</v>
      </c>
      <c r="R15" s="13" t="s">
        <v>110</v>
      </c>
      <c r="U15" s="29">
        <f t="shared" si="0"/>
        <v>0</v>
      </c>
      <c r="V15" s="87"/>
      <c r="Y15"/>
      <c r="Z15"/>
      <c r="AA15"/>
      <c r="AB15"/>
    </row>
    <row r="16" spans="3:28" ht="13.5" customHeight="1" x14ac:dyDescent="0.2">
      <c r="C16" s="13" t="s">
        <v>7</v>
      </c>
      <c r="E16" s="18">
        <v>72</v>
      </c>
      <c r="G16" s="13" t="s">
        <v>31</v>
      </c>
      <c r="I16" s="23">
        <f>+SUM(E34:E40)</f>
        <v>318000</v>
      </c>
      <c r="J16" s="24">
        <f>+I16/$I$17</f>
        <v>6.8860978778692072E-2</v>
      </c>
      <c r="L16" s="13" t="s">
        <v>216</v>
      </c>
      <c r="O16" s="20"/>
      <c r="P16" s="48">
        <v>0.2</v>
      </c>
      <c r="Y16" s="263" t="s">
        <v>341</v>
      </c>
      <c r="Z16" s="264"/>
      <c r="AA16" s="264"/>
      <c r="AB16" s="265"/>
    </row>
    <row r="17" spans="3:28" ht="13.5" customHeight="1" thickBot="1" x14ac:dyDescent="0.25">
      <c r="C17" s="13" t="s">
        <v>8</v>
      </c>
      <c r="E17" s="15" t="s">
        <v>327</v>
      </c>
      <c r="G17" s="25" t="s">
        <v>155</v>
      </c>
      <c r="H17" s="25"/>
      <c r="I17" s="26">
        <f>SUM(I15:I16)</f>
        <v>4618000</v>
      </c>
      <c r="J17" s="27">
        <f>SUM(J15:J16)</f>
        <v>1</v>
      </c>
      <c r="Y17" s="266" t="s">
        <v>344</v>
      </c>
      <c r="Z17" s="267"/>
      <c r="AA17" s="267"/>
      <c r="AB17" s="268"/>
    </row>
    <row r="18" spans="3:28" ht="13.5" customHeight="1" thickTop="1" x14ac:dyDescent="0.25">
      <c r="C18" s="13" t="s">
        <v>9</v>
      </c>
      <c r="E18" s="15" t="s">
        <v>327</v>
      </c>
      <c r="Y18" s="260"/>
      <c r="Z18" s="261"/>
      <c r="AA18" s="262" t="s">
        <v>288</v>
      </c>
      <c r="AB18" s="262" t="s">
        <v>289</v>
      </c>
    </row>
    <row r="19" spans="3:28" ht="13.5" customHeight="1" thickBot="1" x14ac:dyDescent="0.3">
      <c r="C19" s="13" t="s">
        <v>10</v>
      </c>
      <c r="E19" s="15" t="s">
        <v>327</v>
      </c>
      <c r="G19" s="32" t="s">
        <v>153</v>
      </c>
      <c r="H19" s="32"/>
      <c r="I19" s="14"/>
      <c r="J19" s="14"/>
      <c r="L19" s="21" t="s">
        <v>91</v>
      </c>
      <c r="M19" s="21"/>
      <c r="N19" s="22" t="s">
        <v>146</v>
      </c>
      <c r="O19" s="22" t="s">
        <v>294</v>
      </c>
      <c r="P19" s="22" t="s">
        <v>309</v>
      </c>
      <c r="R19" s="21" t="s">
        <v>131</v>
      </c>
      <c r="S19" s="21"/>
      <c r="T19" s="21"/>
      <c r="U19" s="22" t="s">
        <v>294</v>
      </c>
      <c r="V19" s="22" t="s">
        <v>293</v>
      </c>
      <c r="Y19" s="269" t="s">
        <v>291</v>
      </c>
      <c r="Z19" s="270"/>
      <c r="AA19" s="275">
        <f>+'Scenario 2'!$E$122</f>
        <v>0.15005360051057703</v>
      </c>
      <c r="AB19" s="275">
        <f>+'Scenario 2'!$E$134</f>
        <v>0.21238056431499253</v>
      </c>
    </row>
    <row r="20" spans="3:28" ht="13.5" customHeight="1" thickBot="1" x14ac:dyDescent="0.3">
      <c r="C20" s="13" t="s">
        <v>11</v>
      </c>
      <c r="E20" s="15" t="s">
        <v>327</v>
      </c>
      <c r="G20" s="21" t="s">
        <v>161</v>
      </c>
      <c r="H20" s="21"/>
      <c r="I20" s="22" t="s">
        <v>64</v>
      </c>
      <c r="J20" s="22" t="s">
        <v>17</v>
      </c>
      <c r="L20" s="13" t="s">
        <v>75</v>
      </c>
      <c r="N20" s="48">
        <v>1.4999999999999999E-2</v>
      </c>
      <c r="O20" s="29">
        <f>+P20/E16</f>
        <v>0</v>
      </c>
      <c r="P20" s="87"/>
      <c r="R20" s="13" t="s">
        <v>133</v>
      </c>
      <c r="U20" s="50">
        <v>0</v>
      </c>
      <c r="V20" s="29">
        <f>+U20*E16</f>
        <v>0</v>
      </c>
      <c r="Y20" s="269" t="s">
        <v>290</v>
      </c>
      <c r="Z20" s="270"/>
      <c r="AA20" s="273">
        <f>+'Scenario 2'!$E$123</f>
        <v>1.8714612737621752</v>
      </c>
      <c r="AB20" s="273">
        <f>+'Scenario 2'!$E$135</f>
        <v>2.3828351493018944</v>
      </c>
    </row>
    <row r="21" spans="3:28" ht="13.5" customHeight="1" x14ac:dyDescent="0.25">
      <c r="C21" s="13" t="s">
        <v>32</v>
      </c>
      <c r="E21" s="117">
        <f>+'Rent Roll'!N4</f>
        <v>59002</v>
      </c>
      <c r="G21" s="13" t="s">
        <v>159</v>
      </c>
      <c r="I21" s="63">
        <f>'Rent Roll'!C4</f>
        <v>68</v>
      </c>
      <c r="J21" s="62">
        <f>+J23-J22</f>
        <v>0.94444444444444442</v>
      </c>
      <c r="L21" s="13" t="s">
        <v>78</v>
      </c>
      <c r="N21" s="48">
        <v>0</v>
      </c>
      <c r="O21" s="87">
        <v>300</v>
      </c>
      <c r="P21" s="29">
        <f>+O21*E16</f>
        <v>21600</v>
      </c>
      <c r="R21" s="13" t="s">
        <v>134</v>
      </c>
      <c r="U21" s="50">
        <v>700</v>
      </c>
      <c r="V21" s="29">
        <f>+U21*O13</f>
        <v>0</v>
      </c>
      <c r="Y21" s="271" t="s">
        <v>343</v>
      </c>
      <c r="Z21" s="272"/>
      <c r="AA21" s="274">
        <f>+('Scenario 2'!$J$119+'Scenario 2'!$E$119)/1000000</f>
        <v>2.3369282053586224</v>
      </c>
      <c r="AB21" s="274">
        <f>+('Scenario 2'!$J$131+'Scenario 2'!$E$131)/1000000</f>
        <v>1.8372532053586226</v>
      </c>
    </row>
    <row r="22" spans="3:28" ht="13.5" customHeight="1" x14ac:dyDescent="0.2">
      <c r="C22" s="13" t="s">
        <v>33</v>
      </c>
      <c r="E22" s="60">
        <f>+E21/E16</f>
        <v>819.47222222222217</v>
      </c>
      <c r="G22" s="13" t="s">
        <v>160</v>
      </c>
      <c r="I22" s="63">
        <f>'Rent Roll'!C5</f>
        <v>4</v>
      </c>
      <c r="J22" s="62">
        <f>I22/I23</f>
        <v>5.5555555555555552E-2</v>
      </c>
      <c r="L22" s="13" t="s">
        <v>77</v>
      </c>
      <c r="N22" s="48">
        <v>0</v>
      </c>
      <c r="O22" s="29">
        <v>0</v>
      </c>
      <c r="P22" s="87">
        <v>0</v>
      </c>
      <c r="R22" s="13" t="s">
        <v>114</v>
      </c>
      <c r="U22" s="29">
        <f>+V22/$E$16</f>
        <v>180</v>
      </c>
      <c r="V22" s="29">
        <f>+(V23*P13)+(V24*E16)*V25</f>
        <v>12960</v>
      </c>
    </row>
    <row r="23" spans="3:28" ht="13.5" customHeight="1" x14ac:dyDescent="0.2">
      <c r="C23" s="13" t="s">
        <v>34</v>
      </c>
      <c r="E23" s="57">
        <f>+I17/E21</f>
        <v>78.26853327005864</v>
      </c>
      <c r="G23" s="33" t="s">
        <v>67</v>
      </c>
      <c r="H23" s="33"/>
      <c r="I23" s="33">
        <f>+E16</f>
        <v>72</v>
      </c>
      <c r="J23" s="61">
        <f>+I23/$I$23</f>
        <v>1</v>
      </c>
      <c r="L23" s="13" t="s">
        <v>218</v>
      </c>
      <c r="P23" s="87">
        <v>0</v>
      </c>
      <c r="R23" s="47" t="s">
        <v>136</v>
      </c>
      <c r="U23" s="29"/>
      <c r="V23" s="52">
        <v>3600</v>
      </c>
      <c r="Y23" s="263" t="s">
        <v>341</v>
      </c>
      <c r="Z23" s="264"/>
      <c r="AA23" s="264"/>
      <c r="AB23" s="265"/>
    </row>
    <row r="24" spans="3:28" ht="13.5" customHeight="1" x14ac:dyDescent="0.2">
      <c r="C24" s="13" t="s">
        <v>35</v>
      </c>
      <c r="E24" s="57">
        <f>+E22*E23</f>
        <v>64138.888888888883</v>
      </c>
      <c r="R24" s="47" t="s">
        <v>135</v>
      </c>
      <c r="U24" s="29"/>
      <c r="V24" s="52">
        <v>150</v>
      </c>
      <c r="Y24" s="266" t="s">
        <v>428</v>
      </c>
      <c r="Z24" s="267"/>
      <c r="AA24" s="267"/>
      <c r="AB24" s="268"/>
    </row>
    <row r="25" spans="3:28" ht="13.5" customHeight="1" thickBot="1" x14ac:dyDescent="0.3">
      <c r="C25" s="13" t="s">
        <v>325</v>
      </c>
      <c r="E25" s="15" t="s">
        <v>327</v>
      </c>
      <c r="G25" s="21" t="str">
        <f>'Rent Roll'!$J$3</f>
        <v>AMI / S8 Breakdown</v>
      </c>
      <c r="H25" s="21"/>
      <c r="I25" s="22" t="s">
        <v>64</v>
      </c>
      <c r="J25" s="22" t="s">
        <v>17</v>
      </c>
      <c r="L25" s="21" t="s">
        <v>90</v>
      </c>
      <c r="M25" s="21"/>
      <c r="N25" s="22"/>
      <c r="O25" s="22"/>
      <c r="P25" s="22"/>
      <c r="R25" s="47" t="s">
        <v>137</v>
      </c>
      <c r="U25" s="29"/>
      <c r="V25" s="53">
        <v>1.2</v>
      </c>
      <c r="Y25" s="260"/>
      <c r="Z25" s="261"/>
      <c r="AA25" s="262" t="s">
        <v>288</v>
      </c>
      <c r="AB25" s="262" t="s">
        <v>289</v>
      </c>
    </row>
    <row r="26" spans="3:28" ht="13.5" customHeight="1" x14ac:dyDescent="0.25">
      <c r="C26" s="13" t="s">
        <v>326</v>
      </c>
      <c r="E26" s="15" t="s">
        <v>327</v>
      </c>
      <c r="G26" s="35" t="str">
        <f>'Rent Roll'!J4</f>
        <v>40% AMI</v>
      </c>
      <c r="H26" s="35"/>
      <c r="I26" s="35">
        <f ca="1">'Rent Roll'!K4</f>
        <v>2</v>
      </c>
      <c r="J26" s="62">
        <f ca="1">+I26/$I$31</f>
        <v>2.7777777777777776E-2</v>
      </c>
      <c r="L26" s="13" t="s">
        <v>89</v>
      </c>
      <c r="P26" s="219">
        <v>40</v>
      </c>
      <c r="R26" s="13" t="s">
        <v>115</v>
      </c>
      <c r="U26" s="50">
        <v>175</v>
      </c>
      <c r="V26" s="29">
        <f>+(E16/6)*U26</f>
        <v>2100</v>
      </c>
      <c r="Y26" s="269" t="s">
        <v>291</v>
      </c>
      <c r="Z26" s="270"/>
      <c r="AA26" s="275">
        <f>+'Scenario 3'!$E$122</f>
        <v>0.16185257830450706</v>
      </c>
      <c r="AB26" s="275">
        <f>+'Scenario 3'!$E$134</f>
        <v>0.23548185289195955</v>
      </c>
    </row>
    <row r="27" spans="3:28" ht="13.5" customHeight="1" x14ac:dyDescent="0.25">
      <c r="E27" s="18"/>
      <c r="G27" s="35" t="str">
        <f>'Rent Roll'!J5</f>
        <v>50% AMI</v>
      </c>
      <c r="H27" s="35"/>
      <c r="I27" s="35">
        <f ca="1">'Rent Roll'!K5</f>
        <v>9</v>
      </c>
      <c r="J27" s="62">
        <f ca="1">+I27/$I$31</f>
        <v>0.125</v>
      </c>
      <c r="L27" s="13" t="s">
        <v>142</v>
      </c>
      <c r="P27" s="218">
        <v>52</v>
      </c>
      <c r="R27" s="13" t="s">
        <v>116</v>
      </c>
      <c r="U27" s="29">
        <f t="shared" ref="U27" si="1">+V27/$E$16</f>
        <v>0</v>
      </c>
      <c r="V27" s="50">
        <v>0</v>
      </c>
      <c r="Y27" s="269" t="s">
        <v>290</v>
      </c>
      <c r="Z27" s="270"/>
      <c r="AA27" s="273">
        <f>+'Scenario 3'!$E$123</f>
        <v>1.9569722489869599</v>
      </c>
      <c r="AB27" s="273">
        <f>+'Scenario 3'!$E$135</f>
        <v>2.5845341034799385</v>
      </c>
    </row>
    <row r="28" spans="3:28" ht="13.5" customHeight="1" thickBot="1" x14ac:dyDescent="0.3">
      <c r="C28" s="21" t="s">
        <v>158</v>
      </c>
      <c r="D28" s="21"/>
      <c r="E28" s="22" t="s">
        <v>154</v>
      </c>
      <c r="G28" s="35" t="str">
        <f>'Rent Roll'!J6</f>
        <v>60% AMI</v>
      </c>
      <c r="H28" s="35"/>
      <c r="I28" s="35">
        <f ca="1">'Rent Roll'!K6</f>
        <v>27</v>
      </c>
      <c r="J28" s="62">
        <f t="shared" ref="J28:J30" ca="1" si="2">+I28/$I$31</f>
        <v>0.375</v>
      </c>
      <c r="R28" s="13" t="s">
        <v>117</v>
      </c>
      <c r="U28" s="50">
        <v>0</v>
      </c>
      <c r="V28" s="29">
        <f t="shared" ref="V28" si="3">+U28*$E$16</f>
        <v>0</v>
      </c>
      <c r="Y28" s="271" t="s">
        <v>343</v>
      </c>
      <c r="Z28" s="272"/>
      <c r="AA28" s="274">
        <f>+('Scenario 3'!$J$119+'Scenario 3'!$E$119)/1000000</f>
        <v>2.6399532192083988</v>
      </c>
      <c r="AB28" s="274">
        <f>+('Scenario 3'!$J$131+'Scenario 3'!$E$131)/1000000</f>
        <v>2.1402782192083989</v>
      </c>
    </row>
    <row r="29" spans="3:28" ht="13.5" customHeight="1" x14ac:dyDescent="0.2">
      <c r="C29" s="13" t="s">
        <v>12</v>
      </c>
      <c r="E29" s="50">
        <v>4300000</v>
      </c>
      <c r="G29" s="35" t="str">
        <f>'Rent Roll'!J7</f>
        <v>Market</v>
      </c>
      <c r="H29" s="35"/>
      <c r="I29" s="35">
        <f ca="1">'Rent Roll'!K7</f>
        <v>2</v>
      </c>
      <c r="J29" s="62">
        <f t="shared" ca="1" si="2"/>
        <v>2.7777777777777776E-2</v>
      </c>
    </row>
    <row r="30" spans="3:28" ht="13.5" customHeight="1" thickBot="1" x14ac:dyDescent="0.25">
      <c r="C30" s="43" t="s">
        <v>13</v>
      </c>
      <c r="E30" s="216">
        <f>+'Scenario 0'!E89/Dashboard!E29</f>
        <v>0.35488651162790696</v>
      </c>
      <c r="G30" s="35" t="str">
        <f>'Rent Roll'!J8</f>
        <v>S8 Voucher</v>
      </c>
      <c r="H30" s="35"/>
      <c r="I30" s="35">
        <f ca="1">'Rent Roll'!K8</f>
        <v>32</v>
      </c>
      <c r="J30" s="62">
        <f t="shared" ca="1" si="2"/>
        <v>0.44444444444444442</v>
      </c>
      <c r="L30" s="21" t="s">
        <v>143</v>
      </c>
      <c r="M30" s="22" t="s">
        <v>147</v>
      </c>
      <c r="N30" s="22" t="s">
        <v>84</v>
      </c>
      <c r="O30" s="22" t="s">
        <v>85</v>
      </c>
      <c r="P30" s="22" t="s">
        <v>86</v>
      </c>
      <c r="R30" s="21" t="s">
        <v>48</v>
      </c>
      <c r="S30" s="21"/>
      <c r="T30" s="21"/>
      <c r="U30" s="21"/>
      <c r="V30" s="22" t="s">
        <v>132</v>
      </c>
    </row>
    <row r="31" spans="3:28" ht="13.5" customHeight="1" x14ac:dyDescent="0.2">
      <c r="C31" s="43" t="s">
        <v>156</v>
      </c>
      <c r="E31" s="58">
        <f>+E29/E16</f>
        <v>59722.222222222219</v>
      </c>
      <c r="G31" s="33" t="s">
        <v>67</v>
      </c>
      <c r="H31" s="33"/>
      <c r="I31" s="64">
        <f ca="1">SUM(I26:I30)</f>
        <v>72</v>
      </c>
      <c r="J31" s="61">
        <f ca="1">SUM(J26:J30)</f>
        <v>1</v>
      </c>
      <c r="L31" s="13" t="s">
        <v>431</v>
      </c>
      <c r="M31" s="51" t="s">
        <v>148</v>
      </c>
      <c r="N31" s="542">
        <f>+P31/P26/P27</f>
        <v>6.9230769230769234</v>
      </c>
      <c r="O31" s="50">
        <v>1200</v>
      </c>
      <c r="P31" s="29">
        <f>++IF(M31="Yes",O31*12,0)</f>
        <v>14400</v>
      </c>
      <c r="R31" s="13" t="s">
        <v>118</v>
      </c>
      <c r="T31" s="19"/>
      <c r="U31" s="19"/>
      <c r="V31" s="50"/>
    </row>
    <row r="32" spans="3:28" ht="13.5" customHeight="1" x14ac:dyDescent="0.2">
      <c r="C32" s="13" t="s">
        <v>30</v>
      </c>
      <c r="E32" s="93">
        <f>E29</f>
        <v>4300000</v>
      </c>
      <c r="G32" s="28"/>
      <c r="H32" s="28"/>
      <c r="I32" s="561"/>
      <c r="J32" s="562"/>
      <c r="L32" s="13" t="s">
        <v>80</v>
      </c>
      <c r="M32" s="51" t="s">
        <v>148</v>
      </c>
      <c r="N32" s="50">
        <v>27</v>
      </c>
      <c r="O32" s="29">
        <f>+P32/12</f>
        <v>4680</v>
      </c>
      <c r="P32" s="29">
        <f>+IF(M32="Yes",N32*$P$26*$P$27,0)</f>
        <v>56160</v>
      </c>
      <c r="R32" s="13" t="s">
        <v>119</v>
      </c>
      <c r="V32" s="50"/>
    </row>
    <row r="33" spans="3:22" ht="13.5" customHeight="1" thickBot="1" x14ac:dyDescent="0.25">
      <c r="C33" s="43" t="s">
        <v>157</v>
      </c>
      <c r="E33" s="59">
        <f>+E32/$E$16</f>
        <v>59722.222222222219</v>
      </c>
      <c r="G33" s="21" t="str">
        <f>'Rent Roll'!$F$3</f>
        <v>Unit Types</v>
      </c>
      <c r="H33" s="21"/>
      <c r="I33" s="22" t="s">
        <v>64</v>
      </c>
      <c r="J33" s="22" t="s">
        <v>17</v>
      </c>
      <c r="L33" s="13" t="s">
        <v>87</v>
      </c>
      <c r="M33" s="51" t="s">
        <v>149</v>
      </c>
      <c r="N33" s="50">
        <v>20</v>
      </c>
      <c r="O33" s="29">
        <f>+P33/12</f>
        <v>0</v>
      </c>
      <c r="P33" s="29">
        <f>+IF(M33="Yes",N33*$P$26*$P$27,0)</f>
        <v>0</v>
      </c>
      <c r="R33" s="13" t="s">
        <v>120</v>
      </c>
      <c r="V33" s="50"/>
    </row>
    <row r="34" spans="3:22" ht="13.5" customHeight="1" x14ac:dyDescent="0.2">
      <c r="C34" s="13" t="s">
        <v>24</v>
      </c>
      <c r="D34" s="48">
        <v>0.02</v>
      </c>
      <c r="E34" s="17">
        <f>+$D$34*$E$32</f>
        <v>86000</v>
      </c>
      <c r="G34" s="35" t="str">
        <f>'Rent Roll'!F4</f>
        <v>1x1</v>
      </c>
      <c r="H34" s="35"/>
      <c r="I34" s="35">
        <f ca="1">'Rent Roll'!G4</f>
        <v>6</v>
      </c>
      <c r="J34" s="62">
        <f ca="1">+I34/$I$31</f>
        <v>8.3333333333333329E-2</v>
      </c>
      <c r="L34" s="13" t="s">
        <v>88</v>
      </c>
      <c r="M34" s="51" t="s">
        <v>149</v>
      </c>
      <c r="N34" s="50">
        <v>0</v>
      </c>
      <c r="O34" s="29">
        <f>+P34/12</f>
        <v>0</v>
      </c>
      <c r="P34" s="29">
        <f>+IF(M34="Yes",N34*$P$26*$P$27,0)</f>
        <v>0</v>
      </c>
      <c r="R34" s="13" t="s">
        <v>121</v>
      </c>
      <c r="V34" s="50"/>
    </row>
    <row r="35" spans="3:22" ht="13.5" customHeight="1" x14ac:dyDescent="0.2">
      <c r="C35" s="13" t="s">
        <v>25</v>
      </c>
      <c r="D35" s="48">
        <v>0</v>
      </c>
      <c r="E35" s="29">
        <f>+E32*D35</f>
        <v>0</v>
      </c>
      <c r="G35" s="35" t="str">
        <f>'Rent Roll'!F5</f>
        <v>2x1.5</v>
      </c>
      <c r="H35" s="35"/>
      <c r="I35" s="35">
        <f ca="1">'Rent Roll'!G5</f>
        <v>6</v>
      </c>
      <c r="J35" s="62">
        <f t="shared" ref="J35:J39" ca="1" si="4">+I35/$I$31</f>
        <v>8.3333333333333329E-2</v>
      </c>
      <c r="L35" s="13" t="s">
        <v>83</v>
      </c>
      <c r="M35" s="51" t="s">
        <v>148</v>
      </c>
      <c r="N35" s="50">
        <v>27</v>
      </c>
      <c r="O35" s="29">
        <f>+P35/12</f>
        <v>4680</v>
      </c>
      <c r="P35" s="29">
        <f>+IF(M35="Yes",N35*$P$26*$P$27,0)</f>
        <v>56160</v>
      </c>
      <c r="R35" s="13" t="s">
        <v>122</v>
      </c>
      <c r="V35" s="50"/>
    </row>
    <row r="36" spans="3:22" ht="13.5" customHeight="1" x14ac:dyDescent="0.2">
      <c r="C36" s="13" t="s">
        <v>29</v>
      </c>
      <c r="D36" s="49">
        <v>1000</v>
      </c>
      <c r="E36" s="29">
        <f>+D36*E16</f>
        <v>72000</v>
      </c>
      <c r="G36" s="35" t="str">
        <f>'Rent Roll'!F6</f>
        <v>2x2</v>
      </c>
      <c r="H36" s="35"/>
      <c r="I36" s="35">
        <f ca="1">'Rent Roll'!G6</f>
        <v>3</v>
      </c>
      <c r="J36" s="62">
        <f t="shared" ca="1" si="4"/>
        <v>4.1666666666666664E-2</v>
      </c>
      <c r="L36" s="13" t="s">
        <v>433</v>
      </c>
      <c r="M36" s="51" t="s">
        <v>149</v>
      </c>
      <c r="N36" s="50">
        <v>0</v>
      </c>
      <c r="O36" s="29">
        <f>+P36/12</f>
        <v>0</v>
      </c>
      <c r="P36" s="29">
        <f>+IF(M36="Yes",N36*$P$26*$P$27,0)</f>
        <v>0</v>
      </c>
      <c r="R36" s="13" t="s">
        <v>123</v>
      </c>
      <c r="V36" s="50"/>
    </row>
    <row r="37" spans="3:22" ht="13.5" customHeight="1" x14ac:dyDescent="0.2">
      <c r="C37" s="13" t="s">
        <v>26</v>
      </c>
      <c r="E37" s="50">
        <v>35000</v>
      </c>
      <c r="G37" s="35" t="str">
        <f>'Rent Roll'!F7</f>
        <v>2x2 (TH)</v>
      </c>
      <c r="H37" s="35"/>
      <c r="I37" s="35">
        <f ca="1">'Rent Roll'!G7</f>
        <v>19</v>
      </c>
      <c r="J37" s="62">
        <f t="shared" ca="1" si="4"/>
        <v>0.2638888888888889</v>
      </c>
      <c r="L37" s="13" t="s">
        <v>287</v>
      </c>
      <c r="N37" s="48">
        <v>0.03</v>
      </c>
      <c r="R37" s="13" t="s">
        <v>124</v>
      </c>
      <c r="V37" s="50"/>
    </row>
    <row r="38" spans="3:22" ht="13.5" customHeight="1" x14ac:dyDescent="0.2">
      <c r="C38" s="13" t="s">
        <v>27</v>
      </c>
      <c r="E38" s="50">
        <v>100000</v>
      </c>
      <c r="G38" s="35" t="str">
        <f>'Rent Roll'!F8</f>
        <v xml:space="preserve">2x1.5-2x2 </v>
      </c>
      <c r="H38" s="35"/>
      <c r="I38" s="35">
        <f ca="1">'Rent Roll'!G8</f>
        <v>18</v>
      </c>
      <c r="J38" s="62">
        <f t="shared" ca="1" si="4"/>
        <v>0.25</v>
      </c>
      <c r="R38" s="13" t="s">
        <v>125</v>
      </c>
      <c r="V38" s="50"/>
    </row>
    <row r="39" spans="3:22" ht="13.5" customHeight="1" x14ac:dyDescent="0.2">
      <c r="C39" s="13" t="s">
        <v>28</v>
      </c>
      <c r="E39" s="50">
        <v>25000</v>
      </c>
      <c r="G39" s="35" t="str">
        <f>'Rent Roll'!F9</f>
        <v>3x2 (TH)</v>
      </c>
      <c r="H39" s="35"/>
      <c r="I39" s="35">
        <f ca="1">'Rent Roll'!G9</f>
        <v>20</v>
      </c>
      <c r="J39" s="62">
        <f t="shared" ca="1" si="4"/>
        <v>0.27777777777777779</v>
      </c>
    </row>
    <row r="40" spans="3:22" ht="13.5" customHeight="1" thickBot="1" x14ac:dyDescent="0.25">
      <c r="C40" s="13" t="s">
        <v>329</v>
      </c>
      <c r="E40" s="50">
        <v>0</v>
      </c>
      <c r="G40" s="33" t="s">
        <v>67</v>
      </c>
      <c r="H40" s="33"/>
      <c r="I40" s="64">
        <f ca="1">SUM(I34:I39)</f>
        <v>72</v>
      </c>
      <c r="J40" s="61">
        <f ca="1">SUM(J34:J39)</f>
        <v>1</v>
      </c>
      <c r="L40" s="21" t="s">
        <v>91</v>
      </c>
      <c r="M40" s="21"/>
      <c r="N40" s="21"/>
      <c r="O40" s="22" t="s">
        <v>294</v>
      </c>
      <c r="P40" s="22" t="s">
        <v>309</v>
      </c>
      <c r="R40" s="21" t="s">
        <v>308</v>
      </c>
      <c r="S40" s="21"/>
      <c r="T40" s="21"/>
      <c r="U40" s="21"/>
      <c r="V40" s="22" t="s">
        <v>132</v>
      </c>
    </row>
    <row r="41" spans="3:22" ht="13.5" customHeight="1" x14ac:dyDescent="0.2">
      <c r="G41" s="28"/>
      <c r="H41" s="28"/>
      <c r="I41" s="561"/>
      <c r="J41" s="562"/>
      <c r="L41" s="13" t="s">
        <v>103</v>
      </c>
      <c r="O41" s="29"/>
      <c r="P41" s="48">
        <v>0.05</v>
      </c>
      <c r="R41" s="13" t="s">
        <v>430</v>
      </c>
      <c r="U41" s="48"/>
      <c r="V41" s="29">
        <f>+E32*U41</f>
        <v>0</v>
      </c>
    </row>
    <row r="42" spans="3:22" ht="13.5" customHeight="1" thickBot="1" x14ac:dyDescent="0.25">
      <c r="C42" s="21" t="s">
        <v>206</v>
      </c>
      <c r="D42" s="21"/>
      <c r="E42" s="21"/>
      <c r="G42" s="21" t="s">
        <v>162</v>
      </c>
      <c r="H42" s="21"/>
      <c r="I42" s="22"/>
      <c r="J42" s="22"/>
      <c r="L42" s="13" t="s">
        <v>93</v>
      </c>
      <c r="O42" s="29">
        <f>+P42/$E$16</f>
        <v>83.333333333333329</v>
      </c>
      <c r="P42" s="87">
        <v>6000</v>
      </c>
      <c r="R42" s="13" t="s">
        <v>429</v>
      </c>
      <c r="U42" s="48"/>
      <c r="V42" s="29">
        <f>+V41*U42</f>
        <v>0</v>
      </c>
    </row>
    <row r="43" spans="3:22" ht="13.5" customHeight="1" x14ac:dyDescent="0.2">
      <c r="C43" s="13" t="s">
        <v>207</v>
      </c>
      <c r="D43" s="48">
        <v>0.1</v>
      </c>
      <c r="E43" s="29">
        <f>+(I17-I10)*D43</f>
        <v>182300</v>
      </c>
      <c r="G43" s="13" t="s">
        <v>163</v>
      </c>
      <c r="J43" s="29">
        <f>'Rent Roll'!O4</f>
        <v>775.11111111111109</v>
      </c>
      <c r="L43" s="13" t="s">
        <v>104</v>
      </c>
      <c r="O43" s="87">
        <v>150</v>
      </c>
      <c r="P43" s="29">
        <f>+O43*$E$16</f>
        <v>10800</v>
      </c>
      <c r="R43" s="13" t="s">
        <v>138</v>
      </c>
      <c r="T43" s="44" t="s">
        <v>141</v>
      </c>
      <c r="U43" s="48"/>
      <c r="V43" s="29">
        <f>+V42*U43/10</f>
        <v>0</v>
      </c>
    </row>
    <row r="44" spans="3:22" ht="13.5" customHeight="1" x14ac:dyDescent="0.2">
      <c r="C44" s="13" t="s">
        <v>208</v>
      </c>
      <c r="D44" s="178">
        <f>1-D43</f>
        <v>0.9</v>
      </c>
      <c r="E44" s="29">
        <f>+(I17-I10)*D44</f>
        <v>1640700</v>
      </c>
      <c r="G44" s="13" t="s">
        <v>164</v>
      </c>
      <c r="J44" s="29">
        <f>'Rent Roll'!P4</f>
        <v>687.125</v>
      </c>
      <c r="L44" s="13" t="s">
        <v>95</v>
      </c>
      <c r="O44" s="29">
        <f t="shared" ref="O44:O52" si="5">+P44/$E$16</f>
        <v>83.333333333333329</v>
      </c>
      <c r="P44" s="87">
        <v>6000</v>
      </c>
      <c r="R44" s="13" t="s">
        <v>211</v>
      </c>
      <c r="T44" s="44"/>
      <c r="U44" s="44"/>
      <c r="V44" s="19"/>
    </row>
    <row r="45" spans="3:22" ht="13.5" customHeight="1" x14ac:dyDescent="0.2">
      <c r="G45" s="47" t="s">
        <v>68</v>
      </c>
      <c r="H45" s="47"/>
      <c r="J45" s="65">
        <f>+J44/J43</f>
        <v>0.88648580848623859</v>
      </c>
      <c r="L45" s="13" t="s">
        <v>96</v>
      </c>
      <c r="O45" s="29">
        <f t="shared" si="5"/>
        <v>90.277777777777771</v>
      </c>
      <c r="P45" s="87">
        <v>6500</v>
      </c>
      <c r="R45" s="13" t="s">
        <v>139</v>
      </c>
      <c r="U45" s="48"/>
      <c r="V45" s="29">
        <f>+V43*U45</f>
        <v>0</v>
      </c>
    </row>
    <row r="46" spans="3:22" ht="13.5" customHeight="1" thickBot="1" x14ac:dyDescent="0.25">
      <c r="C46" s="21" t="s">
        <v>22</v>
      </c>
      <c r="D46" s="21"/>
      <c r="E46" s="21"/>
      <c r="L46" s="13" t="s">
        <v>97</v>
      </c>
      <c r="O46" s="29">
        <f t="shared" si="5"/>
        <v>0</v>
      </c>
      <c r="P46" s="87">
        <v>0</v>
      </c>
      <c r="R46" s="33" t="s">
        <v>140</v>
      </c>
      <c r="S46" s="38"/>
      <c r="T46" s="38"/>
      <c r="U46" s="213">
        <f>+U43</f>
        <v>0</v>
      </c>
      <c r="V46" s="214">
        <f>+V43+V44-V45</f>
        <v>0</v>
      </c>
    </row>
    <row r="47" spans="3:22" ht="13.5" customHeight="1" x14ac:dyDescent="0.2">
      <c r="C47" s="13" t="s">
        <v>328</v>
      </c>
      <c r="D47" s="28"/>
      <c r="E47" s="15" t="s">
        <v>416</v>
      </c>
      <c r="G47" s="32" t="s">
        <v>307</v>
      </c>
      <c r="H47" s="32"/>
      <c r="I47" s="14"/>
      <c r="J47" s="14"/>
      <c r="L47" s="13" t="s">
        <v>98</v>
      </c>
      <c r="O47" s="29">
        <f t="shared" si="5"/>
        <v>0</v>
      </c>
      <c r="P47" s="87">
        <v>0</v>
      </c>
    </row>
    <row r="48" spans="3:22" ht="13.5" customHeight="1" thickBot="1" x14ac:dyDescent="0.25">
      <c r="C48" s="13" t="s">
        <v>311</v>
      </c>
      <c r="E48" s="24">
        <f>+D49/I17</f>
        <v>0.60524036379385016</v>
      </c>
      <c r="G48" s="21" t="s">
        <v>37</v>
      </c>
      <c r="H48" s="21"/>
      <c r="I48" s="21"/>
      <c r="J48" s="21"/>
      <c r="L48" s="13" t="s">
        <v>99</v>
      </c>
      <c r="O48" s="29">
        <f t="shared" si="5"/>
        <v>0</v>
      </c>
      <c r="P48" s="87">
        <v>0</v>
      </c>
      <c r="R48" s="13" t="s">
        <v>49</v>
      </c>
      <c r="T48" s="180"/>
      <c r="U48" s="50">
        <v>450</v>
      </c>
      <c r="V48" s="29">
        <f>+U48*E16</f>
        <v>32400</v>
      </c>
    </row>
    <row r="49" spans="3:22" ht="13.5" customHeight="1" x14ac:dyDescent="0.2">
      <c r="C49" s="13" t="s">
        <v>310</v>
      </c>
      <c r="D49" s="55">
        <f>+E49*E32</f>
        <v>2795000</v>
      </c>
      <c r="E49" s="48">
        <v>0.65</v>
      </c>
      <c r="G49" s="13" t="s">
        <v>38</v>
      </c>
      <c r="J49" s="185">
        <v>44408</v>
      </c>
      <c r="L49" s="13" t="s">
        <v>100</v>
      </c>
      <c r="O49" s="29">
        <f t="shared" si="5"/>
        <v>27.777777777777779</v>
      </c>
      <c r="P49" s="87">
        <v>2000</v>
      </c>
      <c r="R49" s="13" t="s">
        <v>127</v>
      </c>
      <c r="T49" s="17"/>
      <c r="U49" s="48">
        <v>0.02</v>
      </c>
      <c r="V49" s="29">
        <f>+SUM($P$32:$P$33,$P$35)*U49</f>
        <v>2246.4</v>
      </c>
    </row>
    <row r="50" spans="3:22" ht="13.5" customHeight="1" x14ac:dyDescent="0.2">
      <c r="C50" s="13" t="s">
        <v>169</v>
      </c>
      <c r="D50" s="55"/>
      <c r="E50" s="184">
        <v>6.5000000000000002E-2</v>
      </c>
      <c r="G50" s="13" t="s">
        <v>39</v>
      </c>
      <c r="J50" s="56">
        <v>60</v>
      </c>
      <c r="L50" s="13" t="s">
        <v>101</v>
      </c>
      <c r="O50" s="29">
        <f t="shared" si="5"/>
        <v>0</v>
      </c>
      <c r="P50" s="87">
        <v>0</v>
      </c>
      <c r="R50" s="13" t="s">
        <v>128</v>
      </c>
      <c r="T50" s="41"/>
      <c r="U50" s="48">
        <v>0.03</v>
      </c>
      <c r="V50" s="29">
        <f>+SUM($P$32:$P$33,$P$35)*U50</f>
        <v>3369.6</v>
      </c>
    </row>
    <row r="51" spans="3:22" ht="13.5" customHeight="1" x14ac:dyDescent="0.2">
      <c r="C51" s="13" t="s">
        <v>178</v>
      </c>
      <c r="D51" s="55"/>
      <c r="E51" s="119">
        <f>E50/(1-(1/((1+(E50/12))^(30*12))))</f>
        <v>7.584816281915592E-2</v>
      </c>
      <c r="G51" s="13" t="s">
        <v>40</v>
      </c>
      <c r="J51" s="16">
        <f>+EOMONTH(J49,J50)</f>
        <v>46234</v>
      </c>
      <c r="L51" s="13" t="s">
        <v>299</v>
      </c>
      <c r="O51" s="29">
        <f t="shared" si="5"/>
        <v>0</v>
      </c>
      <c r="P51" s="87">
        <v>0</v>
      </c>
      <c r="R51" s="13" t="s">
        <v>129</v>
      </c>
      <c r="T51" s="181"/>
      <c r="U51" s="48">
        <v>0.1</v>
      </c>
      <c r="V51" s="29">
        <f>+SUM($P$32:$P$33,$P$35)*U51</f>
        <v>11232</v>
      </c>
    </row>
    <row r="52" spans="3:22" ht="13.5" customHeight="1" x14ac:dyDescent="0.2">
      <c r="C52" s="28" t="s">
        <v>179</v>
      </c>
      <c r="D52" s="118"/>
      <c r="E52" s="86">
        <f>+E51*I10</f>
        <v>211995.61507954079</v>
      </c>
      <c r="L52" s="13" t="s">
        <v>102</v>
      </c>
      <c r="O52" s="29">
        <f t="shared" si="5"/>
        <v>0</v>
      </c>
      <c r="P52" s="87">
        <v>0</v>
      </c>
      <c r="R52" s="13" t="s">
        <v>130</v>
      </c>
      <c r="T52" s="23"/>
      <c r="V52" s="50"/>
    </row>
    <row r="53" spans="3:22" ht="13.5" customHeight="1" thickBot="1" x14ac:dyDescent="0.25">
      <c r="C53" s="13" t="s">
        <v>180</v>
      </c>
      <c r="D53" s="55"/>
      <c r="E53" s="57">
        <f>+$I$10*$E$50</f>
        <v>181675</v>
      </c>
      <c r="G53" s="21" t="s">
        <v>304</v>
      </c>
      <c r="H53" s="21"/>
      <c r="I53" s="21"/>
      <c r="J53" s="21"/>
      <c r="O53" s="29"/>
      <c r="T53" s="23"/>
    </row>
    <row r="54" spans="3:22" ht="13.5" customHeight="1" x14ac:dyDescent="0.2">
      <c r="C54" s="28" t="s">
        <v>181</v>
      </c>
      <c r="D54" s="85"/>
      <c r="E54" s="86">
        <f>+E52-E53</f>
        <v>30320.615079540788</v>
      </c>
      <c r="G54" s="13" t="s">
        <v>305</v>
      </c>
      <c r="J54" s="48">
        <v>0.06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spans="3:22" ht="13.5" customHeight="1" x14ac:dyDescent="0.2">
      <c r="C55" s="13" t="s">
        <v>182</v>
      </c>
      <c r="D55" s="85"/>
      <c r="E55" s="94">
        <v>30</v>
      </c>
      <c r="G55" s="13" t="s">
        <v>170</v>
      </c>
      <c r="J55" s="48">
        <v>1.4999999999999999E-2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spans="3:22" ht="13.5" customHeight="1" x14ac:dyDescent="0.2">
      <c r="C56" s="13" t="s">
        <v>321</v>
      </c>
      <c r="D56" s="85"/>
      <c r="E56" s="94">
        <v>8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spans="3:22" ht="13.5" customHeight="1" thickBot="1" x14ac:dyDescent="0.25">
      <c r="C57" s="13" t="s">
        <v>324</v>
      </c>
      <c r="D57" s="241" t="s">
        <v>346</v>
      </c>
      <c r="E57" s="242">
        <f>+'Scenario 0'!$F$81/Dashboard!E52</f>
        <v>1.3767482402430462</v>
      </c>
      <c r="G57" s="21" t="s">
        <v>171</v>
      </c>
      <c r="H57" s="21"/>
      <c r="I57" s="21"/>
      <c r="J57" s="2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spans="3:22" ht="12.75" x14ac:dyDescent="0.2">
      <c r="G58" s="13" t="s">
        <v>172</v>
      </c>
      <c r="J58" s="48">
        <v>0.25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spans="3:22" ht="13.5" customHeight="1" x14ac:dyDescent="0.2">
      <c r="G59" s="13" t="s">
        <v>173</v>
      </c>
      <c r="J59" s="216">
        <f>1-J58</f>
        <v>0.75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spans="3:22" ht="13.5" customHeight="1" x14ac:dyDescent="0.2"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spans="3:22" ht="13.5" customHeight="1" x14ac:dyDescent="0.2"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spans="3:22" ht="13.5" customHeight="1" x14ac:dyDescent="0.2">
      <c r="G62" s="31"/>
      <c r="H62" s="31"/>
      <c r="I62" s="31"/>
      <c r="J62" s="31"/>
    </row>
    <row r="63" spans="3:22" ht="13.5" customHeight="1" x14ac:dyDescent="0.2">
      <c r="G63" s="31"/>
      <c r="H63" s="31"/>
      <c r="I63" s="31"/>
      <c r="J63" s="31"/>
    </row>
    <row r="64" spans="3:22" ht="13.5" customHeight="1" x14ac:dyDescent="0.2">
      <c r="G64" s="31"/>
      <c r="H64" s="31"/>
      <c r="I64" s="31"/>
      <c r="J64" s="31"/>
    </row>
    <row r="65" spans="7:10" ht="13.5" customHeight="1" x14ac:dyDescent="0.2">
      <c r="G65" s="31"/>
      <c r="H65" s="31"/>
      <c r="I65" s="31"/>
      <c r="J65" s="31"/>
    </row>
    <row r="66" spans="7:10" ht="13.5" customHeight="1" x14ac:dyDescent="0.2">
      <c r="G66" s="31"/>
      <c r="H66" s="31"/>
      <c r="I66" s="31"/>
      <c r="J66" s="31"/>
    </row>
    <row r="67" spans="7:10" ht="13.5" customHeight="1" x14ac:dyDescent="0.2">
      <c r="G67" s="31"/>
      <c r="H67" s="31"/>
      <c r="I67" s="31"/>
      <c r="J67" s="31"/>
    </row>
    <row r="68" spans="7:10" ht="13.5" customHeight="1" x14ac:dyDescent="0.2">
      <c r="G68" s="31"/>
      <c r="H68" s="31"/>
      <c r="I68" s="31"/>
      <c r="J68" s="31"/>
    </row>
  </sheetData>
  <conditionalFormatting sqref="E57">
    <cfRule type="cellIs" dxfId="2" priority="1" operator="lessThan">
      <formula>1.24</formula>
    </cfRule>
  </conditionalFormatting>
  <pageMargins left="0.7" right="0.7" top="0.75" bottom="0.75" header="0.3" footer="0.3"/>
  <pageSetup scale="1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F071-73BE-4A71-A84C-132E94F68B6D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EED7-EE37-46A0-8F9E-D0B10225453A}">
  <dimension ref="A1:P186"/>
  <sheetViews>
    <sheetView showGridLines="0" view="pageBreakPreview" zoomScale="80" zoomScaleNormal="100" zoomScaleSheetLayoutView="80" workbookViewId="0">
      <selection activeCell="X22" sqref="X22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1:16" customFormat="1" ht="15" customHeight="1" x14ac:dyDescent="0.3">
      <c r="C1" s="569" t="s">
        <v>339</v>
      </c>
      <c r="D1" s="569"/>
      <c r="E1" s="569"/>
      <c r="F1" s="182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1:16" customFormat="1" ht="15.75" customHeight="1" thickBot="1" x14ac:dyDescent="0.35">
      <c r="C2" s="570"/>
      <c r="D2" s="570"/>
      <c r="E2" s="570"/>
      <c r="F2" s="183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1:16" customFormat="1" ht="13.5" customHeight="1" thickTop="1" x14ac:dyDescent="0.25">
      <c r="C3" s="13"/>
      <c r="D3" s="221" t="s">
        <v>322</v>
      </c>
      <c r="E3" s="221">
        <v>2024</v>
      </c>
      <c r="F3" s="221">
        <f>+E3+1</f>
        <v>2025</v>
      </c>
      <c r="G3" s="221">
        <f t="shared" ref="G3:O3" si="0">+F3+1</f>
        <v>2026</v>
      </c>
      <c r="H3" s="221">
        <f t="shared" si="0"/>
        <v>2027</v>
      </c>
      <c r="I3" s="221">
        <f t="shared" si="0"/>
        <v>2028</v>
      </c>
      <c r="J3" s="221">
        <f t="shared" si="0"/>
        <v>2029</v>
      </c>
      <c r="K3" s="221">
        <f t="shared" si="0"/>
        <v>2030</v>
      </c>
      <c r="L3" s="221">
        <f t="shared" si="0"/>
        <v>2031</v>
      </c>
      <c r="M3" s="221">
        <f t="shared" si="0"/>
        <v>2032</v>
      </c>
      <c r="N3" s="221">
        <f t="shared" si="0"/>
        <v>2033</v>
      </c>
      <c r="O3" s="221">
        <f t="shared" si="0"/>
        <v>2034</v>
      </c>
      <c r="P3" s="104"/>
    </row>
    <row r="4" spans="1:16" customFormat="1" ht="17.45" customHeight="1" x14ac:dyDescent="0.25">
      <c r="C4" s="209" t="s">
        <v>316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  <c r="P4" s="13"/>
    </row>
    <row r="5" spans="1:16" customFormat="1" ht="5.0999999999999996" customHeight="1" x14ac:dyDescent="0.25"/>
    <row r="6" spans="1:16" customFormat="1" ht="13.5" customHeight="1" x14ac:dyDescent="0.25">
      <c r="C6" s="211" t="s">
        <v>41</v>
      </c>
      <c r="D6" s="36"/>
      <c r="E6" s="96" t="s">
        <v>318</v>
      </c>
      <c r="F6" s="96">
        <v>1</v>
      </c>
      <c r="G6" s="96">
        <f>+F6+1</f>
        <v>2</v>
      </c>
      <c r="H6" s="96">
        <f>+G6+1</f>
        <v>3</v>
      </c>
      <c r="I6" s="96">
        <f>+H6+1</f>
        <v>4</v>
      </c>
      <c r="J6" s="96">
        <f t="shared" ref="J6:O6" si="1">+I6+1</f>
        <v>5</v>
      </c>
      <c r="K6" s="96">
        <f t="shared" si="1"/>
        <v>6</v>
      </c>
      <c r="L6" s="96">
        <f t="shared" si="1"/>
        <v>7</v>
      </c>
      <c r="M6" s="96">
        <f t="shared" si="1"/>
        <v>8</v>
      </c>
      <c r="N6" s="96">
        <f t="shared" si="1"/>
        <v>9</v>
      </c>
      <c r="O6" s="96">
        <f t="shared" si="1"/>
        <v>10</v>
      </c>
    </row>
    <row r="7" spans="1:16" ht="13.5" customHeight="1" x14ac:dyDescent="0.2">
      <c r="A7" s="13" t="s">
        <v>435</v>
      </c>
      <c r="C7" s="13" t="s">
        <v>42</v>
      </c>
      <c r="E7" s="222">
        <f>1561954</f>
        <v>1561954</v>
      </c>
      <c r="F7" s="40">
        <f>'Unit Mix'!N26</f>
        <v>593676</v>
      </c>
      <c r="G7" s="40">
        <f>'Unit Mix'!N49</f>
        <v>611486.28</v>
      </c>
      <c r="H7" s="40">
        <f>'Unit Mix'!N72</f>
        <v>629830.86840000004</v>
      </c>
      <c r="I7" s="40">
        <f>'Unit Mix'!N95</f>
        <v>648725.79445200006</v>
      </c>
      <c r="J7" s="40">
        <f>+'Unit Mix'!N118</f>
        <v>668187.56828556012</v>
      </c>
      <c r="K7" s="40">
        <f>+'Unit Mix'!N141</f>
        <v>688233.19533412694</v>
      </c>
      <c r="L7" s="40">
        <f>+'Unit Mix'!N164</f>
        <v>708880.1911941506</v>
      </c>
      <c r="M7" s="40">
        <f>+'Unit Mix'!N187</f>
        <v>730146.59692997532</v>
      </c>
      <c r="N7" s="40">
        <f>+'Unit Mix'!N210</f>
        <v>752050.99483787455</v>
      </c>
      <c r="O7" s="40">
        <f>'Unit Mix'!N233</f>
        <v>774612.52468301088</v>
      </c>
    </row>
    <row r="8" spans="1:16" ht="13.5" customHeight="1" x14ac:dyDescent="0.2">
      <c r="A8" s="13" t="s">
        <v>436</v>
      </c>
      <c r="C8" s="13" t="s">
        <v>43</v>
      </c>
      <c r="D8" s="42">
        <f>+Dashboard!$P$10</f>
        <v>0.05</v>
      </c>
      <c r="E8" s="223">
        <v>48058</v>
      </c>
      <c r="F8" s="41">
        <f t="shared" ref="F8:O8" si="2">+F7*$D$8</f>
        <v>29683.800000000003</v>
      </c>
      <c r="G8" s="41">
        <f t="shared" si="2"/>
        <v>30574.314000000002</v>
      </c>
      <c r="H8" s="41">
        <f t="shared" si="2"/>
        <v>31491.543420000002</v>
      </c>
      <c r="I8" s="41">
        <f t="shared" si="2"/>
        <v>32436.289722600006</v>
      </c>
      <c r="J8" s="41">
        <f t="shared" si="2"/>
        <v>33409.378414278006</v>
      </c>
      <c r="K8" s="41">
        <f t="shared" si="2"/>
        <v>34411.659766706347</v>
      </c>
      <c r="L8" s="41">
        <f t="shared" si="2"/>
        <v>35444.009559707534</v>
      </c>
      <c r="M8" s="41">
        <f t="shared" si="2"/>
        <v>36507.329846498767</v>
      </c>
      <c r="N8" s="41">
        <f t="shared" si="2"/>
        <v>37602.54974189373</v>
      </c>
      <c r="O8" s="41">
        <f t="shared" si="2"/>
        <v>38730.626234150543</v>
      </c>
    </row>
    <row r="9" spans="1:16" ht="13.5" customHeight="1" x14ac:dyDescent="0.2">
      <c r="C9" s="33" t="s">
        <v>44</v>
      </c>
      <c r="D9" s="33"/>
      <c r="E9" s="224">
        <f t="shared" ref="E9:O9" si="3">+E7-E8</f>
        <v>1513896</v>
      </c>
      <c r="F9" s="34">
        <f t="shared" si="3"/>
        <v>563992.19999999995</v>
      </c>
      <c r="G9" s="34">
        <f t="shared" si="3"/>
        <v>580911.96600000001</v>
      </c>
      <c r="H9" s="34">
        <f t="shared" si="3"/>
        <v>598339.32498000003</v>
      </c>
      <c r="I9" s="34">
        <f t="shared" si="3"/>
        <v>616289.50472940004</v>
      </c>
      <c r="J9" s="34">
        <f t="shared" si="3"/>
        <v>634778.18987128208</v>
      </c>
      <c r="K9" s="34">
        <f t="shared" si="3"/>
        <v>653821.53556742053</v>
      </c>
      <c r="L9" s="34">
        <f t="shared" si="3"/>
        <v>673436.18163444311</v>
      </c>
      <c r="M9" s="34">
        <f t="shared" si="3"/>
        <v>693639.26708347653</v>
      </c>
      <c r="N9" s="34">
        <f t="shared" si="3"/>
        <v>714448.44509598077</v>
      </c>
      <c r="O9" s="34">
        <f t="shared" si="3"/>
        <v>735881.89844886039</v>
      </c>
    </row>
    <row r="10" spans="1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16" ht="13.5" customHeight="1" x14ac:dyDescent="0.2">
      <c r="A11" s="13" t="s">
        <v>437</v>
      </c>
      <c r="C11" s="13" t="s">
        <v>45</v>
      </c>
      <c r="D11" s="42">
        <f>+Dashboard!$P$14</f>
        <v>2.5000000000000001E-2</v>
      </c>
      <c r="E11" s="222">
        <v>33716</v>
      </c>
      <c r="F11" s="103">
        <f>+Dashboard!$O$14</f>
        <v>0</v>
      </c>
      <c r="G11" s="112">
        <f>+F11*(1+$D11)</f>
        <v>0</v>
      </c>
      <c r="H11" s="112">
        <f t="shared" ref="H11:O11" si="4">+G11*(1+$D11)</f>
        <v>0</v>
      </c>
      <c r="I11" s="112">
        <f t="shared" si="4"/>
        <v>0</v>
      </c>
      <c r="J11" s="112">
        <f t="shared" si="4"/>
        <v>0</v>
      </c>
      <c r="K11" s="112">
        <f t="shared" si="4"/>
        <v>0</v>
      </c>
      <c r="L11" s="112">
        <f t="shared" si="4"/>
        <v>0</v>
      </c>
      <c r="M11" s="112">
        <f t="shared" si="4"/>
        <v>0</v>
      </c>
      <c r="N11" s="112">
        <f t="shared" si="4"/>
        <v>0</v>
      </c>
      <c r="O11" s="112">
        <f t="shared" si="4"/>
        <v>0</v>
      </c>
    </row>
    <row r="12" spans="1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563992.19999999995</v>
      </c>
      <c r="G12" s="34">
        <f>+SUM(G9:G11)</f>
        <v>580911.96600000001</v>
      </c>
      <c r="H12" s="34">
        <f>+SUM(H9:H11)</f>
        <v>598339.32498000003</v>
      </c>
      <c r="I12" s="34">
        <f>+SUM(I9:I11)</f>
        <v>616289.50472940004</v>
      </c>
      <c r="J12" s="34">
        <f t="shared" ref="J12:N12" si="5">+SUM(J9:J11)</f>
        <v>634778.18987128208</v>
      </c>
      <c r="K12" s="34">
        <f t="shared" si="5"/>
        <v>653821.53556742053</v>
      </c>
      <c r="L12" s="34">
        <f t="shared" si="5"/>
        <v>673436.18163444311</v>
      </c>
      <c r="M12" s="34">
        <f t="shared" si="5"/>
        <v>693639.26708347653</v>
      </c>
      <c r="N12" s="34">
        <f t="shared" si="5"/>
        <v>714448.44509598077</v>
      </c>
      <c r="O12" s="34">
        <f>+SUM(O9:O11)</f>
        <v>735881.89844886039</v>
      </c>
    </row>
    <row r="13" spans="1:16" ht="13.5" customHeight="1" x14ac:dyDescent="0.2">
      <c r="C13" s="104" t="s">
        <v>330</v>
      </c>
      <c r="D13" s="66"/>
      <c r="E13" s="259" t="s">
        <v>300</v>
      </c>
      <c r="F13" s="105">
        <f>+F12/E12-1</f>
        <v>-0.63557261122296804</v>
      </c>
      <c r="G13" s="105">
        <f>+G12/F12-1</f>
        <v>3.0000000000000027E-2</v>
      </c>
      <c r="H13" s="105">
        <f t="shared" ref="H13:O13" si="6">+H12/G12-1</f>
        <v>3.0000000000000027E-2</v>
      </c>
      <c r="I13" s="105">
        <f t="shared" si="6"/>
        <v>3.0000000000000027E-2</v>
      </c>
      <c r="J13" s="105">
        <f t="shared" si="6"/>
        <v>3.0000000000000027E-2</v>
      </c>
      <c r="K13" s="105">
        <f t="shared" si="6"/>
        <v>3.0000000000000027E-2</v>
      </c>
      <c r="L13" s="105">
        <f t="shared" si="6"/>
        <v>3.0000000000000027E-2</v>
      </c>
      <c r="M13" s="105">
        <f t="shared" si="6"/>
        <v>3.0000000000000249E-2</v>
      </c>
      <c r="N13" s="105">
        <f t="shared" si="6"/>
        <v>3.0000000000000027E-2</v>
      </c>
      <c r="O13" s="105">
        <f t="shared" si="6"/>
        <v>3.0000000000000249E-2</v>
      </c>
    </row>
    <row r="14" spans="1:16" ht="5.0999999999999996" customHeight="1" x14ac:dyDescent="0.2">
      <c r="E14" s="226"/>
    </row>
    <row r="15" spans="1:16" ht="13.5" customHeight="1" x14ac:dyDescent="0.2">
      <c r="C15" s="28" t="s">
        <v>59</v>
      </c>
      <c r="E15" s="226"/>
    </row>
    <row r="16" spans="1:16" ht="5.0999999999999996" customHeight="1" outlineLevel="1" x14ac:dyDescent="0.2">
      <c r="C16" s="28"/>
      <c r="E16" s="226"/>
    </row>
    <row r="17" spans="1:15" ht="13.5" customHeight="1" outlineLevel="1" x14ac:dyDescent="0.2">
      <c r="A17" s="132" t="s">
        <v>242</v>
      </c>
      <c r="C17" s="206" t="s">
        <v>46</v>
      </c>
      <c r="D17" s="205">
        <f>+Dashboard!$N$20</f>
        <v>1.4999999999999999E-2</v>
      </c>
      <c r="E17" s="227"/>
      <c r="F17" s="200">
        <f>+Dashboard!P20</f>
        <v>0</v>
      </c>
      <c r="G17" s="201">
        <f>+F17*(1+$D17)</f>
        <v>0</v>
      </c>
      <c r="H17" s="201">
        <f t="shared" ref="H17:I17" si="7">+G17*(1+$D17)</f>
        <v>0</v>
      </c>
      <c r="I17" s="201">
        <f t="shared" si="7"/>
        <v>0</v>
      </c>
      <c r="J17" s="201">
        <f t="shared" ref="J17:O17" si="8">+I17*(1+$D17)</f>
        <v>0</v>
      </c>
      <c r="K17" s="201">
        <f t="shared" si="8"/>
        <v>0</v>
      </c>
      <c r="L17" s="201">
        <f t="shared" si="8"/>
        <v>0</v>
      </c>
      <c r="M17" s="201">
        <f t="shared" si="8"/>
        <v>0</v>
      </c>
      <c r="N17" s="201">
        <f t="shared" si="8"/>
        <v>0</v>
      </c>
      <c r="O17" s="201">
        <f t="shared" si="8"/>
        <v>0</v>
      </c>
    </row>
    <row r="18" spans="1:15" ht="13.5" customHeight="1" x14ac:dyDescent="0.2">
      <c r="C18" s="13" t="s">
        <v>46</v>
      </c>
      <c r="D18" s="42"/>
      <c r="E18" s="228">
        <f>+SUM(E17)</f>
        <v>0</v>
      </c>
      <c r="F18" s="29">
        <f t="shared" ref="F18:O18" si="9">+SUM(F17)</f>
        <v>0</v>
      </c>
      <c r="G18" s="29">
        <f t="shared" si="9"/>
        <v>0</v>
      </c>
      <c r="H18" s="29">
        <f t="shared" si="9"/>
        <v>0</v>
      </c>
      <c r="I18" s="29">
        <f t="shared" si="9"/>
        <v>0</v>
      </c>
      <c r="J18" s="29">
        <f t="shared" ref="J18" si="10">+SUM(J17)</f>
        <v>0</v>
      </c>
      <c r="K18" s="29">
        <f t="shared" ref="K18" si="11">+SUM(K17)</f>
        <v>0</v>
      </c>
      <c r="L18" s="29">
        <f t="shared" ref="L18" si="12">+SUM(L17)</f>
        <v>0</v>
      </c>
      <c r="M18" s="29">
        <f t="shared" ref="M18" si="13">+SUM(M17)</f>
        <v>0</v>
      </c>
      <c r="N18" s="29">
        <f t="shared" ref="N18" si="14">+SUM(N17)</f>
        <v>0</v>
      </c>
      <c r="O18" s="29">
        <f t="shared" si="9"/>
        <v>0</v>
      </c>
    </row>
    <row r="19" spans="1:15" ht="13.5" customHeight="1" outlineLevel="1" x14ac:dyDescent="0.2">
      <c r="D19" s="42"/>
      <c r="E19" s="222"/>
      <c r="F19" s="40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3.5" customHeight="1" outlineLevel="1" x14ac:dyDescent="0.2">
      <c r="A20" s="132" t="s">
        <v>243</v>
      </c>
      <c r="C20" s="206" t="s">
        <v>76</v>
      </c>
      <c r="D20" s="205">
        <f>+Dashboard!$N$21</f>
        <v>0</v>
      </c>
      <c r="E20" s="227">
        <f>+F20</f>
        <v>21600</v>
      </c>
      <c r="F20" s="200">
        <f>+Dashboard!P21</f>
        <v>21600</v>
      </c>
      <c r="G20" s="201">
        <f>+F20*(1+$D20)</f>
        <v>21600</v>
      </c>
      <c r="H20" s="201">
        <f>+G20*(1+$D20)</f>
        <v>21600</v>
      </c>
      <c r="I20" s="201">
        <f t="shared" ref="I20:N21" si="15">+H20*(1+$D20)</f>
        <v>21600</v>
      </c>
      <c r="J20" s="201">
        <f t="shared" si="15"/>
        <v>21600</v>
      </c>
      <c r="K20" s="201">
        <f t="shared" si="15"/>
        <v>21600</v>
      </c>
      <c r="L20" s="201">
        <f t="shared" si="15"/>
        <v>21600</v>
      </c>
      <c r="M20" s="201">
        <f t="shared" si="15"/>
        <v>21600</v>
      </c>
      <c r="N20" s="201">
        <f t="shared" si="15"/>
        <v>21600</v>
      </c>
      <c r="O20" s="201">
        <f t="shared" ref="O20" si="16">+N20*(1+$D20)</f>
        <v>21600</v>
      </c>
    </row>
    <row r="21" spans="1:15" ht="13.5" customHeight="1" outlineLevel="1" x14ac:dyDescent="0.2">
      <c r="A21" s="132" t="s">
        <v>244</v>
      </c>
      <c r="C21" s="207" t="s">
        <v>77</v>
      </c>
      <c r="D21" s="205">
        <f>+Dashboard!$N$22</f>
        <v>0</v>
      </c>
      <c r="E21" s="229">
        <v>0</v>
      </c>
      <c r="F21" s="204">
        <f>+Dashboard!P22</f>
        <v>0</v>
      </c>
      <c r="G21" s="203">
        <f>+F21*(1+$D21)</f>
        <v>0</v>
      </c>
      <c r="H21" s="203">
        <f>+G21*(1+$D21)</f>
        <v>0</v>
      </c>
      <c r="I21" s="203">
        <f t="shared" si="15"/>
        <v>0</v>
      </c>
      <c r="J21" s="203">
        <f t="shared" si="15"/>
        <v>0</v>
      </c>
      <c r="K21" s="203">
        <f t="shared" si="15"/>
        <v>0</v>
      </c>
      <c r="L21" s="203">
        <f t="shared" si="15"/>
        <v>0</v>
      </c>
      <c r="M21" s="203">
        <f t="shared" si="15"/>
        <v>0</v>
      </c>
      <c r="N21" s="203">
        <f t="shared" si="15"/>
        <v>0</v>
      </c>
      <c r="O21" s="203">
        <f t="shared" ref="O21" si="17">+N21*(1+$D21)</f>
        <v>0</v>
      </c>
    </row>
    <row r="22" spans="1:15" ht="13.5" customHeight="1" x14ac:dyDescent="0.2">
      <c r="C22" s="13" t="s">
        <v>79</v>
      </c>
      <c r="E22" s="230">
        <f>SUM(E20:E21)</f>
        <v>21600</v>
      </c>
      <c r="F22" s="197">
        <f t="shared" ref="F22:O22" si="18">SUM(F20:F21)</f>
        <v>21600</v>
      </c>
      <c r="G22" s="197">
        <f t="shared" si="18"/>
        <v>21600</v>
      </c>
      <c r="H22" s="197">
        <f t="shared" si="18"/>
        <v>21600</v>
      </c>
      <c r="I22" s="197">
        <f t="shared" si="18"/>
        <v>21600</v>
      </c>
      <c r="J22" s="197">
        <f t="shared" ref="J22" si="19">SUM(J20:J21)</f>
        <v>21600</v>
      </c>
      <c r="K22" s="197">
        <f t="shared" ref="K22" si="20">SUM(K20:K21)</f>
        <v>21600</v>
      </c>
      <c r="L22" s="197">
        <f t="shared" ref="L22" si="21">SUM(L20:L21)</f>
        <v>21600</v>
      </c>
      <c r="M22" s="197">
        <f t="shared" ref="M22" si="22">SUM(M20:M21)</f>
        <v>21600</v>
      </c>
      <c r="N22" s="197">
        <f t="shared" ref="N22" si="23">SUM(N20:N21)</f>
        <v>21600</v>
      </c>
      <c r="O22" s="197">
        <f t="shared" si="18"/>
        <v>21600</v>
      </c>
    </row>
    <row r="23" spans="1:15" ht="13.5" customHeight="1" outlineLevel="1" x14ac:dyDescent="0.2">
      <c r="E23" s="230"/>
      <c r="F23" s="197"/>
      <c r="G23" s="197"/>
      <c r="H23" s="197"/>
      <c r="I23" s="197"/>
      <c r="J23" s="197"/>
      <c r="K23" s="197"/>
      <c r="L23" s="197"/>
      <c r="M23" s="197"/>
      <c r="N23" s="197"/>
      <c r="O23" s="197"/>
    </row>
    <row r="24" spans="1:15" ht="13.5" customHeight="1" outlineLevel="1" x14ac:dyDescent="0.2">
      <c r="A24" s="132" t="s">
        <v>438</v>
      </c>
      <c r="C24" s="206" t="s">
        <v>431</v>
      </c>
      <c r="D24" s="199">
        <f>+Dashboard!$N$37</f>
        <v>0.03</v>
      </c>
      <c r="E24" s="227"/>
      <c r="F24" s="200">
        <f>+Dashboard!P31</f>
        <v>14400</v>
      </c>
      <c r="G24" s="201">
        <f t="shared" ref="G24:H26" si="24">+F24*(1+$D24)</f>
        <v>14832</v>
      </c>
      <c r="H24" s="201">
        <f t="shared" si="24"/>
        <v>15276.960000000001</v>
      </c>
      <c r="I24" s="201">
        <f t="shared" ref="I24:N26" si="25">+H24*(1+$D24)</f>
        <v>15735.268800000002</v>
      </c>
      <c r="J24" s="201">
        <f t="shared" si="25"/>
        <v>16207.326864000002</v>
      </c>
      <c r="K24" s="201">
        <f t="shared" si="25"/>
        <v>16693.546669920004</v>
      </c>
      <c r="L24" s="201">
        <f t="shared" si="25"/>
        <v>17194.353070017605</v>
      </c>
      <c r="M24" s="201">
        <f t="shared" si="25"/>
        <v>17710.183662118136</v>
      </c>
      <c r="N24" s="201">
        <f t="shared" si="25"/>
        <v>18241.489171981681</v>
      </c>
      <c r="O24" s="201">
        <f t="shared" ref="O24" si="26">+N24*(1+$D24)</f>
        <v>18788.733847141131</v>
      </c>
    </row>
    <row r="25" spans="1:15" ht="13.5" customHeight="1" outlineLevel="1" x14ac:dyDescent="0.2">
      <c r="A25" s="132" t="s">
        <v>245</v>
      </c>
      <c r="C25" s="206" t="s">
        <v>80</v>
      </c>
      <c r="D25" s="199">
        <f>+Dashboard!$N$37</f>
        <v>0.03</v>
      </c>
      <c r="E25" s="227"/>
      <c r="F25" s="200">
        <f>+Dashboard!P32</f>
        <v>56160</v>
      </c>
      <c r="G25" s="201">
        <f t="shared" si="24"/>
        <v>57844.800000000003</v>
      </c>
      <c r="H25" s="201">
        <f t="shared" si="24"/>
        <v>59580.144000000008</v>
      </c>
      <c r="I25" s="201">
        <f t="shared" ref="I25" si="27">+H25*(1+$D25)</f>
        <v>61367.548320000009</v>
      </c>
      <c r="J25" s="201">
        <f t="shared" ref="J25" si="28">+I25*(1+$D25)</f>
        <v>63208.574769600011</v>
      </c>
      <c r="K25" s="201">
        <f t="shared" ref="K25" si="29">+J25*(1+$D25)</f>
        <v>65104.832012688013</v>
      </c>
      <c r="L25" s="201">
        <f t="shared" ref="L25" si="30">+K25*(1+$D25)</f>
        <v>67057.976973068653</v>
      </c>
      <c r="M25" s="201">
        <f t="shared" ref="M25" si="31">+L25*(1+$D25)</f>
        <v>69069.716282260721</v>
      </c>
      <c r="N25" s="201">
        <f t="shared" ref="N25" si="32">+M25*(1+$D25)</f>
        <v>71141.807770728541</v>
      </c>
      <c r="O25" s="201">
        <f t="shared" ref="O25" si="33">+N25*(1+$D25)</f>
        <v>73276.062003850398</v>
      </c>
    </row>
    <row r="26" spans="1:15" ht="13.5" customHeight="1" outlineLevel="1" x14ac:dyDescent="0.2">
      <c r="A26" s="132" t="s">
        <v>246</v>
      </c>
      <c r="C26" s="207" t="s">
        <v>81</v>
      </c>
      <c r="D26" s="199">
        <f>+Dashboard!$N$37</f>
        <v>0.03</v>
      </c>
      <c r="E26" s="229"/>
      <c r="F26" s="204">
        <f>+Dashboard!P33</f>
        <v>0</v>
      </c>
      <c r="G26" s="203">
        <f t="shared" si="24"/>
        <v>0</v>
      </c>
      <c r="H26" s="203">
        <f t="shared" si="24"/>
        <v>0</v>
      </c>
      <c r="I26" s="203">
        <f t="shared" si="25"/>
        <v>0</v>
      </c>
      <c r="J26" s="203">
        <f t="shared" si="25"/>
        <v>0</v>
      </c>
      <c r="K26" s="203">
        <f t="shared" si="25"/>
        <v>0</v>
      </c>
      <c r="L26" s="203">
        <f t="shared" si="25"/>
        <v>0</v>
      </c>
      <c r="M26" s="203">
        <f t="shared" si="25"/>
        <v>0</v>
      </c>
      <c r="N26" s="203">
        <f t="shared" si="25"/>
        <v>0</v>
      </c>
      <c r="O26" s="203">
        <f t="shared" ref="O26" si="34">+N26*(1+$D26)</f>
        <v>0</v>
      </c>
    </row>
    <row r="27" spans="1:15" ht="13.5" customHeight="1" outlineLevel="1" x14ac:dyDescent="0.2">
      <c r="A27" s="132" t="s">
        <v>247</v>
      </c>
      <c r="C27" s="207" t="s">
        <v>82</v>
      </c>
      <c r="D27" s="199">
        <f>+Dashboard!$N$37</f>
        <v>0.03</v>
      </c>
      <c r="E27" s="229"/>
      <c r="F27" s="204">
        <f>+Dashboard!P34</f>
        <v>0</v>
      </c>
      <c r="G27" s="203">
        <f t="shared" ref="G27:I28" si="35">+F27*(1+$D27)</f>
        <v>0</v>
      </c>
      <c r="H27" s="203">
        <f t="shared" si="35"/>
        <v>0</v>
      </c>
      <c r="I27" s="203">
        <f t="shared" si="35"/>
        <v>0</v>
      </c>
      <c r="J27" s="203">
        <f t="shared" ref="J27:N27" si="36">+I27*(1+$D27)</f>
        <v>0</v>
      </c>
      <c r="K27" s="203">
        <f t="shared" si="36"/>
        <v>0</v>
      </c>
      <c r="L27" s="203">
        <f t="shared" si="36"/>
        <v>0</v>
      </c>
      <c r="M27" s="203">
        <f t="shared" si="36"/>
        <v>0</v>
      </c>
      <c r="N27" s="203">
        <f t="shared" si="36"/>
        <v>0</v>
      </c>
      <c r="O27" s="203">
        <f t="shared" ref="O27" si="37">+N27*(1+$D27)</f>
        <v>0</v>
      </c>
    </row>
    <row r="28" spans="1:15" ht="13.5" customHeight="1" outlineLevel="1" x14ac:dyDescent="0.2">
      <c r="A28" s="132" t="s">
        <v>248</v>
      </c>
      <c r="C28" s="207" t="s">
        <v>83</v>
      </c>
      <c r="D28" s="199">
        <f>+Dashboard!$N$37</f>
        <v>0.03</v>
      </c>
      <c r="E28" s="229"/>
      <c r="F28" s="204">
        <f>+Dashboard!P35+Dashboard!P36</f>
        <v>56160</v>
      </c>
      <c r="G28" s="203">
        <f t="shared" si="35"/>
        <v>57844.800000000003</v>
      </c>
      <c r="H28" s="203">
        <f t="shared" si="35"/>
        <v>59580.144000000008</v>
      </c>
      <c r="I28" s="203">
        <f t="shared" si="35"/>
        <v>61367.548320000009</v>
      </c>
      <c r="J28" s="203">
        <f t="shared" ref="J28:N28" si="38">+I28*(1+$D28)</f>
        <v>63208.574769600011</v>
      </c>
      <c r="K28" s="203">
        <f t="shared" si="38"/>
        <v>65104.832012688013</v>
      </c>
      <c r="L28" s="203">
        <f t="shared" si="38"/>
        <v>67057.976973068653</v>
      </c>
      <c r="M28" s="203">
        <f t="shared" si="38"/>
        <v>69069.716282260721</v>
      </c>
      <c r="N28" s="203">
        <f t="shared" si="38"/>
        <v>71141.807770728541</v>
      </c>
      <c r="O28" s="203">
        <f t="shared" ref="O28" si="39">+N28*(1+$D28)</f>
        <v>73276.062003850398</v>
      </c>
    </row>
    <row r="29" spans="1:15" ht="13.5" customHeight="1" x14ac:dyDescent="0.2">
      <c r="C29" s="13" t="s">
        <v>47</v>
      </c>
      <c r="E29" s="230">
        <f>SUM(E24:E28)</f>
        <v>0</v>
      </c>
      <c r="F29" s="197">
        <f t="shared" ref="F29:O29" si="40">SUM(F24:F28)</f>
        <v>126720</v>
      </c>
      <c r="G29" s="197">
        <f t="shared" si="40"/>
        <v>130521.60000000001</v>
      </c>
      <c r="H29" s="197">
        <f t="shared" si="40"/>
        <v>134437.24800000002</v>
      </c>
      <c r="I29" s="197">
        <f t="shared" si="40"/>
        <v>138470.36544000002</v>
      </c>
      <c r="J29" s="197">
        <f t="shared" ref="J29" si="41">SUM(J24:J28)</f>
        <v>142624.47640320001</v>
      </c>
      <c r="K29" s="197">
        <f t="shared" ref="K29" si="42">SUM(K24:K28)</f>
        <v>146903.21069529603</v>
      </c>
      <c r="L29" s="197">
        <f t="shared" ref="L29" si="43">SUM(L24:L28)</f>
        <v>151310.30701615493</v>
      </c>
      <c r="M29" s="197">
        <f t="shared" ref="M29" si="44">SUM(M24:M28)</f>
        <v>155849.61622663957</v>
      </c>
      <c r="N29" s="197">
        <f t="shared" ref="N29" si="45">SUM(N24:N28)</f>
        <v>160525.10471343878</v>
      </c>
      <c r="O29" s="197">
        <f t="shared" si="40"/>
        <v>165340.85785484192</v>
      </c>
    </row>
    <row r="30" spans="1:15" ht="13.5" customHeight="1" outlineLevel="1" x14ac:dyDescent="0.2">
      <c r="E30" s="230"/>
      <c r="F30" s="197"/>
      <c r="G30" s="197"/>
      <c r="H30" s="197"/>
      <c r="I30" s="197"/>
      <c r="J30" s="197"/>
      <c r="K30" s="197"/>
      <c r="L30" s="197"/>
      <c r="M30" s="197"/>
      <c r="N30" s="197"/>
      <c r="O30" s="197"/>
    </row>
    <row r="31" spans="1:15" ht="13.5" customHeight="1" outlineLevel="1" x14ac:dyDescent="0.2">
      <c r="A31" s="132" t="s">
        <v>249</v>
      </c>
      <c r="C31" s="208" t="s">
        <v>92</v>
      </c>
      <c r="D31" s="199">
        <f>+Dashboard!$P$41</f>
        <v>0.05</v>
      </c>
      <c r="E31" s="227"/>
      <c r="F31" s="200">
        <f>+F9*$D$31</f>
        <v>28199.61</v>
      </c>
      <c r="G31" s="201">
        <f>+G9*$D$31</f>
        <v>29045.598300000001</v>
      </c>
      <c r="H31" s="201">
        <f>+H9*$D$31</f>
        <v>29916.966249000005</v>
      </c>
      <c r="I31" s="201">
        <f>+I9*$D$31</f>
        <v>30814.475236470003</v>
      </c>
      <c r="J31" s="201">
        <f t="shared" ref="J31:N31" si="46">+J9*$D$31</f>
        <v>31738.909493564104</v>
      </c>
      <c r="K31" s="201">
        <f t="shared" si="46"/>
        <v>32691.076778371029</v>
      </c>
      <c r="L31" s="201">
        <f t="shared" si="46"/>
        <v>33671.80908172216</v>
      </c>
      <c r="M31" s="201">
        <f t="shared" si="46"/>
        <v>34681.963354173829</v>
      </c>
      <c r="N31" s="201">
        <f t="shared" si="46"/>
        <v>35722.422254799043</v>
      </c>
      <c r="O31" s="201">
        <f t="shared" ref="O31" si="47">+O9*$D$31</f>
        <v>36794.094922443022</v>
      </c>
    </row>
    <row r="32" spans="1:15" ht="13.5" customHeight="1" outlineLevel="1" x14ac:dyDescent="0.2">
      <c r="A32" s="132" t="s">
        <v>250</v>
      </c>
      <c r="C32" s="208" t="s">
        <v>93</v>
      </c>
      <c r="D32" s="199">
        <f>+Dashboard!$P$15</f>
        <v>0.03</v>
      </c>
      <c r="E32" s="229"/>
      <c r="F32" s="202">
        <f>Dashboard!P42</f>
        <v>6000</v>
      </c>
      <c r="G32" s="203">
        <f>+F32*(1+$D32)</f>
        <v>6180</v>
      </c>
      <c r="H32" s="203">
        <f>+G32*(1+$D32)</f>
        <v>6365.4000000000005</v>
      </c>
      <c r="I32" s="203">
        <f t="shared" ref="I32:N32" si="48">+H32*(1+$D32)</f>
        <v>6556.362000000001</v>
      </c>
      <c r="J32" s="203">
        <f t="shared" si="48"/>
        <v>6753.0528600000016</v>
      </c>
      <c r="K32" s="203">
        <f t="shared" si="48"/>
        <v>6955.6444458000014</v>
      </c>
      <c r="L32" s="203">
        <f t="shared" si="48"/>
        <v>7164.3137791740019</v>
      </c>
      <c r="M32" s="203">
        <f t="shared" si="48"/>
        <v>7379.2431925492219</v>
      </c>
      <c r="N32" s="203">
        <f t="shared" si="48"/>
        <v>7600.6204883256987</v>
      </c>
      <c r="O32" s="203">
        <f t="shared" ref="O32" si="49">+N32*(1+$D32)</f>
        <v>7828.6391029754695</v>
      </c>
    </row>
    <row r="33" spans="1:15" ht="13.5" customHeight="1" outlineLevel="1" x14ac:dyDescent="0.2">
      <c r="A33" s="132" t="s">
        <v>251</v>
      </c>
      <c r="C33" s="208" t="s">
        <v>94</v>
      </c>
      <c r="D33" s="199">
        <f>+Dashboard!$P$15</f>
        <v>0.03</v>
      </c>
      <c r="E33" s="229"/>
      <c r="F33" s="202">
        <f>Dashboard!P43</f>
        <v>10800</v>
      </c>
      <c r="G33" s="203">
        <f t="shared" ref="G33:I42" si="50">+F33*(1+$D33)</f>
        <v>11124</v>
      </c>
      <c r="H33" s="203">
        <f t="shared" si="50"/>
        <v>11457.720000000001</v>
      </c>
      <c r="I33" s="203">
        <f t="shared" si="50"/>
        <v>11801.451600000002</v>
      </c>
      <c r="J33" s="203">
        <f t="shared" ref="J33:N33" si="51">+I33*(1+$D33)</f>
        <v>12155.495148000002</v>
      </c>
      <c r="K33" s="203">
        <f t="shared" si="51"/>
        <v>12520.160002440001</v>
      </c>
      <c r="L33" s="203">
        <f t="shared" si="51"/>
        <v>12895.764802513202</v>
      </c>
      <c r="M33" s="203">
        <f t="shared" si="51"/>
        <v>13282.637746588598</v>
      </c>
      <c r="N33" s="203">
        <f t="shared" si="51"/>
        <v>13681.116878986257</v>
      </c>
      <c r="O33" s="203">
        <f t="shared" ref="O33" si="52">+N33*(1+$D33)</f>
        <v>14091.550385355846</v>
      </c>
    </row>
    <row r="34" spans="1:15" ht="13.5" customHeight="1" outlineLevel="1" x14ac:dyDescent="0.2">
      <c r="A34" s="132" t="s">
        <v>252</v>
      </c>
      <c r="C34" s="208" t="s">
        <v>95</v>
      </c>
      <c r="D34" s="199">
        <f>+Dashboard!$P$15</f>
        <v>0.03</v>
      </c>
      <c r="E34" s="229"/>
      <c r="F34" s="202">
        <f>Dashboard!P44</f>
        <v>6000</v>
      </c>
      <c r="G34" s="203">
        <f t="shared" si="50"/>
        <v>6180</v>
      </c>
      <c r="H34" s="203">
        <f t="shared" si="50"/>
        <v>6365.4000000000005</v>
      </c>
      <c r="I34" s="203">
        <f t="shared" si="50"/>
        <v>6556.362000000001</v>
      </c>
      <c r="J34" s="203">
        <f t="shared" ref="J34:N34" si="53">+I34*(1+$D34)</f>
        <v>6753.0528600000016</v>
      </c>
      <c r="K34" s="203">
        <f t="shared" si="53"/>
        <v>6955.6444458000014</v>
      </c>
      <c r="L34" s="203">
        <f t="shared" si="53"/>
        <v>7164.3137791740019</v>
      </c>
      <c r="M34" s="203">
        <f t="shared" si="53"/>
        <v>7379.2431925492219</v>
      </c>
      <c r="N34" s="203">
        <f t="shared" si="53"/>
        <v>7600.6204883256987</v>
      </c>
      <c r="O34" s="203">
        <f t="shared" ref="O34" si="54">+N34*(1+$D34)</f>
        <v>7828.6391029754695</v>
      </c>
    </row>
    <row r="35" spans="1:15" ht="13.5" customHeight="1" outlineLevel="1" x14ac:dyDescent="0.2">
      <c r="A35" s="132" t="s">
        <v>253</v>
      </c>
      <c r="C35" s="208" t="s">
        <v>96</v>
      </c>
      <c r="D35" s="199">
        <f>+Dashboard!$P$15</f>
        <v>0.03</v>
      </c>
      <c r="E35" s="229"/>
      <c r="F35" s="202">
        <f>Dashboard!P45</f>
        <v>6500</v>
      </c>
      <c r="G35" s="203">
        <f t="shared" si="50"/>
        <v>6695</v>
      </c>
      <c r="H35" s="203">
        <f t="shared" si="50"/>
        <v>6895.85</v>
      </c>
      <c r="I35" s="203">
        <f t="shared" si="50"/>
        <v>7102.7255000000005</v>
      </c>
      <c r="J35" s="203">
        <f t="shared" ref="J35:N35" si="55">+I35*(1+$D35)</f>
        <v>7315.8072650000004</v>
      </c>
      <c r="K35" s="203">
        <f t="shared" si="55"/>
        <v>7535.2814829500003</v>
      </c>
      <c r="L35" s="203">
        <f t="shared" si="55"/>
        <v>7761.3399274385001</v>
      </c>
      <c r="M35" s="203">
        <f t="shared" si="55"/>
        <v>7994.1801252616551</v>
      </c>
      <c r="N35" s="203">
        <f t="shared" si="55"/>
        <v>8234.005529019505</v>
      </c>
      <c r="O35" s="203">
        <f t="shared" ref="O35" si="56">+N35*(1+$D35)</f>
        <v>8481.0256948900897</v>
      </c>
    </row>
    <row r="36" spans="1:15" ht="13.5" customHeight="1" outlineLevel="1" x14ac:dyDescent="0.2">
      <c r="A36" s="132" t="s">
        <v>254</v>
      </c>
      <c r="C36" s="208" t="s">
        <v>97</v>
      </c>
      <c r="D36" s="199">
        <f>+Dashboard!$P$15</f>
        <v>0.03</v>
      </c>
      <c r="E36" s="229"/>
      <c r="F36" s="202">
        <f>Dashboard!P46</f>
        <v>0</v>
      </c>
      <c r="G36" s="203">
        <f t="shared" si="50"/>
        <v>0</v>
      </c>
      <c r="H36" s="203">
        <f t="shared" si="50"/>
        <v>0</v>
      </c>
      <c r="I36" s="203">
        <f t="shared" si="50"/>
        <v>0</v>
      </c>
      <c r="J36" s="203">
        <f t="shared" ref="J36:N36" si="57">+I36*(1+$D36)</f>
        <v>0</v>
      </c>
      <c r="K36" s="203">
        <f t="shared" si="57"/>
        <v>0</v>
      </c>
      <c r="L36" s="203">
        <f t="shared" si="57"/>
        <v>0</v>
      </c>
      <c r="M36" s="203">
        <f t="shared" si="57"/>
        <v>0</v>
      </c>
      <c r="N36" s="203">
        <f t="shared" si="57"/>
        <v>0</v>
      </c>
      <c r="O36" s="203">
        <f t="shared" ref="O36" si="58">+N36*(1+$D36)</f>
        <v>0</v>
      </c>
    </row>
    <row r="37" spans="1:15" ht="13.5" customHeight="1" outlineLevel="1" x14ac:dyDescent="0.2">
      <c r="A37" s="132" t="s">
        <v>255</v>
      </c>
      <c r="C37" s="208" t="s">
        <v>98</v>
      </c>
      <c r="D37" s="199">
        <f>+Dashboard!$P$15</f>
        <v>0.03</v>
      </c>
      <c r="E37" s="229"/>
      <c r="F37" s="202">
        <f>Dashboard!P47</f>
        <v>0</v>
      </c>
      <c r="G37" s="203">
        <f t="shared" si="50"/>
        <v>0</v>
      </c>
      <c r="H37" s="203">
        <f t="shared" si="50"/>
        <v>0</v>
      </c>
      <c r="I37" s="203">
        <f t="shared" si="50"/>
        <v>0</v>
      </c>
      <c r="J37" s="203">
        <f t="shared" ref="J37:N37" si="59">+I37*(1+$D37)</f>
        <v>0</v>
      </c>
      <c r="K37" s="203">
        <f t="shared" si="59"/>
        <v>0</v>
      </c>
      <c r="L37" s="203">
        <f t="shared" si="59"/>
        <v>0</v>
      </c>
      <c r="M37" s="203">
        <f t="shared" si="59"/>
        <v>0</v>
      </c>
      <c r="N37" s="203">
        <f t="shared" si="59"/>
        <v>0</v>
      </c>
      <c r="O37" s="203">
        <f t="shared" ref="O37" si="60">+N37*(1+$D37)</f>
        <v>0</v>
      </c>
    </row>
    <row r="38" spans="1:15" ht="13.5" customHeight="1" outlineLevel="1" x14ac:dyDescent="0.2">
      <c r="A38" s="132" t="s">
        <v>256</v>
      </c>
      <c r="C38" s="208" t="s">
        <v>99</v>
      </c>
      <c r="D38" s="199">
        <f>+Dashboard!$P$15</f>
        <v>0.03</v>
      </c>
      <c r="E38" s="229"/>
      <c r="F38" s="202">
        <f>Dashboard!P48</f>
        <v>0</v>
      </c>
      <c r="G38" s="203">
        <f t="shared" si="50"/>
        <v>0</v>
      </c>
      <c r="H38" s="203">
        <f t="shared" si="50"/>
        <v>0</v>
      </c>
      <c r="I38" s="203">
        <f t="shared" si="50"/>
        <v>0</v>
      </c>
      <c r="J38" s="203">
        <f t="shared" ref="J38:N38" si="61">+I38*(1+$D38)</f>
        <v>0</v>
      </c>
      <c r="K38" s="203">
        <f t="shared" si="61"/>
        <v>0</v>
      </c>
      <c r="L38" s="203">
        <f t="shared" si="61"/>
        <v>0</v>
      </c>
      <c r="M38" s="203">
        <f t="shared" si="61"/>
        <v>0</v>
      </c>
      <c r="N38" s="203">
        <f t="shared" si="61"/>
        <v>0</v>
      </c>
      <c r="O38" s="203">
        <f t="shared" ref="O38" si="62">+N38*(1+$D38)</f>
        <v>0</v>
      </c>
    </row>
    <row r="39" spans="1:15" ht="13.5" customHeight="1" outlineLevel="1" x14ac:dyDescent="0.2">
      <c r="A39" s="132" t="s">
        <v>257</v>
      </c>
      <c r="C39" s="208" t="s">
        <v>100</v>
      </c>
      <c r="D39" s="199">
        <f>+Dashboard!$P$15</f>
        <v>0.03</v>
      </c>
      <c r="E39" s="229"/>
      <c r="F39" s="202">
        <f>Dashboard!P49</f>
        <v>2000</v>
      </c>
      <c r="G39" s="203">
        <f t="shared" si="50"/>
        <v>2060</v>
      </c>
      <c r="H39" s="203">
        <f t="shared" si="50"/>
        <v>2121.8000000000002</v>
      </c>
      <c r="I39" s="203">
        <f t="shared" si="50"/>
        <v>2185.4540000000002</v>
      </c>
      <c r="J39" s="203">
        <f t="shared" ref="J39:N39" si="63">+I39*(1+$D39)</f>
        <v>2251.0176200000001</v>
      </c>
      <c r="K39" s="203">
        <f t="shared" si="63"/>
        <v>2318.5481486000003</v>
      </c>
      <c r="L39" s="203">
        <f t="shared" si="63"/>
        <v>2388.1045930580003</v>
      </c>
      <c r="M39" s="203">
        <f t="shared" si="63"/>
        <v>2459.7477308497405</v>
      </c>
      <c r="N39" s="203">
        <f t="shared" si="63"/>
        <v>2533.5401627752326</v>
      </c>
      <c r="O39" s="203">
        <f t="shared" ref="O39" si="64">+N39*(1+$D39)</f>
        <v>2609.5463676584895</v>
      </c>
    </row>
    <row r="40" spans="1:15" ht="13.5" customHeight="1" outlineLevel="1" x14ac:dyDescent="0.2">
      <c r="A40" s="132" t="s">
        <v>258</v>
      </c>
      <c r="C40" s="208" t="s">
        <v>101</v>
      </c>
      <c r="D40" s="199">
        <f>+Dashboard!$P$15</f>
        <v>0.03</v>
      </c>
      <c r="E40" s="229"/>
      <c r="F40" s="202">
        <f>Dashboard!P50</f>
        <v>0</v>
      </c>
      <c r="G40" s="203">
        <f t="shared" si="50"/>
        <v>0</v>
      </c>
      <c r="H40" s="203">
        <f t="shared" si="50"/>
        <v>0</v>
      </c>
      <c r="I40" s="203">
        <f t="shared" si="50"/>
        <v>0</v>
      </c>
      <c r="J40" s="203">
        <f t="shared" ref="J40:N40" si="65">+I40*(1+$D40)</f>
        <v>0</v>
      </c>
      <c r="K40" s="203">
        <f t="shared" si="65"/>
        <v>0</v>
      </c>
      <c r="L40" s="203">
        <f t="shared" si="65"/>
        <v>0</v>
      </c>
      <c r="M40" s="203">
        <f t="shared" si="65"/>
        <v>0</v>
      </c>
      <c r="N40" s="203">
        <f t="shared" si="65"/>
        <v>0</v>
      </c>
      <c r="O40" s="203">
        <f t="shared" ref="O40" si="66">+N40*(1+$D40)</f>
        <v>0</v>
      </c>
    </row>
    <row r="41" spans="1:15" ht="13.5" customHeight="1" outlineLevel="1" x14ac:dyDescent="0.2">
      <c r="A41" s="132" t="s">
        <v>259</v>
      </c>
      <c r="C41" s="208" t="s">
        <v>299</v>
      </c>
      <c r="D41" s="199">
        <f>+Dashboard!$P$15</f>
        <v>0.03</v>
      </c>
      <c r="E41" s="229"/>
      <c r="F41" s="202">
        <f>Dashboard!P51</f>
        <v>0</v>
      </c>
      <c r="G41" s="203">
        <f t="shared" si="50"/>
        <v>0</v>
      </c>
      <c r="H41" s="203">
        <f t="shared" si="50"/>
        <v>0</v>
      </c>
      <c r="I41" s="203">
        <f t="shared" si="50"/>
        <v>0</v>
      </c>
      <c r="J41" s="203">
        <f t="shared" ref="J41:N41" si="67">+I41*(1+$D41)</f>
        <v>0</v>
      </c>
      <c r="K41" s="203">
        <f t="shared" si="67"/>
        <v>0</v>
      </c>
      <c r="L41" s="203">
        <f t="shared" si="67"/>
        <v>0</v>
      </c>
      <c r="M41" s="203">
        <f t="shared" si="67"/>
        <v>0</v>
      </c>
      <c r="N41" s="203">
        <f t="shared" si="67"/>
        <v>0</v>
      </c>
      <c r="O41" s="203">
        <f t="shared" ref="O41" si="68">+N41*(1+$D41)</f>
        <v>0</v>
      </c>
    </row>
    <row r="42" spans="1:15" ht="13.5" customHeight="1" outlineLevel="1" x14ac:dyDescent="0.2">
      <c r="A42" s="132" t="s">
        <v>260</v>
      </c>
      <c r="C42" s="208" t="s">
        <v>102</v>
      </c>
      <c r="D42" s="199">
        <f>+Dashboard!$P$15</f>
        <v>0.03</v>
      </c>
      <c r="E42" s="229">
        <v>0</v>
      </c>
      <c r="F42" s="202">
        <f>Dashboard!P52</f>
        <v>0</v>
      </c>
      <c r="G42" s="203">
        <f t="shared" si="50"/>
        <v>0</v>
      </c>
      <c r="H42" s="203">
        <f t="shared" si="50"/>
        <v>0</v>
      </c>
      <c r="I42" s="203">
        <f t="shared" si="50"/>
        <v>0</v>
      </c>
      <c r="J42" s="203">
        <f t="shared" ref="J42:N42" si="69">+I42*(1+$D42)</f>
        <v>0</v>
      </c>
      <c r="K42" s="203">
        <f t="shared" si="69"/>
        <v>0</v>
      </c>
      <c r="L42" s="203">
        <f t="shared" si="69"/>
        <v>0</v>
      </c>
      <c r="M42" s="203">
        <f t="shared" si="69"/>
        <v>0</v>
      </c>
      <c r="N42" s="203">
        <f t="shared" si="69"/>
        <v>0</v>
      </c>
      <c r="O42" s="203">
        <f t="shared" ref="O42" si="70">+N42*(1+$D42)</f>
        <v>0</v>
      </c>
    </row>
    <row r="43" spans="1:15" ht="13.5" customHeight="1" x14ac:dyDescent="0.2">
      <c r="C43" s="13" t="s">
        <v>91</v>
      </c>
      <c r="E43" s="230">
        <f>SUM(E31:E42)</f>
        <v>0</v>
      </c>
      <c r="F43" s="197">
        <f t="shared" ref="F43:O43" si="71">SUM(F31:F42)</f>
        <v>59499.61</v>
      </c>
      <c r="G43" s="197">
        <f t="shared" si="71"/>
        <v>61284.598299999998</v>
      </c>
      <c r="H43" s="197">
        <f t="shared" si="71"/>
        <v>63123.13624900001</v>
      </c>
      <c r="I43" s="197">
        <f t="shared" si="71"/>
        <v>65016.830336470004</v>
      </c>
      <c r="J43" s="197">
        <f t="shared" ref="J43" si="72">SUM(J31:J42)</f>
        <v>66967.335246564122</v>
      </c>
      <c r="K43" s="197">
        <f t="shared" ref="K43" si="73">SUM(K31:K42)</f>
        <v>68976.355303961041</v>
      </c>
      <c r="L43" s="197">
        <f t="shared" ref="L43" si="74">SUM(L31:L42)</f>
        <v>71045.645963079864</v>
      </c>
      <c r="M43" s="197">
        <f t="shared" ref="M43" si="75">SUM(M31:M42)</f>
        <v>73177.015341972263</v>
      </c>
      <c r="N43" s="197">
        <f t="shared" ref="N43" si="76">SUM(N31:N42)</f>
        <v>75372.32580223144</v>
      </c>
      <c r="O43" s="197">
        <f t="shared" si="71"/>
        <v>77633.495576298388</v>
      </c>
    </row>
    <row r="44" spans="1:15" ht="13.5" customHeight="1" outlineLevel="1" x14ac:dyDescent="0.2">
      <c r="E44" s="231"/>
      <c r="F44" s="177"/>
      <c r="G44" s="177"/>
      <c r="H44" s="177"/>
      <c r="I44" s="177"/>
      <c r="J44" s="177"/>
      <c r="K44" s="177"/>
      <c r="L44" s="177"/>
      <c r="M44" s="177"/>
      <c r="N44" s="177"/>
      <c r="O44" s="177"/>
    </row>
    <row r="45" spans="1:15" ht="13.5" customHeight="1" outlineLevel="1" x14ac:dyDescent="0.2">
      <c r="A45" s="132" t="s">
        <v>261</v>
      </c>
      <c r="C45" s="206" t="s">
        <v>106</v>
      </c>
      <c r="D45" s="199">
        <f>+Dashboard!$P$15</f>
        <v>0.03</v>
      </c>
      <c r="E45" s="227"/>
      <c r="F45" s="200">
        <f>+Dashboard!V10</f>
        <v>0</v>
      </c>
      <c r="G45" s="203">
        <f t="shared" ref="G45:I50" si="77">+F45*(1+$D45)</f>
        <v>0</v>
      </c>
      <c r="H45" s="203">
        <f t="shared" si="77"/>
        <v>0</v>
      </c>
      <c r="I45" s="203">
        <f t="shared" si="77"/>
        <v>0</v>
      </c>
      <c r="J45" s="203">
        <f t="shared" ref="J45:N45" si="78">+I45*(1+$D45)</f>
        <v>0</v>
      </c>
      <c r="K45" s="203">
        <f t="shared" si="78"/>
        <v>0</v>
      </c>
      <c r="L45" s="203">
        <f t="shared" si="78"/>
        <v>0</v>
      </c>
      <c r="M45" s="203">
        <f t="shared" si="78"/>
        <v>0</v>
      </c>
      <c r="N45" s="203">
        <f t="shared" si="78"/>
        <v>0</v>
      </c>
      <c r="O45" s="203">
        <f t="shared" ref="O45" si="79">+N45*(1+$D45)</f>
        <v>0</v>
      </c>
    </row>
    <row r="46" spans="1:15" ht="13.5" customHeight="1" outlineLevel="1" x14ac:dyDescent="0.2">
      <c r="A46" s="132" t="s">
        <v>262</v>
      </c>
      <c r="C46" s="207" t="s">
        <v>111</v>
      </c>
      <c r="D46" s="199">
        <f>+Dashboard!$P$15</f>
        <v>0.03</v>
      </c>
      <c r="E46" s="229"/>
      <c r="F46" s="202">
        <f>+Dashboard!V11</f>
        <v>0</v>
      </c>
      <c r="G46" s="203">
        <f t="shared" si="77"/>
        <v>0</v>
      </c>
      <c r="H46" s="203">
        <f t="shared" si="77"/>
        <v>0</v>
      </c>
      <c r="I46" s="203">
        <f t="shared" si="77"/>
        <v>0</v>
      </c>
      <c r="J46" s="203">
        <f t="shared" ref="J46:N46" si="80">+I46*(1+$D46)</f>
        <v>0</v>
      </c>
      <c r="K46" s="203">
        <f t="shared" si="80"/>
        <v>0</v>
      </c>
      <c r="L46" s="203">
        <f t="shared" si="80"/>
        <v>0</v>
      </c>
      <c r="M46" s="203">
        <f t="shared" si="80"/>
        <v>0</v>
      </c>
      <c r="N46" s="203">
        <f t="shared" si="80"/>
        <v>0</v>
      </c>
      <c r="O46" s="203">
        <f t="shared" ref="O46" si="81">+N46*(1+$D46)</f>
        <v>0</v>
      </c>
    </row>
    <row r="47" spans="1:15" ht="13.5" customHeight="1" outlineLevel="1" x14ac:dyDescent="0.2">
      <c r="A47" s="132" t="s">
        <v>263</v>
      </c>
      <c r="C47" s="207" t="s">
        <v>107</v>
      </c>
      <c r="D47" s="199">
        <f>+Dashboard!$P$15</f>
        <v>0.03</v>
      </c>
      <c r="E47" s="229"/>
      <c r="F47" s="202">
        <f>+Dashboard!V12</f>
        <v>0</v>
      </c>
      <c r="G47" s="203">
        <f t="shared" si="77"/>
        <v>0</v>
      </c>
      <c r="H47" s="203">
        <f t="shared" si="77"/>
        <v>0</v>
      </c>
      <c r="I47" s="203">
        <f t="shared" si="77"/>
        <v>0</v>
      </c>
      <c r="J47" s="203">
        <f t="shared" ref="J47:N47" si="82">+I47*(1+$D47)</f>
        <v>0</v>
      </c>
      <c r="K47" s="203">
        <f t="shared" si="82"/>
        <v>0</v>
      </c>
      <c r="L47" s="203">
        <f t="shared" si="82"/>
        <v>0</v>
      </c>
      <c r="M47" s="203">
        <f t="shared" si="82"/>
        <v>0</v>
      </c>
      <c r="N47" s="203">
        <f t="shared" si="82"/>
        <v>0</v>
      </c>
      <c r="O47" s="203">
        <f t="shared" ref="O47" si="83">+N47*(1+$D47)</f>
        <v>0</v>
      </c>
    </row>
    <row r="48" spans="1:15" ht="13.5" customHeight="1" outlineLevel="1" x14ac:dyDescent="0.2">
      <c r="A48" s="132" t="s">
        <v>264</v>
      </c>
      <c r="C48" s="207" t="s">
        <v>108</v>
      </c>
      <c r="D48" s="199">
        <f>+Dashboard!$P$15</f>
        <v>0.03</v>
      </c>
      <c r="E48" s="229"/>
      <c r="F48" s="202">
        <f>+Dashboard!V13</f>
        <v>0</v>
      </c>
      <c r="G48" s="203">
        <f t="shared" si="77"/>
        <v>0</v>
      </c>
      <c r="H48" s="203">
        <f t="shared" si="77"/>
        <v>0</v>
      </c>
      <c r="I48" s="203">
        <f t="shared" si="77"/>
        <v>0</v>
      </c>
      <c r="J48" s="203">
        <f t="shared" ref="J48:N48" si="84">+I48*(1+$D48)</f>
        <v>0</v>
      </c>
      <c r="K48" s="203">
        <f t="shared" si="84"/>
        <v>0</v>
      </c>
      <c r="L48" s="203">
        <f t="shared" si="84"/>
        <v>0</v>
      </c>
      <c r="M48" s="203">
        <f t="shared" si="84"/>
        <v>0</v>
      </c>
      <c r="N48" s="203">
        <f t="shared" si="84"/>
        <v>0</v>
      </c>
      <c r="O48" s="203">
        <f t="shared" ref="O48" si="85">+N48*(1+$D48)</f>
        <v>0</v>
      </c>
    </row>
    <row r="49" spans="1:15" ht="13.5" customHeight="1" outlineLevel="1" x14ac:dyDescent="0.2">
      <c r="A49" s="132" t="s">
        <v>265</v>
      </c>
      <c r="C49" s="207" t="s">
        <v>109</v>
      </c>
      <c r="D49" s="199">
        <f>+Dashboard!$P$15</f>
        <v>0.03</v>
      </c>
      <c r="E49" s="229"/>
      <c r="F49" s="202">
        <f>+Dashboard!V14</f>
        <v>0</v>
      </c>
      <c r="G49" s="203">
        <f t="shared" si="77"/>
        <v>0</v>
      </c>
      <c r="H49" s="203">
        <f t="shared" si="77"/>
        <v>0</v>
      </c>
      <c r="I49" s="203">
        <f t="shared" si="77"/>
        <v>0</v>
      </c>
      <c r="J49" s="203">
        <f t="shared" ref="J49:N49" si="86">+I49*(1+$D49)</f>
        <v>0</v>
      </c>
      <c r="K49" s="203">
        <f t="shared" si="86"/>
        <v>0</v>
      </c>
      <c r="L49" s="203">
        <f t="shared" si="86"/>
        <v>0</v>
      </c>
      <c r="M49" s="203">
        <f t="shared" si="86"/>
        <v>0</v>
      </c>
      <c r="N49" s="203">
        <f t="shared" si="86"/>
        <v>0</v>
      </c>
      <c r="O49" s="203">
        <f t="shared" ref="O49" si="87">+N49*(1+$D49)</f>
        <v>0</v>
      </c>
    </row>
    <row r="50" spans="1:15" ht="13.5" customHeight="1" outlineLevel="1" x14ac:dyDescent="0.2">
      <c r="A50" s="132" t="s">
        <v>266</v>
      </c>
      <c r="C50" s="207" t="s">
        <v>110</v>
      </c>
      <c r="D50" s="199">
        <f>+Dashboard!$P$15</f>
        <v>0.03</v>
      </c>
      <c r="E50" s="229"/>
      <c r="F50" s="202">
        <f>+Dashboard!V15</f>
        <v>0</v>
      </c>
      <c r="G50" s="203">
        <f t="shared" si="77"/>
        <v>0</v>
      </c>
      <c r="H50" s="203">
        <f t="shared" si="77"/>
        <v>0</v>
      </c>
      <c r="I50" s="203">
        <f t="shared" si="77"/>
        <v>0</v>
      </c>
      <c r="J50" s="203">
        <f t="shared" ref="J50:N50" si="88">+I50*(1+$D50)</f>
        <v>0</v>
      </c>
      <c r="K50" s="203">
        <f t="shared" si="88"/>
        <v>0</v>
      </c>
      <c r="L50" s="203">
        <f t="shared" si="88"/>
        <v>0</v>
      </c>
      <c r="M50" s="203">
        <f t="shared" si="88"/>
        <v>0</v>
      </c>
      <c r="N50" s="203">
        <f t="shared" si="88"/>
        <v>0</v>
      </c>
      <c r="O50" s="203">
        <f t="shared" ref="O50" si="89">+N50*(1+$D50)</f>
        <v>0</v>
      </c>
    </row>
    <row r="51" spans="1:15" ht="13.5" customHeight="1" x14ac:dyDescent="0.2">
      <c r="C51" s="13" t="s">
        <v>105</v>
      </c>
      <c r="E51" s="230">
        <f>SUM(E45:E50)</f>
        <v>0</v>
      </c>
      <c r="F51" s="197">
        <f t="shared" ref="F51:O51" si="90">SUM(F45:F50)</f>
        <v>0</v>
      </c>
      <c r="G51" s="197">
        <f t="shared" si="90"/>
        <v>0</v>
      </c>
      <c r="H51" s="197">
        <f t="shared" si="90"/>
        <v>0</v>
      </c>
      <c r="I51" s="197">
        <f t="shared" si="90"/>
        <v>0</v>
      </c>
      <c r="J51" s="197">
        <f t="shared" ref="J51" si="91">SUM(J45:J50)</f>
        <v>0</v>
      </c>
      <c r="K51" s="197">
        <f t="shared" ref="K51" si="92">SUM(K45:K50)</f>
        <v>0</v>
      </c>
      <c r="L51" s="197">
        <f t="shared" ref="L51" si="93">SUM(L45:L50)</f>
        <v>0</v>
      </c>
      <c r="M51" s="197">
        <f t="shared" ref="M51" si="94">SUM(M45:M50)</f>
        <v>0</v>
      </c>
      <c r="N51" s="197">
        <f t="shared" ref="N51" si="95">SUM(N45:N50)</f>
        <v>0</v>
      </c>
      <c r="O51" s="197">
        <f t="shared" si="90"/>
        <v>0</v>
      </c>
    </row>
    <row r="52" spans="1:15" ht="13.5" customHeight="1" outlineLevel="1" x14ac:dyDescent="0.2">
      <c r="E52" s="231"/>
      <c r="F52" s="177"/>
      <c r="G52" s="177"/>
      <c r="H52" s="177"/>
      <c r="I52" s="177"/>
      <c r="J52" s="177"/>
      <c r="K52" s="177"/>
      <c r="L52" s="177"/>
      <c r="M52" s="177"/>
      <c r="N52" s="177"/>
      <c r="O52" s="177"/>
    </row>
    <row r="53" spans="1:15" ht="13.5" customHeight="1" outlineLevel="1" x14ac:dyDescent="0.2">
      <c r="A53" s="132" t="s">
        <v>267</v>
      </c>
      <c r="C53" s="206" t="s">
        <v>113</v>
      </c>
      <c r="D53" s="199">
        <f>+Dashboard!$P$15</f>
        <v>0.03</v>
      </c>
      <c r="E53" s="227"/>
      <c r="F53" s="200">
        <f>+Dashboard!V20</f>
        <v>0</v>
      </c>
      <c r="G53" s="203">
        <f t="shared" ref="G53:I58" si="96">+F53*(1+$D53)</f>
        <v>0</v>
      </c>
      <c r="H53" s="203">
        <f t="shared" si="96"/>
        <v>0</v>
      </c>
      <c r="I53" s="203">
        <f t="shared" si="96"/>
        <v>0</v>
      </c>
      <c r="J53" s="203">
        <f t="shared" ref="J53:N53" si="97">+I53*(1+$D53)</f>
        <v>0</v>
      </c>
      <c r="K53" s="203">
        <f t="shared" si="97"/>
        <v>0</v>
      </c>
      <c r="L53" s="203">
        <f t="shared" si="97"/>
        <v>0</v>
      </c>
      <c r="M53" s="203">
        <f t="shared" si="97"/>
        <v>0</v>
      </c>
      <c r="N53" s="203">
        <f t="shared" si="97"/>
        <v>0</v>
      </c>
      <c r="O53" s="203">
        <f t="shared" ref="O53" si="98">+N53*(1+$D53)</f>
        <v>0</v>
      </c>
    </row>
    <row r="54" spans="1:15" ht="13.5" customHeight="1" outlineLevel="1" x14ac:dyDescent="0.2">
      <c r="A54" s="132" t="s">
        <v>268</v>
      </c>
      <c r="C54" s="207" t="s">
        <v>432</v>
      </c>
      <c r="D54" s="199">
        <f>+Dashboard!$P$15</f>
        <v>0.03</v>
      </c>
      <c r="E54" s="229"/>
      <c r="F54" s="202">
        <f>+Dashboard!V21</f>
        <v>0</v>
      </c>
      <c r="G54" s="203">
        <f t="shared" si="96"/>
        <v>0</v>
      </c>
      <c r="H54" s="203">
        <f t="shared" si="96"/>
        <v>0</v>
      </c>
      <c r="I54" s="203">
        <f t="shared" si="96"/>
        <v>0</v>
      </c>
      <c r="J54" s="203">
        <f t="shared" ref="J54:N54" si="99">+I54*(1+$D54)</f>
        <v>0</v>
      </c>
      <c r="K54" s="203">
        <f t="shared" si="99"/>
        <v>0</v>
      </c>
      <c r="L54" s="203">
        <f t="shared" si="99"/>
        <v>0</v>
      </c>
      <c r="M54" s="203">
        <f t="shared" si="99"/>
        <v>0</v>
      </c>
      <c r="N54" s="203">
        <f t="shared" si="99"/>
        <v>0</v>
      </c>
      <c r="O54" s="203">
        <f t="shared" ref="O54" si="100">+N54*(1+$D54)</f>
        <v>0</v>
      </c>
    </row>
    <row r="55" spans="1:15" ht="13.5" customHeight="1" outlineLevel="1" x14ac:dyDescent="0.2">
      <c r="A55" s="132" t="s">
        <v>269</v>
      </c>
      <c r="C55" s="207" t="s">
        <v>114</v>
      </c>
      <c r="D55" s="199">
        <f>+Dashboard!$P$15</f>
        <v>0.03</v>
      </c>
      <c r="E55" s="229"/>
      <c r="F55" s="202">
        <f>+Dashboard!V22</f>
        <v>12960</v>
      </c>
      <c r="G55" s="203">
        <f t="shared" si="96"/>
        <v>13348.800000000001</v>
      </c>
      <c r="H55" s="203">
        <f t="shared" si="96"/>
        <v>13749.264000000001</v>
      </c>
      <c r="I55" s="203">
        <f t="shared" si="96"/>
        <v>14161.741920000002</v>
      </c>
      <c r="J55" s="203">
        <f t="shared" ref="J55:N55" si="101">+I55*(1+$D55)</f>
        <v>14586.594177600002</v>
      </c>
      <c r="K55" s="203">
        <f t="shared" si="101"/>
        <v>15024.192002928003</v>
      </c>
      <c r="L55" s="203">
        <f t="shared" si="101"/>
        <v>15474.917763015843</v>
      </c>
      <c r="M55" s="203">
        <f t="shared" si="101"/>
        <v>15939.165295906319</v>
      </c>
      <c r="N55" s="203">
        <f t="shared" si="101"/>
        <v>16417.34025478351</v>
      </c>
      <c r="O55" s="203">
        <f t="shared" ref="O55" si="102">+N55*(1+$D55)</f>
        <v>16909.860462427016</v>
      </c>
    </row>
    <row r="56" spans="1:15" ht="13.5" customHeight="1" outlineLevel="1" x14ac:dyDescent="0.2">
      <c r="A56" s="132" t="s">
        <v>270</v>
      </c>
      <c r="C56" s="207" t="s">
        <v>115</v>
      </c>
      <c r="D56" s="199">
        <f>+Dashboard!$P$15</f>
        <v>0.03</v>
      </c>
      <c r="E56" s="229"/>
      <c r="F56" s="202">
        <f>+Dashboard!V26</f>
        <v>2100</v>
      </c>
      <c r="G56" s="203">
        <f t="shared" si="96"/>
        <v>2163</v>
      </c>
      <c r="H56" s="203">
        <f t="shared" si="96"/>
        <v>2227.89</v>
      </c>
      <c r="I56" s="203">
        <f t="shared" si="96"/>
        <v>2294.7266999999997</v>
      </c>
      <c r="J56" s="203">
        <f t="shared" ref="J56:N56" si="103">+I56*(1+$D56)</f>
        <v>2363.5685009999997</v>
      </c>
      <c r="K56" s="203">
        <f t="shared" si="103"/>
        <v>2434.47555603</v>
      </c>
      <c r="L56" s="203">
        <f t="shared" si="103"/>
        <v>2507.5098227109002</v>
      </c>
      <c r="M56" s="203">
        <f t="shared" si="103"/>
        <v>2582.735117392227</v>
      </c>
      <c r="N56" s="203">
        <f t="shared" si="103"/>
        <v>2660.2171709139939</v>
      </c>
      <c r="O56" s="203">
        <f t="shared" ref="O56" si="104">+N56*(1+$D56)</f>
        <v>2740.0236860414138</v>
      </c>
    </row>
    <row r="57" spans="1:15" ht="13.5" customHeight="1" outlineLevel="1" x14ac:dyDescent="0.2">
      <c r="A57" s="132" t="s">
        <v>271</v>
      </c>
      <c r="C57" s="207" t="s">
        <v>116</v>
      </c>
      <c r="D57" s="199">
        <f>+Dashboard!$P$15</f>
        <v>0.03</v>
      </c>
      <c r="E57" s="229">
        <v>0</v>
      </c>
      <c r="F57" s="202">
        <f>+Dashboard!V27</f>
        <v>0</v>
      </c>
      <c r="G57" s="203">
        <f t="shared" si="96"/>
        <v>0</v>
      </c>
      <c r="H57" s="203">
        <f t="shared" si="96"/>
        <v>0</v>
      </c>
      <c r="I57" s="203">
        <f t="shared" si="96"/>
        <v>0</v>
      </c>
      <c r="J57" s="203">
        <f t="shared" ref="J57:N57" si="105">+I57*(1+$D57)</f>
        <v>0</v>
      </c>
      <c r="K57" s="203">
        <f t="shared" si="105"/>
        <v>0</v>
      </c>
      <c r="L57" s="203">
        <f t="shared" si="105"/>
        <v>0</v>
      </c>
      <c r="M57" s="203">
        <f t="shared" si="105"/>
        <v>0</v>
      </c>
      <c r="N57" s="203">
        <f t="shared" si="105"/>
        <v>0</v>
      </c>
      <c r="O57" s="203">
        <f t="shared" ref="O57" si="106">+N57*(1+$D57)</f>
        <v>0</v>
      </c>
    </row>
    <row r="58" spans="1:15" ht="13.5" customHeight="1" outlineLevel="1" x14ac:dyDescent="0.2">
      <c r="A58" s="13" t="s">
        <v>317</v>
      </c>
      <c r="C58" s="207" t="s">
        <v>117</v>
      </c>
      <c r="D58" s="199">
        <f>+Dashboard!$P$15</f>
        <v>0.03</v>
      </c>
      <c r="E58" s="229">
        <v>0</v>
      </c>
      <c r="F58" s="202">
        <f>+Dashboard!V28</f>
        <v>0</v>
      </c>
      <c r="G58" s="203">
        <f t="shared" si="96"/>
        <v>0</v>
      </c>
      <c r="H58" s="203">
        <f t="shared" si="96"/>
        <v>0</v>
      </c>
      <c r="I58" s="203">
        <f t="shared" si="96"/>
        <v>0</v>
      </c>
      <c r="J58" s="203">
        <f t="shared" ref="J58:N58" si="107">+I58*(1+$D58)</f>
        <v>0</v>
      </c>
      <c r="K58" s="203">
        <f t="shared" si="107"/>
        <v>0</v>
      </c>
      <c r="L58" s="203">
        <f t="shared" si="107"/>
        <v>0</v>
      </c>
      <c r="M58" s="203">
        <f t="shared" si="107"/>
        <v>0</v>
      </c>
      <c r="N58" s="203">
        <f t="shared" si="107"/>
        <v>0</v>
      </c>
      <c r="O58" s="203">
        <f t="shared" ref="O58" si="108">+N58*(1+$D58)</f>
        <v>0</v>
      </c>
    </row>
    <row r="59" spans="1:15" ht="13.5" customHeight="1" x14ac:dyDescent="0.2">
      <c r="C59" s="13" t="s">
        <v>112</v>
      </c>
      <c r="E59" s="230">
        <f>SUM(E53:E58)</f>
        <v>0</v>
      </c>
      <c r="F59" s="197">
        <f t="shared" ref="F59:O59" si="109">SUM(F53:F58)</f>
        <v>15060</v>
      </c>
      <c r="G59" s="197">
        <f t="shared" si="109"/>
        <v>15511.800000000001</v>
      </c>
      <c r="H59" s="197">
        <f t="shared" si="109"/>
        <v>15977.154</v>
      </c>
      <c r="I59" s="197">
        <f t="shared" si="109"/>
        <v>16456.468620000003</v>
      </c>
      <c r="J59" s="197">
        <f t="shared" ref="J59" si="110">SUM(J53:J58)</f>
        <v>16950.162678600002</v>
      </c>
      <c r="K59" s="197">
        <f t="shared" ref="K59" si="111">SUM(K53:K58)</f>
        <v>17458.667558958005</v>
      </c>
      <c r="L59" s="197">
        <f t="shared" ref="L59" si="112">SUM(L53:L58)</f>
        <v>17982.427585726742</v>
      </c>
      <c r="M59" s="197">
        <f t="shared" ref="M59" si="113">SUM(M53:M58)</f>
        <v>18521.900413298546</v>
      </c>
      <c r="N59" s="197">
        <f t="shared" ref="N59" si="114">SUM(N53:N58)</f>
        <v>19077.557425697505</v>
      </c>
      <c r="O59" s="197">
        <f t="shared" si="109"/>
        <v>19649.884148468431</v>
      </c>
    </row>
    <row r="60" spans="1:15" ht="13.5" customHeight="1" outlineLevel="1" x14ac:dyDescent="0.2">
      <c r="E60" s="231"/>
      <c r="F60" s="177"/>
      <c r="G60" s="177"/>
      <c r="H60" s="177"/>
      <c r="I60" s="177"/>
      <c r="J60" s="177"/>
      <c r="K60" s="177"/>
      <c r="L60" s="177"/>
      <c r="M60" s="177"/>
      <c r="N60" s="177"/>
      <c r="O60" s="177"/>
    </row>
    <row r="61" spans="1:15" ht="13.5" customHeight="1" outlineLevel="1" x14ac:dyDescent="0.2">
      <c r="A61" s="132" t="s">
        <v>272</v>
      </c>
      <c r="C61" s="206" t="s">
        <v>118</v>
      </c>
      <c r="D61" s="199">
        <f>+Dashboard!$P$15</f>
        <v>0.03</v>
      </c>
      <c r="E61" s="227"/>
      <c r="F61" s="200">
        <f>+Dashboard!V31</f>
        <v>0</v>
      </c>
      <c r="G61" s="201">
        <f t="shared" ref="G61:I68" si="115">+F61*(1+$D61)</f>
        <v>0</v>
      </c>
      <c r="H61" s="201">
        <f t="shared" si="115"/>
        <v>0</v>
      </c>
      <c r="I61" s="201">
        <f t="shared" si="115"/>
        <v>0</v>
      </c>
      <c r="J61" s="201">
        <f t="shared" ref="J61:N61" si="116">+I61*(1+$D61)</f>
        <v>0</v>
      </c>
      <c r="K61" s="201">
        <f t="shared" si="116"/>
        <v>0</v>
      </c>
      <c r="L61" s="201">
        <f t="shared" si="116"/>
        <v>0</v>
      </c>
      <c r="M61" s="201">
        <f t="shared" si="116"/>
        <v>0</v>
      </c>
      <c r="N61" s="201">
        <f t="shared" si="116"/>
        <v>0</v>
      </c>
      <c r="O61" s="201">
        <f t="shared" ref="O61" si="117">+N61*(1+$D61)</f>
        <v>0</v>
      </c>
    </row>
    <row r="62" spans="1:15" ht="13.5" customHeight="1" outlineLevel="1" x14ac:dyDescent="0.2">
      <c r="A62" s="132" t="s">
        <v>273</v>
      </c>
      <c r="C62" s="207" t="s">
        <v>119</v>
      </c>
      <c r="D62" s="199">
        <f>+Dashboard!$P$15</f>
        <v>0.03</v>
      </c>
      <c r="E62" s="229"/>
      <c r="F62" s="202">
        <f>+Dashboard!V32</f>
        <v>0</v>
      </c>
      <c r="G62" s="203">
        <f t="shared" si="115"/>
        <v>0</v>
      </c>
      <c r="H62" s="203">
        <f t="shared" si="115"/>
        <v>0</v>
      </c>
      <c r="I62" s="203">
        <f t="shared" si="115"/>
        <v>0</v>
      </c>
      <c r="J62" s="203">
        <f t="shared" ref="J62:N62" si="118">+I62*(1+$D62)</f>
        <v>0</v>
      </c>
      <c r="K62" s="203">
        <f t="shared" si="118"/>
        <v>0</v>
      </c>
      <c r="L62" s="203">
        <f t="shared" si="118"/>
        <v>0</v>
      </c>
      <c r="M62" s="203">
        <f t="shared" si="118"/>
        <v>0</v>
      </c>
      <c r="N62" s="203">
        <f t="shared" si="118"/>
        <v>0</v>
      </c>
      <c r="O62" s="203">
        <f t="shared" ref="O62" si="119">+N62*(1+$D62)</f>
        <v>0</v>
      </c>
    </row>
    <row r="63" spans="1:15" ht="13.5" customHeight="1" outlineLevel="1" x14ac:dyDescent="0.2">
      <c r="A63" s="132" t="s">
        <v>274</v>
      </c>
      <c r="C63" s="207" t="s">
        <v>120</v>
      </c>
      <c r="D63" s="199">
        <f>+Dashboard!$P$15</f>
        <v>0.03</v>
      </c>
      <c r="E63" s="229"/>
      <c r="F63" s="202">
        <f>+Dashboard!V33</f>
        <v>0</v>
      </c>
      <c r="G63" s="203">
        <f t="shared" si="115"/>
        <v>0</v>
      </c>
      <c r="H63" s="203">
        <f t="shared" si="115"/>
        <v>0</v>
      </c>
      <c r="I63" s="203">
        <f t="shared" si="115"/>
        <v>0</v>
      </c>
      <c r="J63" s="203">
        <f t="shared" ref="J63:N63" si="120">+I63*(1+$D63)</f>
        <v>0</v>
      </c>
      <c r="K63" s="203">
        <f t="shared" si="120"/>
        <v>0</v>
      </c>
      <c r="L63" s="203">
        <f t="shared" si="120"/>
        <v>0</v>
      </c>
      <c r="M63" s="203">
        <f t="shared" si="120"/>
        <v>0</v>
      </c>
      <c r="N63" s="203">
        <f t="shared" si="120"/>
        <v>0</v>
      </c>
      <c r="O63" s="203">
        <f t="shared" ref="O63" si="121">+N63*(1+$D63)</f>
        <v>0</v>
      </c>
    </row>
    <row r="64" spans="1:15" ht="13.5" customHeight="1" outlineLevel="1" x14ac:dyDescent="0.2">
      <c r="A64" s="132" t="s">
        <v>275</v>
      </c>
      <c r="C64" s="207" t="s">
        <v>121</v>
      </c>
      <c r="D64" s="199">
        <f>+Dashboard!$P$15</f>
        <v>0.03</v>
      </c>
      <c r="E64" s="229"/>
      <c r="F64" s="202">
        <f>+Dashboard!V34</f>
        <v>0</v>
      </c>
      <c r="G64" s="203">
        <f t="shared" si="115"/>
        <v>0</v>
      </c>
      <c r="H64" s="203">
        <f t="shared" si="115"/>
        <v>0</v>
      </c>
      <c r="I64" s="203">
        <f t="shared" si="115"/>
        <v>0</v>
      </c>
      <c r="J64" s="203">
        <f t="shared" ref="J64:N64" si="122">+I64*(1+$D64)</f>
        <v>0</v>
      </c>
      <c r="K64" s="203">
        <f t="shared" si="122"/>
        <v>0</v>
      </c>
      <c r="L64" s="203">
        <f t="shared" si="122"/>
        <v>0</v>
      </c>
      <c r="M64" s="203">
        <f t="shared" si="122"/>
        <v>0</v>
      </c>
      <c r="N64" s="203">
        <f t="shared" si="122"/>
        <v>0</v>
      </c>
      <c r="O64" s="203">
        <f t="shared" ref="O64" si="123">+N64*(1+$D64)</f>
        <v>0</v>
      </c>
    </row>
    <row r="65" spans="1:15" ht="13.5" customHeight="1" outlineLevel="1" x14ac:dyDescent="0.2">
      <c r="A65" s="132" t="s">
        <v>276</v>
      </c>
      <c r="C65" s="207" t="s">
        <v>122</v>
      </c>
      <c r="D65" s="199">
        <f>+Dashboard!$P$15</f>
        <v>0.03</v>
      </c>
      <c r="E65" s="229"/>
      <c r="F65" s="202">
        <f>+Dashboard!V35</f>
        <v>0</v>
      </c>
      <c r="G65" s="203">
        <f t="shared" si="115"/>
        <v>0</v>
      </c>
      <c r="H65" s="203">
        <f t="shared" si="115"/>
        <v>0</v>
      </c>
      <c r="I65" s="203">
        <f t="shared" si="115"/>
        <v>0</v>
      </c>
      <c r="J65" s="203">
        <f t="shared" ref="J65:N65" si="124">+I65*(1+$D65)</f>
        <v>0</v>
      </c>
      <c r="K65" s="203">
        <f t="shared" si="124"/>
        <v>0</v>
      </c>
      <c r="L65" s="203">
        <f t="shared" si="124"/>
        <v>0</v>
      </c>
      <c r="M65" s="203">
        <f t="shared" si="124"/>
        <v>0</v>
      </c>
      <c r="N65" s="203">
        <f t="shared" si="124"/>
        <v>0</v>
      </c>
      <c r="O65" s="203">
        <f t="shared" ref="O65" si="125">+N65*(1+$D65)</f>
        <v>0</v>
      </c>
    </row>
    <row r="66" spans="1:15" ht="13.5" customHeight="1" outlineLevel="1" x14ac:dyDescent="0.2">
      <c r="A66" s="132" t="s">
        <v>277</v>
      </c>
      <c r="C66" s="207" t="s">
        <v>123</v>
      </c>
      <c r="D66" s="199">
        <f>+Dashboard!$P$15</f>
        <v>0.03</v>
      </c>
      <c r="E66" s="229"/>
      <c r="F66" s="202">
        <f>+Dashboard!V36</f>
        <v>0</v>
      </c>
      <c r="G66" s="203">
        <f t="shared" si="115"/>
        <v>0</v>
      </c>
      <c r="H66" s="203">
        <f t="shared" si="115"/>
        <v>0</v>
      </c>
      <c r="I66" s="203">
        <f t="shared" si="115"/>
        <v>0</v>
      </c>
      <c r="J66" s="203">
        <f t="shared" ref="J66:N66" si="126">+I66*(1+$D66)</f>
        <v>0</v>
      </c>
      <c r="K66" s="203">
        <f t="shared" si="126"/>
        <v>0</v>
      </c>
      <c r="L66" s="203">
        <f t="shared" si="126"/>
        <v>0</v>
      </c>
      <c r="M66" s="203">
        <f t="shared" si="126"/>
        <v>0</v>
      </c>
      <c r="N66" s="203">
        <f t="shared" si="126"/>
        <v>0</v>
      </c>
      <c r="O66" s="203">
        <f t="shared" ref="O66" si="127">+N66*(1+$D66)</f>
        <v>0</v>
      </c>
    </row>
    <row r="67" spans="1:15" ht="13.5" customHeight="1" outlineLevel="1" x14ac:dyDescent="0.2">
      <c r="A67" s="132" t="s">
        <v>278</v>
      </c>
      <c r="C67" s="207" t="s">
        <v>124</v>
      </c>
      <c r="D67" s="199">
        <f>+Dashboard!$P$15</f>
        <v>0.03</v>
      </c>
      <c r="E67" s="229"/>
      <c r="F67" s="202">
        <f>+Dashboard!V37</f>
        <v>0</v>
      </c>
      <c r="G67" s="203">
        <f t="shared" si="115"/>
        <v>0</v>
      </c>
      <c r="H67" s="203">
        <f t="shared" si="115"/>
        <v>0</v>
      </c>
      <c r="I67" s="203">
        <f t="shared" si="115"/>
        <v>0</v>
      </c>
      <c r="J67" s="203">
        <f t="shared" ref="J67:N67" si="128">+I67*(1+$D67)</f>
        <v>0</v>
      </c>
      <c r="K67" s="203">
        <f t="shared" si="128"/>
        <v>0</v>
      </c>
      <c r="L67" s="203">
        <f t="shared" si="128"/>
        <v>0</v>
      </c>
      <c r="M67" s="203">
        <f t="shared" si="128"/>
        <v>0</v>
      </c>
      <c r="N67" s="203">
        <f t="shared" si="128"/>
        <v>0</v>
      </c>
      <c r="O67" s="203">
        <f t="shared" ref="O67" si="129">+N67*(1+$D67)</f>
        <v>0</v>
      </c>
    </row>
    <row r="68" spans="1:15" ht="13.5" customHeight="1" outlineLevel="1" x14ac:dyDescent="0.2">
      <c r="A68" s="132" t="s">
        <v>279</v>
      </c>
      <c r="C68" s="207" t="s">
        <v>125</v>
      </c>
      <c r="D68" s="199">
        <f>+Dashboard!$P$15</f>
        <v>0.03</v>
      </c>
      <c r="E68" s="229"/>
      <c r="F68" s="202">
        <f>+Dashboard!V38</f>
        <v>0</v>
      </c>
      <c r="G68" s="203">
        <f t="shared" si="115"/>
        <v>0</v>
      </c>
      <c r="H68" s="203">
        <f t="shared" si="115"/>
        <v>0</v>
      </c>
      <c r="I68" s="203">
        <f t="shared" si="115"/>
        <v>0</v>
      </c>
      <c r="J68" s="203">
        <f t="shared" ref="J68:N68" si="130">+I68*(1+$D68)</f>
        <v>0</v>
      </c>
      <c r="K68" s="203">
        <f t="shared" si="130"/>
        <v>0</v>
      </c>
      <c r="L68" s="203">
        <f t="shared" si="130"/>
        <v>0</v>
      </c>
      <c r="M68" s="203">
        <f t="shared" si="130"/>
        <v>0</v>
      </c>
      <c r="N68" s="203">
        <f t="shared" si="130"/>
        <v>0</v>
      </c>
      <c r="O68" s="203">
        <f t="shared" ref="O68" si="131">+N68*(1+$D68)</f>
        <v>0</v>
      </c>
    </row>
    <row r="69" spans="1:15" ht="13.5" customHeight="1" x14ac:dyDescent="0.2">
      <c r="C69" s="13" t="s">
        <v>48</v>
      </c>
      <c r="E69" s="230">
        <f>SUM(E61:E68)</f>
        <v>0</v>
      </c>
      <c r="F69" s="197">
        <f>SUM(F61:F68)</f>
        <v>0</v>
      </c>
      <c r="G69" s="197">
        <f t="shared" ref="G69:O69" si="132">SUM(G61:G68)</f>
        <v>0</v>
      </c>
      <c r="H69" s="197">
        <f t="shared" si="132"/>
        <v>0</v>
      </c>
      <c r="I69" s="197">
        <f t="shared" si="132"/>
        <v>0</v>
      </c>
      <c r="J69" s="197">
        <f t="shared" ref="J69" si="133">SUM(J61:J68)</f>
        <v>0</v>
      </c>
      <c r="K69" s="197">
        <f t="shared" ref="K69" si="134">SUM(K61:K68)</f>
        <v>0</v>
      </c>
      <c r="L69" s="197">
        <f t="shared" ref="L69" si="135">SUM(L61:L68)</f>
        <v>0</v>
      </c>
      <c r="M69" s="197">
        <f t="shared" ref="M69" si="136">SUM(M61:M68)</f>
        <v>0</v>
      </c>
      <c r="N69" s="197">
        <f t="shared" ref="N69" si="137">SUM(N61:N68)</f>
        <v>0</v>
      </c>
      <c r="O69" s="197">
        <f t="shared" si="132"/>
        <v>0</v>
      </c>
    </row>
    <row r="70" spans="1:15" ht="13.5" customHeight="1" outlineLevel="1" x14ac:dyDescent="0.2">
      <c r="E70" s="231"/>
      <c r="F70" s="177"/>
      <c r="G70" s="177"/>
      <c r="H70" s="177"/>
      <c r="I70" s="177"/>
      <c r="J70" s="177"/>
      <c r="K70" s="177"/>
      <c r="L70" s="177"/>
      <c r="M70" s="177"/>
      <c r="N70" s="177"/>
      <c r="O70" s="177"/>
    </row>
    <row r="71" spans="1:15" ht="13.5" customHeight="1" outlineLevel="1" x14ac:dyDescent="0.2">
      <c r="A71" s="132" t="s">
        <v>280</v>
      </c>
      <c r="C71" s="207" t="s">
        <v>50</v>
      </c>
      <c r="D71" s="199">
        <f>+Dashboard!$P$15</f>
        <v>0.03</v>
      </c>
      <c r="E71" s="227"/>
      <c r="F71" s="200">
        <f>+Dashboard!V46</f>
        <v>0</v>
      </c>
      <c r="G71" s="201">
        <f t="shared" ref="G71:I76" si="138">+F71*(1+$D71)</f>
        <v>0</v>
      </c>
      <c r="H71" s="201">
        <f t="shared" si="138"/>
        <v>0</v>
      </c>
      <c r="I71" s="201">
        <f t="shared" si="138"/>
        <v>0</v>
      </c>
      <c r="J71" s="201">
        <f t="shared" ref="J71:N71" si="139">+I71*(1+$D71)</f>
        <v>0</v>
      </c>
      <c r="K71" s="201">
        <f t="shared" si="139"/>
        <v>0</v>
      </c>
      <c r="L71" s="201">
        <f t="shared" si="139"/>
        <v>0</v>
      </c>
      <c r="M71" s="201">
        <f t="shared" si="139"/>
        <v>0</v>
      </c>
      <c r="N71" s="201">
        <f t="shared" si="139"/>
        <v>0</v>
      </c>
      <c r="O71" s="201">
        <f t="shared" ref="O71" si="140">+N71*(1+$D71)</f>
        <v>0</v>
      </c>
    </row>
    <row r="72" spans="1:15" ht="13.5" customHeight="1" outlineLevel="1" x14ac:dyDescent="0.2">
      <c r="A72" s="132" t="s">
        <v>281</v>
      </c>
      <c r="C72" s="207" t="s">
        <v>49</v>
      </c>
      <c r="D72" s="199">
        <f>+Dashboard!$P$15</f>
        <v>0.03</v>
      </c>
      <c r="E72" s="229"/>
      <c r="F72" s="202">
        <f>+Dashboard!V48</f>
        <v>32400</v>
      </c>
      <c r="G72" s="203">
        <f t="shared" si="138"/>
        <v>33372</v>
      </c>
      <c r="H72" s="203">
        <f t="shared" si="138"/>
        <v>34373.160000000003</v>
      </c>
      <c r="I72" s="203">
        <f t="shared" si="138"/>
        <v>35404.354800000001</v>
      </c>
      <c r="J72" s="203">
        <f t="shared" ref="J72:N72" si="141">+I72*(1+$D72)</f>
        <v>36466.485444000005</v>
      </c>
      <c r="K72" s="203">
        <f t="shared" si="141"/>
        <v>37560.480007320009</v>
      </c>
      <c r="L72" s="203">
        <f t="shared" si="141"/>
        <v>38687.294407539608</v>
      </c>
      <c r="M72" s="203">
        <f t="shared" si="141"/>
        <v>39847.913239765796</v>
      </c>
      <c r="N72" s="203">
        <f t="shared" si="141"/>
        <v>41043.35063695877</v>
      </c>
      <c r="O72" s="203">
        <f t="shared" ref="O72" si="142">+N72*(1+$D72)</f>
        <v>42274.651156067535</v>
      </c>
    </row>
    <row r="73" spans="1:15" ht="13.5" customHeight="1" outlineLevel="1" x14ac:dyDescent="0.2">
      <c r="A73" s="132" t="s">
        <v>282</v>
      </c>
      <c r="C73" s="207" t="s">
        <v>127</v>
      </c>
      <c r="D73" s="199">
        <f>+Dashboard!$P$15</f>
        <v>0.03</v>
      </c>
      <c r="E73" s="229"/>
      <c r="F73" s="202">
        <f>+Dashboard!V49</f>
        <v>2246.4</v>
      </c>
      <c r="G73" s="203">
        <f t="shared" si="138"/>
        <v>2313.7920000000004</v>
      </c>
      <c r="H73" s="203">
        <f t="shared" si="138"/>
        <v>2383.2057600000003</v>
      </c>
      <c r="I73" s="203">
        <f t="shared" si="138"/>
        <v>2454.7019328000006</v>
      </c>
      <c r="J73" s="203">
        <f t="shared" ref="J73:N73" si="143">+I73*(1+$D73)</f>
        <v>2528.3429907840004</v>
      </c>
      <c r="K73" s="203">
        <f t="shared" si="143"/>
        <v>2604.1932805075207</v>
      </c>
      <c r="L73" s="203">
        <f t="shared" si="143"/>
        <v>2682.3190789227465</v>
      </c>
      <c r="M73" s="203">
        <f t="shared" si="143"/>
        <v>2762.7886512904288</v>
      </c>
      <c r="N73" s="203">
        <f t="shared" si="143"/>
        <v>2845.6723108291417</v>
      </c>
      <c r="O73" s="203">
        <f t="shared" ref="O73" si="144">+N73*(1+$D73)</f>
        <v>2931.0424801540162</v>
      </c>
    </row>
    <row r="74" spans="1:15" ht="13.5" customHeight="1" outlineLevel="1" x14ac:dyDescent="0.2">
      <c r="A74" s="132" t="s">
        <v>283</v>
      </c>
      <c r="C74" s="207" t="s">
        <v>128</v>
      </c>
      <c r="D74" s="199">
        <f>+Dashboard!$P$15</f>
        <v>0.03</v>
      </c>
      <c r="E74" s="229"/>
      <c r="F74" s="202">
        <f>+Dashboard!V50</f>
        <v>3369.6</v>
      </c>
      <c r="G74" s="203">
        <f t="shared" si="138"/>
        <v>3470.6880000000001</v>
      </c>
      <c r="H74" s="203">
        <f t="shared" si="138"/>
        <v>3574.8086400000002</v>
      </c>
      <c r="I74" s="203">
        <f t="shared" si="138"/>
        <v>3682.0528992000004</v>
      </c>
      <c r="J74" s="203">
        <f t="shared" ref="J74:N74" si="145">+I74*(1+$D74)</f>
        <v>3792.5144861760004</v>
      </c>
      <c r="K74" s="203">
        <f t="shared" si="145"/>
        <v>3906.2899207612804</v>
      </c>
      <c r="L74" s="203">
        <f t="shared" si="145"/>
        <v>4023.4786183841188</v>
      </c>
      <c r="M74" s="203">
        <f t="shared" si="145"/>
        <v>4144.1829769356427</v>
      </c>
      <c r="N74" s="203">
        <f t="shared" si="145"/>
        <v>4268.5084662437121</v>
      </c>
      <c r="O74" s="203">
        <f t="shared" ref="O74" si="146">+N74*(1+$D74)</f>
        <v>4396.5637202310236</v>
      </c>
    </row>
    <row r="75" spans="1:15" ht="13.5" customHeight="1" outlineLevel="1" x14ac:dyDescent="0.2">
      <c r="A75" s="132" t="s">
        <v>284</v>
      </c>
      <c r="C75" s="207" t="s">
        <v>129</v>
      </c>
      <c r="D75" s="199">
        <f>+Dashboard!$P$15</f>
        <v>0.03</v>
      </c>
      <c r="E75" s="229"/>
      <c r="F75" s="202">
        <f>+Dashboard!V51</f>
        <v>11232</v>
      </c>
      <c r="G75" s="203">
        <f t="shared" si="138"/>
        <v>11568.960000000001</v>
      </c>
      <c r="H75" s="203">
        <f t="shared" si="138"/>
        <v>11916.028800000002</v>
      </c>
      <c r="I75" s="203">
        <f t="shared" si="138"/>
        <v>12273.509664000003</v>
      </c>
      <c r="J75" s="203">
        <f t="shared" ref="J75:N75" si="147">+I75*(1+$D75)</f>
        <v>12641.714953920004</v>
      </c>
      <c r="K75" s="203">
        <f t="shared" si="147"/>
        <v>13020.966402537604</v>
      </c>
      <c r="L75" s="203">
        <f t="shared" si="147"/>
        <v>13411.595394613732</v>
      </c>
      <c r="M75" s="203">
        <f t="shared" si="147"/>
        <v>13813.943256452145</v>
      </c>
      <c r="N75" s="203">
        <f t="shared" si="147"/>
        <v>14228.361554145709</v>
      </c>
      <c r="O75" s="203">
        <f t="shared" ref="O75" si="148">+N75*(1+$D75)</f>
        <v>14655.21240077008</v>
      </c>
    </row>
    <row r="76" spans="1:15" ht="13.5" customHeight="1" outlineLevel="1" x14ac:dyDescent="0.2">
      <c r="A76" s="132" t="s">
        <v>285</v>
      </c>
      <c r="C76" s="207" t="s">
        <v>130</v>
      </c>
      <c r="D76" s="199">
        <f>+Dashboard!$P$15</f>
        <v>0.03</v>
      </c>
      <c r="E76" s="229"/>
      <c r="F76" s="202">
        <f>+Dashboard!V52</f>
        <v>0</v>
      </c>
      <c r="G76" s="203">
        <f t="shared" si="138"/>
        <v>0</v>
      </c>
      <c r="H76" s="203">
        <f t="shared" si="138"/>
        <v>0</v>
      </c>
      <c r="I76" s="203">
        <f t="shared" si="138"/>
        <v>0</v>
      </c>
      <c r="J76" s="203">
        <f t="shared" ref="J76:N76" si="149">+I76*(1+$D76)</f>
        <v>0</v>
      </c>
      <c r="K76" s="203">
        <f t="shared" si="149"/>
        <v>0</v>
      </c>
      <c r="L76" s="203">
        <f t="shared" si="149"/>
        <v>0</v>
      </c>
      <c r="M76" s="203">
        <f t="shared" si="149"/>
        <v>0</v>
      </c>
      <c r="N76" s="203">
        <f t="shared" si="149"/>
        <v>0</v>
      </c>
      <c r="O76" s="203">
        <f t="shared" ref="O76" si="150">+N76*(1+$D76)</f>
        <v>0</v>
      </c>
    </row>
    <row r="77" spans="1:15" ht="13.5" customHeight="1" x14ac:dyDescent="0.2">
      <c r="C77" s="13" t="s">
        <v>126</v>
      </c>
      <c r="E77" s="230">
        <f>SUM(E71:E76)</f>
        <v>0</v>
      </c>
      <c r="F77" s="197">
        <f t="shared" ref="F77:O77" si="151">SUM(F71:F76)</f>
        <v>49248</v>
      </c>
      <c r="G77" s="197">
        <f t="shared" si="151"/>
        <v>50725.440000000002</v>
      </c>
      <c r="H77" s="197">
        <f t="shared" si="151"/>
        <v>52247.203200000004</v>
      </c>
      <c r="I77" s="197">
        <f t="shared" si="151"/>
        <v>53814.619296000012</v>
      </c>
      <c r="J77" s="197">
        <f t="shared" ref="J77" si="152">SUM(J71:J76)</f>
        <v>55429.057874880011</v>
      </c>
      <c r="K77" s="197">
        <f t="shared" ref="K77" si="153">SUM(K71:K76)</f>
        <v>57091.929611126412</v>
      </c>
      <c r="L77" s="197">
        <f t="shared" ref="L77" si="154">SUM(L71:L76)</f>
        <v>58804.687499460204</v>
      </c>
      <c r="M77" s="197">
        <f t="shared" ref="M77" si="155">SUM(M71:M76)</f>
        <v>60568.828124444015</v>
      </c>
      <c r="N77" s="197">
        <f t="shared" ref="N77" si="156">SUM(N71:N76)</f>
        <v>62385.892968177337</v>
      </c>
      <c r="O77" s="197">
        <f t="shared" si="151"/>
        <v>64257.469757222658</v>
      </c>
    </row>
    <row r="78" spans="1:15" ht="5.0999999999999996" customHeight="1" x14ac:dyDescent="0.2">
      <c r="E78" s="230"/>
      <c r="F78" s="197"/>
      <c r="G78" s="197"/>
      <c r="H78" s="197"/>
      <c r="I78" s="197"/>
      <c r="J78" s="197"/>
      <c r="K78" s="197"/>
      <c r="L78" s="197"/>
      <c r="M78" s="197"/>
      <c r="N78" s="197"/>
      <c r="O78" s="197"/>
    </row>
    <row r="79" spans="1:15" ht="13.5" customHeight="1" x14ac:dyDescent="0.2">
      <c r="C79" s="33" t="s">
        <v>168</v>
      </c>
      <c r="D79" s="34"/>
      <c r="E79" s="224">
        <f>+SUM(E18,E22,E29,E43,E51,E59,E69,E77,)</f>
        <v>21600</v>
      </c>
      <c r="F79" s="34">
        <f t="shared" ref="F79:O79" si="157">+SUM(F18,F22,F29,F43,F51,F59,F69,F77,)</f>
        <v>272127.61</v>
      </c>
      <c r="G79" s="34">
        <f t="shared" si="157"/>
        <v>279643.43829999998</v>
      </c>
      <c r="H79" s="34">
        <f t="shared" si="157"/>
        <v>287384.74144900002</v>
      </c>
      <c r="I79" s="34">
        <f t="shared" si="157"/>
        <v>295358.28369247005</v>
      </c>
      <c r="J79" s="34">
        <f t="shared" ref="J79:N79" si="158">+SUM(J18,J22,J29,J43,J51,J59,J69,J77,)</f>
        <v>303571.03220324416</v>
      </c>
      <c r="K79" s="34">
        <f t="shared" si="158"/>
        <v>312030.16316934151</v>
      </c>
      <c r="L79" s="34">
        <f t="shared" si="158"/>
        <v>320743.06806442176</v>
      </c>
      <c r="M79" s="34">
        <f t="shared" si="158"/>
        <v>329717.3601063544</v>
      </c>
      <c r="N79" s="34">
        <f t="shared" si="158"/>
        <v>338960.88090954506</v>
      </c>
      <c r="O79" s="34">
        <f t="shared" si="157"/>
        <v>348481.70733683137</v>
      </c>
    </row>
    <row r="80" spans="1:15" ht="5.0999999999999996" customHeight="1" x14ac:dyDescent="0.2">
      <c r="E80" s="232"/>
      <c r="F80" s="45"/>
      <c r="G80" s="45"/>
      <c r="H80" s="45"/>
      <c r="I80" s="45"/>
      <c r="J80" s="45"/>
      <c r="K80" s="45"/>
      <c r="L80" s="45"/>
      <c r="M80" s="45"/>
      <c r="N80" s="45"/>
      <c r="O80" s="45"/>
    </row>
    <row r="81" spans="3:15" ht="13.5" customHeight="1" x14ac:dyDescent="0.2">
      <c r="C81" s="33" t="s">
        <v>51</v>
      </c>
      <c r="D81" s="34"/>
      <c r="E81" s="224">
        <f>+E12-E79</f>
        <v>1526012</v>
      </c>
      <c r="F81" s="34">
        <f>+F12-F79</f>
        <v>291864.58999999997</v>
      </c>
      <c r="G81" s="34">
        <f>+G12-G79</f>
        <v>301268.52770000004</v>
      </c>
      <c r="H81" s="34">
        <f>+H12-H79</f>
        <v>310954.58353100001</v>
      </c>
      <c r="I81" s="34">
        <f>+I12-I79</f>
        <v>320931.22103692999</v>
      </c>
      <c r="J81" s="34">
        <f t="shared" ref="J81:N81" si="159">+J12-J79</f>
        <v>331207.15766803792</v>
      </c>
      <c r="K81" s="34">
        <f t="shared" si="159"/>
        <v>341791.37239807902</v>
      </c>
      <c r="L81" s="34">
        <f t="shared" si="159"/>
        <v>352693.11357002135</v>
      </c>
      <c r="M81" s="34">
        <f t="shared" si="159"/>
        <v>363921.90697712213</v>
      </c>
      <c r="N81" s="34">
        <f t="shared" si="159"/>
        <v>375487.56418643572</v>
      </c>
      <c r="O81" s="34">
        <f>+O12-O79</f>
        <v>387400.19111202902</v>
      </c>
    </row>
    <row r="82" spans="3:15" ht="13.5" customHeight="1" x14ac:dyDescent="0.2">
      <c r="C82" s="104" t="s">
        <v>190</v>
      </c>
      <c r="D82" s="66"/>
      <c r="E82" s="233">
        <f>+IFERROR(E81/E12,"--")</f>
        <v>0.98604301336510702</v>
      </c>
      <c r="F82" s="105">
        <f>+F81/F12</f>
        <v>0.51749756468263208</v>
      </c>
      <c r="G82" s="105">
        <f>+G81/G12</f>
        <v>0.51861305211950137</v>
      </c>
      <c r="H82" s="105">
        <f>+H81/H12</f>
        <v>0.51969604963102489</v>
      </c>
      <c r="I82" s="105">
        <f>+I81/I12</f>
        <v>0.52074750352570787</v>
      </c>
      <c r="J82" s="105">
        <f t="shared" ref="J82:N82" si="160">+J81/J12</f>
        <v>0.52176833254967192</v>
      </c>
      <c r="K82" s="105">
        <f t="shared" si="160"/>
        <v>0.52275942868944292</v>
      </c>
      <c r="L82" s="105">
        <f t="shared" si="160"/>
        <v>0.52372165795135639</v>
      </c>
      <c r="M82" s="105">
        <f t="shared" si="160"/>
        <v>0.5246558611182629</v>
      </c>
      <c r="N82" s="105">
        <f t="shared" si="160"/>
        <v>0.52556285448419138</v>
      </c>
      <c r="O82" s="105">
        <f>+O81/O12</f>
        <v>0.52644343056761722</v>
      </c>
    </row>
    <row r="83" spans="3:15" ht="5.0999999999999996" customHeight="1" x14ac:dyDescent="0.2">
      <c r="C83" s="28"/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28" t="s">
        <v>184</v>
      </c>
      <c r="D84" s="66"/>
      <c r="E84" s="225"/>
      <c r="F84" s="66"/>
      <c r="G84" s="66"/>
      <c r="H84" s="66"/>
      <c r="I84" s="66"/>
      <c r="J84" s="66"/>
      <c r="K84" s="66"/>
      <c r="L84" s="66"/>
      <c r="M84" s="66"/>
      <c r="N84" s="66"/>
      <c r="O84" s="66"/>
    </row>
    <row r="85" spans="3:15" ht="13.5" hidden="1" customHeight="1" outlineLevel="1" x14ac:dyDescent="0.2">
      <c r="C85" s="13" t="s">
        <v>185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13" t="s">
        <v>186</v>
      </c>
      <c r="E86" s="234"/>
      <c r="F86" s="106"/>
      <c r="G86" s="106"/>
      <c r="H86" s="106"/>
      <c r="I86" s="106"/>
      <c r="J86" s="106"/>
      <c r="K86" s="106"/>
      <c r="L86" s="106"/>
      <c r="M86" s="106"/>
      <c r="N86" s="106"/>
      <c r="O86" s="106"/>
    </row>
    <row r="87" spans="3:15" ht="13.5" hidden="1" customHeight="1" outlineLevel="1" x14ac:dyDescent="0.2">
      <c r="C87" s="33" t="s">
        <v>187</v>
      </c>
      <c r="D87" s="34"/>
      <c r="E87" s="224">
        <f>+SUM(E85:E86)</f>
        <v>0</v>
      </c>
      <c r="F87" s="34">
        <f>+SUM(F85:F86)</f>
        <v>0</v>
      </c>
      <c r="G87" s="34">
        <f>+SUM(G85:G86)</f>
        <v>0</v>
      </c>
      <c r="H87" s="34">
        <f>+SUM(H85:H86)</f>
        <v>0</v>
      </c>
      <c r="I87" s="34">
        <f>+SUM(I85:I86)</f>
        <v>0</v>
      </c>
      <c r="J87" s="34">
        <f t="shared" ref="J87:N87" si="161">+SUM(J85:J86)</f>
        <v>0</v>
      </c>
      <c r="K87" s="34">
        <f t="shared" si="161"/>
        <v>0</v>
      </c>
      <c r="L87" s="34">
        <f t="shared" si="161"/>
        <v>0</v>
      </c>
      <c r="M87" s="34">
        <f t="shared" si="161"/>
        <v>0</v>
      </c>
      <c r="N87" s="34">
        <f t="shared" si="161"/>
        <v>0</v>
      </c>
      <c r="O87" s="34">
        <f>+SUM(O85:O86)</f>
        <v>0</v>
      </c>
    </row>
    <row r="88" spans="3:15" ht="5.0999999999999996" customHeight="1" collapsed="1" x14ac:dyDescent="0.2">
      <c r="C88" s="28"/>
      <c r="D88" s="66"/>
      <c r="E88" s="225"/>
      <c r="F88" s="66"/>
      <c r="G88" s="66"/>
      <c r="H88" s="66"/>
      <c r="I88" s="66"/>
      <c r="J88" s="66"/>
      <c r="K88" s="66"/>
      <c r="L88" s="66"/>
      <c r="M88" s="66"/>
      <c r="N88" s="66"/>
      <c r="O88" s="66"/>
    </row>
    <row r="89" spans="3:15" ht="13.5" customHeight="1" thickBot="1" x14ac:dyDescent="0.25">
      <c r="C89" s="89" t="s">
        <v>204</v>
      </c>
      <c r="D89" s="89"/>
      <c r="E89" s="235">
        <f>+E81-E87</f>
        <v>1526012</v>
      </c>
      <c r="F89" s="90">
        <f>+F81-F87</f>
        <v>291864.58999999997</v>
      </c>
      <c r="G89" s="90">
        <f>+G81-G87</f>
        <v>301268.52770000004</v>
      </c>
      <c r="H89" s="90">
        <f>+H81-H87</f>
        <v>310954.58353100001</v>
      </c>
      <c r="I89" s="90">
        <f>+I81-I87</f>
        <v>320931.22103692999</v>
      </c>
      <c r="J89" s="90">
        <f t="shared" ref="J89:N89" si="162">+J81-J87</f>
        <v>331207.15766803792</v>
      </c>
      <c r="K89" s="90">
        <f t="shared" si="162"/>
        <v>341791.37239807902</v>
      </c>
      <c r="L89" s="90">
        <f t="shared" si="162"/>
        <v>352693.11357002135</v>
      </c>
      <c r="M89" s="90">
        <f t="shared" si="162"/>
        <v>363921.90697712213</v>
      </c>
      <c r="N89" s="90">
        <f t="shared" si="162"/>
        <v>375487.56418643572</v>
      </c>
      <c r="O89" s="90">
        <f>+O81-O87</f>
        <v>387400.19111202902</v>
      </c>
    </row>
    <row r="90" spans="3:15" ht="5.0999999999999996" customHeight="1" thickTop="1" x14ac:dyDescent="0.2">
      <c r="C90" s="28"/>
      <c r="D90" s="28"/>
      <c r="E90" s="236"/>
      <c r="F90" s="99"/>
      <c r="G90" s="99"/>
      <c r="H90" s="99"/>
      <c r="I90" s="99"/>
      <c r="J90" s="99"/>
      <c r="K90" s="99"/>
      <c r="L90" s="99"/>
      <c r="M90" s="99"/>
      <c r="N90" s="99"/>
      <c r="O90" s="99"/>
    </row>
    <row r="91" spans="3:15" ht="13.5" customHeight="1" x14ac:dyDescent="0.2">
      <c r="C91" s="13" t="s">
        <v>319</v>
      </c>
      <c r="D91" s="28"/>
      <c r="E91" s="237" t="s">
        <v>300</v>
      </c>
      <c r="F91" s="103">
        <f>+Dashboard!$I$10*Dashboard!$E$50</f>
        <v>181675</v>
      </c>
      <c r="G91" s="112">
        <f>+F91</f>
        <v>181675</v>
      </c>
      <c r="H91" s="112">
        <f t="shared" ref="H91:O91" si="163">+G91</f>
        <v>181675</v>
      </c>
      <c r="I91" s="112">
        <f t="shared" si="163"/>
        <v>181675</v>
      </c>
      <c r="J91" s="112">
        <f t="shared" si="163"/>
        <v>181675</v>
      </c>
      <c r="K91" s="112">
        <f t="shared" si="163"/>
        <v>181675</v>
      </c>
      <c r="L91" s="112">
        <f t="shared" si="163"/>
        <v>181675</v>
      </c>
      <c r="M91" s="112">
        <f t="shared" si="163"/>
        <v>181675</v>
      </c>
      <c r="N91" s="112">
        <f t="shared" si="163"/>
        <v>181675</v>
      </c>
      <c r="O91" s="112">
        <f t="shared" si="163"/>
        <v>181675</v>
      </c>
    </row>
    <row r="92" spans="3:15" ht="13.5" customHeight="1" x14ac:dyDescent="0.2">
      <c r="C92" s="13" t="s">
        <v>320</v>
      </c>
      <c r="D92" s="28"/>
      <c r="E92" s="238" t="s">
        <v>300</v>
      </c>
      <c r="F92" s="103">
        <f>IF(F$6&lt;=Dashboard!$E$56,0,-PPMT(Dashboard!$E$50,'Scenario 0'!F3-'Scenario 0'!$E3,Dashboard!$E$55,Dashboard!$D$49))</f>
        <v>0</v>
      </c>
      <c r="G92" s="112">
        <f>IF(G$6&lt;=Dashboard!$E$56,0,-PPMT(Dashboard!$E$50,'Scenario 0'!G3-'Scenario 0'!$E3,Dashboard!$E$55,Dashboard!$D$49))</f>
        <v>0</v>
      </c>
      <c r="H92" s="112">
        <f>IF(H$6&lt;=Dashboard!$E$56,0,-PPMT(Dashboard!$E$50,'Scenario 0'!H3-'Scenario 0'!$E3,Dashboard!$E$55,Dashboard!$D$49))</f>
        <v>0</v>
      </c>
      <c r="I92" s="112">
        <f>IF(I$6&lt;=Dashboard!$E$56,0,-PPMT(Dashboard!$E$50,'Scenario 0'!I3-'Scenario 0'!$E3,Dashboard!$E$55,Dashboard!$D$49))</f>
        <v>0</v>
      </c>
      <c r="J92" s="112">
        <f>IF(J$6&lt;=Dashboard!$E$56,0,-PPMT(Dashboard!$E$50,'Scenario 0'!J3-'Scenario 0'!$E3,Dashboard!$E$55,Dashboard!$D$49))</f>
        <v>0</v>
      </c>
      <c r="K92" s="112">
        <f>IF(K$6&lt;=Dashboard!$E$56,0,-PPMT(Dashboard!$E$50,'Scenario 0'!K3-'Scenario 0'!$E3,Dashboard!$E$55,Dashboard!$D$49))</f>
        <v>0</v>
      </c>
      <c r="L92" s="112">
        <f>IF(L$6&lt;=Dashboard!$E$56,0,-PPMT(Dashboard!$E$50,'Scenario 0'!L3-'Scenario 0'!$E3,Dashboard!$E$55,Dashboard!$D$49))</f>
        <v>0</v>
      </c>
      <c r="M92" s="112">
        <f>IF(M$6&lt;=Dashboard!$E$56,0,-PPMT(Dashboard!$E$50,'Scenario 0'!M3-'Scenario 0'!$E3,Dashboard!$E$55,Dashboard!$D$49))</f>
        <v>0</v>
      </c>
      <c r="N92" s="112">
        <f>IF(N$6&lt;=Dashboard!$E$56,0,-PPMT(Dashboard!$E$50,'Scenario 0'!N3-'Scenario 0'!$E3,Dashboard!$E$55,Dashboard!$D$49))</f>
        <v>53553.923960462758</v>
      </c>
      <c r="O92" s="112">
        <f>IF(O$6&lt;=Dashboard!$E$56,0,-PPMT(Dashboard!$E$50,'Scenario 0'!O3-'Scenario 0'!$E3,Dashboard!$E$55,Dashboard!$D$49))</f>
        <v>57034.929017892835</v>
      </c>
    </row>
    <row r="93" spans="3:15" ht="13.5" customHeight="1" thickBot="1" x14ac:dyDescent="0.25">
      <c r="C93" s="89" t="s">
        <v>301</v>
      </c>
      <c r="D93" s="89"/>
      <c r="E93" s="239" t="s">
        <v>300</v>
      </c>
      <c r="F93" s="90">
        <f>+F89-F91</f>
        <v>110189.58999999997</v>
      </c>
      <c r="G93" s="90">
        <f>+G89-G91</f>
        <v>119593.52770000004</v>
      </c>
      <c r="H93" s="90">
        <f>+H89-H91</f>
        <v>129279.58353100001</v>
      </c>
      <c r="I93" s="90">
        <f>+I89-I91</f>
        <v>139256.22103692999</v>
      </c>
      <c r="J93" s="90">
        <f t="shared" ref="J93:M93" si="164">+J89-J91</f>
        <v>149532.15766803792</v>
      </c>
      <c r="K93" s="90">
        <f t="shared" si="164"/>
        <v>160116.37239807902</v>
      </c>
      <c r="L93" s="90">
        <f t="shared" si="164"/>
        <v>171018.11357002135</v>
      </c>
      <c r="M93" s="90">
        <f t="shared" si="164"/>
        <v>182246.90697712213</v>
      </c>
      <c r="N93" s="90">
        <f>+N89-N91-N92</f>
        <v>140258.64022597295</v>
      </c>
      <c r="O93" s="90">
        <f>+O89-O91-O92</f>
        <v>148690.26209413618</v>
      </c>
    </row>
    <row r="94" spans="3:15" ht="13.5" customHeight="1" thickTop="1" x14ac:dyDescent="0.2">
      <c r="D94" s="28"/>
      <c r="E94" s="28"/>
      <c r="F94" s="100"/>
      <c r="G94" s="100"/>
      <c r="H94" s="100"/>
      <c r="I94" s="100"/>
      <c r="J94" s="100"/>
      <c r="K94" s="100"/>
      <c r="L94" s="100"/>
      <c r="M94" s="100"/>
      <c r="N94" s="100"/>
      <c r="O94" s="100"/>
    </row>
    <row r="95" spans="3:15" ht="13.5" customHeight="1" thickBot="1" x14ac:dyDescent="0.25">
      <c r="C95" s="89" t="s">
        <v>323</v>
      </c>
      <c r="D95" s="89"/>
      <c r="E95" s="89"/>
      <c r="F95" s="90">
        <f>+Dashboard!$D$49-SUM('Scenario 0'!$F$92:F92)</f>
        <v>2795000</v>
      </c>
      <c r="G95" s="90">
        <f>+Dashboard!$D$49-SUM('Scenario 0'!$F$92:G92)</f>
        <v>2795000</v>
      </c>
      <c r="H95" s="90">
        <f>+Dashboard!$D$49-SUM('Scenario 0'!$F$92:H92)</f>
        <v>2795000</v>
      </c>
      <c r="I95" s="90">
        <f>+Dashboard!$D$49-SUM('Scenario 0'!$F$92:I92)</f>
        <v>2795000</v>
      </c>
      <c r="J95" s="90">
        <f>+Dashboard!$D$49-SUM('Scenario 0'!$F$92:J92)</f>
        <v>2795000</v>
      </c>
      <c r="K95" s="90">
        <f>+Dashboard!$D$49-SUM('Scenario 0'!$F$92:K92)</f>
        <v>2795000</v>
      </c>
      <c r="L95" s="90">
        <f>+Dashboard!$D$49-SUM('Scenario 0'!$F$92:L92)</f>
        <v>2795000</v>
      </c>
      <c r="M95" s="90">
        <f>+Dashboard!$D$49-SUM('Scenario 0'!$F$92:M92)</f>
        <v>2795000</v>
      </c>
      <c r="N95" s="90">
        <f>+Dashboard!$D$49-SUM('Scenario 0'!$F$92:N92)</f>
        <v>2741446.0760395373</v>
      </c>
      <c r="O95" s="90">
        <f>+Dashboard!$D$49-SUM('Scenario 0'!$F$92:O92)</f>
        <v>2684411.1470216443</v>
      </c>
    </row>
    <row r="96" spans="3:15" ht="13.5" customHeight="1" thickTop="1" x14ac:dyDescent="0.2">
      <c r="D96" s="28"/>
      <c r="E96" s="28"/>
      <c r="F96" s="100"/>
      <c r="G96" s="100"/>
      <c r="H96" s="100"/>
      <c r="I96" s="100"/>
      <c r="J96" s="100"/>
      <c r="K96" s="100"/>
      <c r="L96" s="100"/>
      <c r="M96" s="100"/>
      <c r="N96" s="100"/>
      <c r="O96" s="100"/>
    </row>
    <row r="97" spans="3:15" ht="13.5" customHeight="1" x14ac:dyDescent="0.2">
      <c r="C97" s="67" t="s">
        <v>191</v>
      </c>
      <c r="D97" s="68"/>
      <c r="E97" s="68"/>
      <c r="F97" s="101">
        <f>+IFERROR(F81/F91,"")</f>
        <v>1.6065203797990917</v>
      </c>
      <c r="G97" s="101">
        <f>+IFERROR(G81/G91,"")</f>
        <v>1.6582828000550436</v>
      </c>
      <c r="H97" s="101">
        <f>+IFERROR(H81/H91,"")</f>
        <v>1.7115980929186736</v>
      </c>
      <c r="I97" s="101">
        <f>+IFERROR(I81/I91,"")</f>
        <v>1.7665128445682123</v>
      </c>
      <c r="J97" s="102">
        <f t="shared" ref="J97:N97" si="165">+IFERROR(J81/J91,"")</f>
        <v>1.8230750387672379</v>
      </c>
      <c r="K97" s="101">
        <f t="shared" si="165"/>
        <v>1.8813340987922336</v>
      </c>
      <c r="L97" s="101">
        <f t="shared" si="165"/>
        <v>1.9413409306179792</v>
      </c>
      <c r="M97" s="101">
        <f t="shared" si="165"/>
        <v>2.003147967398498</v>
      </c>
      <c r="N97" s="101">
        <f t="shared" si="165"/>
        <v>2.0668092152824316</v>
      </c>
      <c r="O97" s="102">
        <f>+IFERROR(O81/O91,"")</f>
        <v>2.1323803006028843</v>
      </c>
    </row>
    <row r="98" spans="3:15" ht="13.5" customHeight="1" x14ac:dyDescent="0.2">
      <c r="C98" s="69" t="s">
        <v>188</v>
      </c>
      <c r="D98" s="70"/>
      <c r="E98" s="70"/>
      <c r="F98" s="107">
        <f>+IFERROR(F89/F91,"")</f>
        <v>1.6065203797990917</v>
      </c>
      <c r="G98" s="107">
        <f>+IFERROR(G89/G91,"")</f>
        <v>1.6582828000550436</v>
      </c>
      <c r="H98" s="107">
        <f>+IFERROR(H89/H91,"")</f>
        <v>1.7115980929186736</v>
      </c>
      <c r="I98" s="107">
        <f>+IFERROR(I89/I91,"")</f>
        <v>1.7665128445682123</v>
      </c>
      <c r="J98" s="108">
        <f t="shared" ref="J98:N98" si="166">+IFERROR(J89/J91,"")</f>
        <v>1.8230750387672379</v>
      </c>
      <c r="K98" s="107">
        <f t="shared" si="166"/>
        <v>1.8813340987922336</v>
      </c>
      <c r="L98" s="107">
        <f t="shared" si="166"/>
        <v>1.9413409306179792</v>
      </c>
      <c r="M98" s="107">
        <f t="shared" si="166"/>
        <v>2.003147967398498</v>
      </c>
      <c r="N98" s="107">
        <f t="shared" si="166"/>
        <v>2.0668092152824316</v>
      </c>
      <c r="O98" s="108">
        <f>+IFERROR(O89/O91,"")</f>
        <v>2.1323803006028843</v>
      </c>
    </row>
    <row r="99" spans="3:15" ht="13.5" customHeight="1" x14ac:dyDescent="0.2">
      <c r="C99" s="69" t="s">
        <v>189</v>
      </c>
      <c r="D99" s="70"/>
      <c r="E99" s="70"/>
      <c r="F99" s="71">
        <f>+F89/Dashboard!$I$10</f>
        <v>0.10442382468694096</v>
      </c>
      <c r="G99" s="71">
        <f>+G89/Dashboard!$I$10</f>
        <v>0.10778838200357783</v>
      </c>
      <c r="H99" s="71">
        <f>+H89/Dashboard!$I$10</f>
        <v>0.11125387603971378</v>
      </c>
      <c r="I99" s="71">
        <f>+I89/Dashboard!$I$10</f>
        <v>0.1148233348969338</v>
      </c>
      <c r="J99" s="72">
        <f>+J89/Dashboard!$I$10</f>
        <v>0.11849987751987046</v>
      </c>
      <c r="K99" s="71">
        <f>+K89/Dashboard!$I$10</f>
        <v>0.12228671642149518</v>
      </c>
      <c r="L99" s="71">
        <f>+L89/Dashboard!$I$10</f>
        <v>0.12618716049016865</v>
      </c>
      <c r="M99" s="71">
        <f>+M89/Dashboard!$I$10</f>
        <v>0.13020461788090237</v>
      </c>
      <c r="N99" s="71">
        <f>+N89/Dashboard!$I$10</f>
        <v>0.13434259899335804</v>
      </c>
      <c r="O99" s="72">
        <f>+O89/Dashboard!$I$10</f>
        <v>0.13860471953918749</v>
      </c>
    </row>
    <row r="100" spans="3:15" ht="13.5" customHeight="1" x14ac:dyDescent="0.2">
      <c r="C100" s="69" t="s">
        <v>53</v>
      </c>
      <c r="D100" s="70"/>
      <c r="E100" s="70"/>
      <c r="F100" s="71">
        <f>+SUM(F97,F79)/F12</f>
        <v>0.48250528379715141</v>
      </c>
      <c r="G100" s="71">
        <f>+SUM(G97,G79)/G12</f>
        <v>0.48138980250029834</v>
      </c>
      <c r="H100" s="71">
        <f>+SUM(H97,H79)/H12</f>
        <v>0.48030681094995564</v>
      </c>
      <c r="I100" s="71">
        <f>+SUM(I97,I79)/I12</f>
        <v>0.47925536284282683</v>
      </c>
      <c r="J100" s="72">
        <f t="shared" ref="J100:N100" si="167">+SUM(J97,J79)/J12</f>
        <v>0.47823453943784727</v>
      </c>
      <c r="K100" s="71">
        <f t="shared" si="167"/>
        <v>0.47724344875340119</v>
      </c>
      <c r="L100" s="71">
        <f t="shared" si="167"/>
        <v>0.47628122478791951</v>
      </c>
      <c r="M100" s="71">
        <f t="shared" si="167"/>
        <v>0.47534702676317986</v>
      </c>
      <c r="N100" s="71">
        <f t="shared" si="167"/>
        <v>0.47444003838964649</v>
      </c>
      <c r="O100" s="72">
        <f>+SUM(O97,O79)/O12</f>
        <v>0.47355946715320602</v>
      </c>
    </row>
    <row r="101" spans="3:15" ht="5.0999999999999996" customHeight="1" x14ac:dyDescent="0.2">
      <c r="C101" s="69"/>
      <c r="D101" s="70"/>
      <c r="E101" s="70"/>
      <c r="F101" s="70"/>
      <c r="G101" s="70"/>
      <c r="H101" s="70"/>
      <c r="I101" s="70"/>
      <c r="J101" s="73"/>
      <c r="K101" s="70"/>
      <c r="L101" s="70"/>
      <c r="M101" s="70"/>
      <c r="N101" s="70"/>
      <c r="O101" s="73"/>
    </row>
    <row r="102" spans="3:15" ht="13.5" customHeight="1" x14ac:dyDescent="0.2">
      <c r="C102" s="77" t="s">
        <v>165</v>
      </c>
      <c r="D102" s="78"/>
      <c r="E102" s="78"/>
      <c r="F102" s="79">
        <f>+F81/Dashboard!$E$32</f>
        <v>6.7875486046511627E-2</v>
      </c>
      <c r="G102" s="79">
        <f>+G81/Dashboard!$E$32</f>
        <v>7.0062448302325595E-2</v>
      </c>
      <c r="H102" s="79">
        <f>+H81/Dashboard!$E$32</f>
        <v>7.2315019425813962E-2</v>
      </c>
      <c r="I102" s="79">
        <f>+I81/Dashboard!$E$32</f>
        <v>7.4635167683006973E-2</v>
      </c>
      <c r="J102" s="80">
        <f>+J81/Dashboard!$E$32</f>
        <v>7.7024920387915793E-2</v>
      </c>
      <c r="K102" s="79">
        <f>+K81/Dashboard!$E$32</f>
        <v>7.9486365673971868E-2</v>
      </c>
      <c r="L102" s="79">
        <f>+L81/Dashboard!$E$32</f>
        <v>8.202165431860961E-2</v>
      </c>
      <c r="M102" s="79">
        <f>+M81/Dashboard!$E$32</f>
        <v>8.4633001622586537E-2</v>
      </c>
      <c r="N102" s="79">
        <f>+N81/Dashboard!$E$32</f>
        <v>8.7322689345682727E-2</v>
      </c>
      <c r="O102" s="80">
        <f>+O81/Dashboard!$E$32</f>
        <v>9.009306770047186E-2</v>
      </c>
    </row>
    <row r="103" spans="3:15" ht="13.5" customHeight="1" x14ac:dyDescent="0.2">
      <c r="C103" s="69" t="s">
        <v>54</v>
      </c>
      <c r="D103" s="70"/>
      <c r="E103" s="70"/>
      <c r="F103" s="76">
        <f>+F81-F91-F92</f>
        <v>110189.58999999997</v>
      </c>
      <c r="G103" s="76">
        <f t="shared" ref="G103:O103" si="168">+G81-G91-G92</f>
        <v>119593.52770000004</v>
      </c>
      <c r="H103" s="76">
        <f t="shared" si="168"/>
        <v>129279.58353100001</v>
      </c>
      <c r="I103" s="76">
        <f t="shared" si="168"/>
        <v>139256.22103692999</v>
      </c>
      <c r="J103" s="81">
        <f t="shared" si="168"/>
        <v>149532.15766803792</v>
      </c>
      <c r="K103" s="76">
        <f t="shared" si="168"/>
        <v>160116.37239807902</v>
      </c>
      <c r="L103" s="76">
        <f t="shared" si="168"/>
        <v>171018.11357002135</v>
      </c>
      <c r="M103" s="76">
        <f t="shared" si="168"/>
        <v>182246.90697712213</v>
      </c>
      <c r="N103" s="76">
        <f t="shared" si="168"/>
        <v>140258.64022597295</v>
      </c>
      <c r="O103" s="81">
        <f t="shared" si="168"/>
        <v>148690.26209413618</v>
      </c>
    </row>
    <row r="104" spans="3:15" ht="13.5" customHeight="1" x14ac:dyDescent="0.2">
      <c r="C104" s="77" t="s">
        <v>55</v>
      </c>
      <c r="D104" s="78"/>
      <c r="E104" s="78"/>
      <c r="F104" s="79">
        <f>+F103/Dashboard!$I$11</f>
        <v>6.0444097641250666E-2</v>
      </c>
      <c r="G104" s="79">
        <f>+G103/Dashboard!$I$11</f>
        <v>6.5602593362589154E-2</v>
      </c>
      <c r="H104" s="79">
        <f>+H103/Dashboard!$I$11</f>
        <v>7.0915843955567756E-2</v>
      </c>
      <c r="I104" s="79">
        <f>+I103/Dashboard!$I$11</f>
        <v>7.6388492066335703E-2</v>
      </c>
      <c r="J104" s="80">
        <f>+J103/Dashboard!$I$11</f>
        <v>8.2025319620426723E-2</v>
      </c>
      <c r="K104" s="79">
        <f>+K103/Dashboard!$I$11</f>
        <v>8.7831252001140447E-2</v>
      </c>
      <c r="L104" s="79">
        <f>+L103/Dashboard!$I$11</f>
        <v>9.3811362353275557E-2</v>
      </c>
      <c r="M104" s="79">
        <f>+M103/Dashboard!$I$11</f>
        <v>9.9970876015974833E-2</v>
      </c>
      <c r="N104" s="79">
        <f>+N103/Dashboard!$I$11</f>
        <v>7.6938365455827176E-2</v>
      </c>
      <c r="O104" s="80">
        <f>+O103/Dashboard!$I$11</f>
        <v>8.1563500874457587E-2</v>
      </c>
    </row>
    <row r="105" spans="3:15" ht="13.5" customHeight="1" x14ac:dyDescent="0.2">
      <c r="C105" s="69" t="s">
        <v>56</v>
      </c>
      <c r="D105" s="84">
        <f>+Dashboard!J58</f>
        <v>0.25</v>
      </c>
      <c r="E105" s="84"/>
      <c r="F105" s="76">
        <f>+F103*$D$105</f>
        <v>27547.397499999992</v>
      </c>
      <c r="G105" s="76">
        <f>+G103*$D$105</f>
        <v>29898.381925000009</v>
      </c>
      <c r="H105" s="76">
        <f>+H103*$D$105</f>
        <v>32319.895882750003</v>
      </c>
      <c r="I105" s="76">
        <f>+I103*$D$105</f>
        <v>34814.055259232497</v>
      </c>
      <c r="J105" s="81">
        <f t="shared" ref="J105:N105" si="169">+J103*$D$105</f>
        <v>37383.039417009481</v>
      </c>
      <c r="K105" s="76">
        <f t="shared" si="169"/>
        <v>40029.093099519756</v>
      </c>
      <c r="L105" s="76">
        <f t="shared" si="169"/>
        <v>42754.528392505337</v>
      </c>
      <c r="M105" s="76">
        <f t="shared" si="169"/>
        <v>45561.726744280531</v>
      </c>
      <c r="N105" s="76">
        <f t="shared" si="169"/>
        <v>35064.660056493238</v>
      </c>
      <c r="O105" s="81">
        <f>+O103*$D$105</f>
        <v>37172.565523534045</v>
      </c>
    </row>
    <row r="106" spans="3:15" ht="13.5" customHeight="1" x14ac:dyDescent="0.2">
      <c r="C106" s="69" t="s">
        <v>57</v>
      </c>
      <c r="D106" s="84">
        <f>+Dashboard!J59</f>
        <v>0.75</v>
      </c>
      <c r="E106" s="84"/>
      <c r="F106" s="76">
        <f>+F103*$D$106</f>
        <v>82642.192499999976</v>
      </c>
      <c r="G106" s="76">
        <f>+G103*$D$106</f>
        <v>89695.145775000026</v>
      </c>
      <c r="H106" s="76">
        <f>+H103*$D$106</f>
        <v>96959.687648250008</v>
      </c>
      <c r="I106" s="76">
        <f>+I103*$D$106</f>
        <v>104442.16577769749</v>
      </c>
      <c r="J106" s="81">
        <f t="shared" ref="J106:N106" si="170">+J103*$D$106</f>
        <v>112149.11825102844</v>
      </c>
      <c r="K106" s="76">
        <f t="shared" si="170"/>
        <v>120087.27929855927</v>
      </c>
      <c r="L106" s="76">
        <f t="shared" si="170"/>
        <v>128263.58517751601</v>
      </c>
      <c r="M106" s="76">
        <f t="shared" si="170"/>
        <v>136685.18023284158</v>
      </c>
      <c r="N106" s="76">
        <f t="shared" si="170"/>
        <v>105193.98016947971</v>
      </c>
      <c r="O106" s="81">
        <f>+O103*$D$106</f>
        <v>111517.69657060213</v>
      </c>
    </row>
    <row r="107" spans="3:15" ht="13.5" customHeight="1" x14ac:dyDescent="0.2">
      <c r="C107" s="74" t="s">
        <v>58</v>
      </c>
      <c r="D107" s="75"/>
      <c r="E107" s="75"/>
      <c r="F107" s="82">
        <f>+F106/Dashboard!$I$11</f>
        <v>4.5333073230937999E-2</v>
      </c>
      <c r="G107" s="82">
        <f>+G106/Dashboard!$I$11</f>
        <v>4.9201945021941869E-2</v>
      </c>
      <c r="H107" s="82">
        <f>+H106/Dashboard!$I$11</f>
        <v>5.3186882966675814E-2</v>
      </c>
      <c r="I107" s="82">
        <f>+I106/Dashboard!$I$11</f>
        <v>5.7291369049751774E-2</v>
      </c>
      <c r="J107" s="83">
        <f>+J106/Dashboard!$I$11</f>
        <v>6.1518989715320042E-2</v>
      </c>
      <c r="K107" s="82">
        <f>+K106/Dashboard!$I$11</f>
        <v>6.5873439000855336E-2</v>
      </c>
      <c r="L107" s="82">
        <f>+L106/Dashboard!$I$11</f>
        <v>7.0358521764956675E-2</v>
      </c>
      <c r="M107" s="82">
        <f>+M106/Dashboard!$I$11</f>
        <v>7.4978157011981114E-2</v>
      </c>
      <c r="N107" s="82">
        <f>+N106/Dashboard!$I$11</f>
        <v>5.7703774091870379E-2</v>
      </c>
      <c r="O107" s="83">
        <f>+O106/Dashboard!$I$11</f>
        <v>6.1172625655843187E-2</v>
      </c>
    </row>
    <row r="108" spans="3:15" ht="13.5" customHeight="1" x14ac:dyDescent="0.2">
      <c r="D108" s="28"/>
      <c r="E108" s="28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</row>
    <row r="109" spans="3:15" ht="13.5" customHeight="1" x14ac:dyDescent="0.2">
      <c r="C109" s="257" t="s">
        <v>337</v>
      </c>
      <c r="D109" s="37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</row>
    <row r="110" spans="3:15" ht="5.0999999999999996" customHeight="1" x14ac:dyDescent="0.2">
      <c r="D110" s="28"/>
      <c r="E110" s="28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</row>
    <row r="111" spans="3:15" ht="13.5" customHeight="1" x14ac:dyDescent="0.2">
      <c r="C111" s="32" t="s">
        <v>314</v>
      </c>
      <c r="D111" s="14"/>
      <c r="E111" s="97" t="s">
        <v>177</v>
      </c>
      <c r="F111" s="97">
        <v>1</v>
      </c>
      <c r="G111" s="97">
        <v>2</v>
      </c>
      <c r="H111" s="97">
        <v>3</v>
      </c>
      <c r="I111" s="97">
        <v>4</v>
      </c>
      <c r="J111" s="97">
        <v>5</v>
      </c>
      <c r="K111" s="97"/>
      <c r="L111" s="97"/>
      <c r="M111" s="97"/>
      <c r="N111" s="97"/>
      <c r="O111" s="97"/>
    </row>
    <row r="112" spans="3:15" ht="5.0999999999999996" customHeight="1" x14ac:dyDescent="0.2">
      <c r="C112" s="39"/>
      <c r="D112" s="109"/>
      <c r="E112" s="110"/>
      <c r="F112" s="110"/>
      <c r="G112" s="110"/>
      <c r="H112" s="110"/>
      <c r="I112" s="110"/>
      <c r="J112" s="110"/>
    </row>
    <row r="113" spans="3:15" ht="13.5" customHeight="1" x14ac:dyDescent="0.2">
      <c r="C113" s="212" t="s">
        <v>306</v>
      </c>
      <c r="D113" s="217">
        <f>+Dashboard!$J$54</f>
        <v>0.06</v>
      </c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5.0999999999999996" customHeight="1" x14ac:dyDescent="0.2">
      <c r="C114" s="39"/>
      <c r="D114" s="109"/>
      <c r="E114" s="109"/>
      <c r="F114" s="110"/>
      <c r="G114" s="110"/>
      <c r="H114" s="110"/>
      <c r="I114" s="110"/>
      <c r="J114" s="110"/>
      <c r="K114" s="31"/>
      <c r="L114" s="31"/>
      <c r="M114" s="31"/>
      <c r="N114" s="31"/>
      <c r="O114" s="31"/>
    </row>
    <row r="115" spans="3:15" ht="13.5" customHeight="1" x14ac:dyDescent="0.2">
      <c r="C115" s="28" t="s">
        <v>192</v>
      </c>
      <c r="D115" s="28"/>
      <c r="E115" s="28"/>
      <c r="F115" s="100"/>
      <c r="G115" s="100"/>
      <c r="H115" s="100"/>
      <c r="I115" s="100"/>
      <c r="J115" s="100"/>
      <c r="K115" s="31"/>
      <c r="L115" s="31"/>
      <c r="M115" s="31"/>
      <c r="N115" s="31"/>
      <c r="O115" s="31"/>
    </row>
    <row r="116" spans="3:15" ht="13.5" customHeight="1" x14ac:dyDescent="0.2">
      <c r="C116" s="43" t="s">
        <v>193</v>
      </c>
      <c r="D116" s="111"/>
      <c r="E116" s="111"/>
      <c r="F116" s="111">
        <v>0</v>
      </c>
      <c r="G116" s="111">
        <v>0</v>
      </c>
      <c r="H116" s="111">
        <v>0</v>
      </c>
      <c r="I116" s="111">
        <v>0</v>
      </c>
      <c r="J116" s="111">
        <f>+J$81/D$113</f>
        <v>5520119.2944672992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194</v>
      </c>
      <c r="D117" s="217">
        <f>+Dashboard!$J$55</f>
        <v>1.4999999999999999E-2</v>
      </c>
      <c r="E117" s="112"/>
      <c r="F117" s="112">
        <v>0</v>
      </c>
      <c r="G117" s="112">
        <v>0</v>
      </c>
      <c r="H117" s="112">
        <v>0</v>
      </c>
      <c r="I117" s="112">
        <v>0</v>
      </c>
      <c r="J117" s="112">
        <f>-J$116*D$117</f>
        <v>-82801.789417009481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195</v>
      </c>
      <c r="D118" s="112"/>
      <c r="E118" s="112"/>
      <c r="F118" s="23">
        <f>+F$89</f>
        <v>291864.58999999997</v>
      </c>
      <c r="G118" s="23">
        <f t="shared" ref="G118:I118" si="171">+G$89</f>
        <v>301268.52770000004</v>
      </c>
      <c r="H118" s="23">
        <f t="shared" si="171"/>
        <v>310954.58353100001</v>
      </c>
      <c r="I118" s="23">
        <f t="shared" si="171"/>
        <v>320931.22103692999</v>
      </c>
      <c r="J118" s="23">
        <f>+J$89</f>
        <v>331207.15766803792</v>
      </c>
      <c r="K118" s="31"/>
      <c r="L118" s="31"/>
      <c r="M118" s="31"/>
      <c r="N118" s="31"/>
      <c r="O118" s="31"/>
    </row>
    <row r="119" spans="3:15" ht="13.5" customHeight="1" x14ac:dyDescent="0.2">
      <c r="C119" s="43" t="s">
        <v>196</v>
      </c>
      <c r="E119" s="103">
        <f>-Dashboard!$E$32</f>
        <v>-4300000</v>
      </c>
      <c r="F119" s="112">
        <v>0</v>
      </c>
      <c r="G119" s="112">
        <v>0</v>
      </c>
      <c r="H119" s="112">
        <v>0</v>
      </c>
      <c r="I119" s="112">
        <v>0</v>
      </c>
      <c r="J119" s="112">
        <v>0</v>
      </c>
      <c r="K119" s="31"/>
      <c r="L119" s="31"/>
      <c r="M119" s="31"/>
      <c r="N119" s="31"/>
      <c r="O119" s="31"/>
    </row>
    <row r="120" spans="3:15" ht="13.5" customHeight="1" x14ac:dyDescent="0.2">
      <c r="C120" s="33" t="s">
        <v>197</v>
      </c>
      <c r="D120" s="38"/>
      <c r="E120" s="88">
        <f t="shared" ref="E120:J120" si="172">SUM(E116:E119)</f>
        <v>-4300000</v>
      </c>
      <c r="F120" s="88">
        <f t="shared" si="172"/>
        <v>291864.58999999997</v>
      </c>
      <c r="G120" s="88">
        <f t="shared" si="172"/>
        <v>301268.52770000004</v>
      </c>
      <c r="H120" s="88">
        <f t="shared" si="172"/>
        <v>310954.58353100001</v>
      </c>
      <c r="I120" s="88">
        <f t="shared" si="172"/>
        <v>320931.22103692999</v>
      </c>
      <c r="J120" s="88">
        <f t="shared" si="172"/>
        <v>5768524.6627183277</v>
      </c>
      <c r="K120" s="31"/>
      <c r="L120" s="31"/>
      <c r="M120" s="31"/>
      <c r="N120" s="31"/>
      <c r="O120" s="31"/>
    </row>
    <row r="121" spans="3:15" ht="13.5" hidden="1" customHeight="1" outlineLevel="1" x14ac:dyDescent="0.2">
      <c r="C121" s="28"/>
      <c r="E121" s="99"/>
      <c r="F121" s="100">
        <f>+F120-F116</f>
        <v>291864.58999999997</v>
      </c>
      <c r="G121" s="100">
        <f t="shared" ref="G121:J121" si="173">+G120-G116</f>
        <v>301268.52770000004</v>
      </c>
      <c r="H121" s="100">
        <f t="shared" si="173"/>
        <v>310954.58353100001</v>
      </c>
      <c r="I121" s="100">
        <f t="shared" si="173"/>
        <v>320931.22103692999</v>
      </c>
      <c r="J121" s="100">
        <f t="shared" si="173"/>
        <v>248405.36825102847</v>
      </c>
      <c r="K121" s="31"/>
      <c r="L121" s="31"/>
      <c r="M121" s="31"/>
      <c r="N121" s="31"/>
      <c r="O121" s="31"/>
    </row>
    <row r="122" spans="3:15" ht="5.0999999999999996" customHeight="1" collapsed="1" x14ac:dyDescent="0.2">
      <c r="D122" s="28"/>
      <c r="E122" s="28"/>
      <c r="F122" s="100"/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3" t="s">
        <v>205</v>
      </c>
      <c r="D123" s="91"/>
      <c r="E123" s="114">
        <f>+IRR(E120:J120)</f>
        <v>0.11402294565424453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C124" s="115" t="s">
        <v>209</v>
      </c>
      <c r="D124" s="92"/>
      <c r="E124" s="116">
        <f>+SUM(F116:J118)/-SUM(E119:J119)</f>
        <v>1.6264054848805249</v>
      </c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28" t="s">
        <v>198</v>
      </c>
      <c r="D126" s="28"/>
      <c r="E126" s="28"/>
      <c r="F126" s="100"/>
      <c r="G126" s="100"/>
      <c r="H126" s="100"/>
      <c r="I126" s="100"/>
      <c r="J126" s="100"/>
      <c r="K126" s="31"/>
      <c r="L126" s="31"/>
      <c r="M126" s="31"/>
      <c r="N126" s="31"/>
      <c r="O126" s="31"/>
    </row>
    <row r="127" spans="3:15" ht="13.5" customHeight="1" x14ac:dyDescent="0.2">
      <c r="C127" s="43" t="s">
        <v>193</v>
      </c>
      <c r="D127" s="111"/>
      <c r="E127" s="111"/>
      <c r="F127" s="111">
        <v>0</v>
      </c>
      <c r="G127" s="111">
        <v>0</v>
      </c>
      <c r="H127" s="111">
        <v>0</v>
      </c>
      <c r="I127" s="111">
        <v>0</v>
      </c>
      <c r="J127" s="111">
        <f>+J$81/D$113</f>
        <v>5520119.2944672992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194</v>
      </c>
      <c r="D128" s="95">
        <f>+$D$167</f>
        <v>1.4999999999999999E-2</v>
      </c>
      <c r="E128" s="112"/>
      <c r="F128" s="112">
        <v>0</v>
      </c>
      <c r="G128" s="112">
        <v>0</v>
      </c>
      <c r="H128" s="112">
        <v>0</v>
      </c>
      <c r="I128" s="112">
        <v>0</v>
      </c>
      <c r="J128" s="112">
        <f>-J$127*D$128</f>
        <v>-82801.789417009481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199</v>
      </c>
      <c r="E129" s="112"/>
      <c r="F129" s="23">
        <f>+F$93</f>
        <v>110189.58999999997</v>
      </c>
      <c r="G129" s="23">
        <f t="shared" ref="G129:I129" si="174">+G$93</f>
        <v>119593.52770000004</v>
      </c>
      <c r="H129" s="23">
        <f t="shared" si="174"/>
        <v>129279.58353100001</v>
      </c>
      <c r="I129" s="23">
        <f t="shared" si="174"/>
        <v>139256.22103692999</v>
      </c>
      <c r="J129" s="23">
        <f>+J$93</f>
        <v>149532.15766803792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200</v>
      </c>
      <c r="D130" s="112"/>
      <c r="E130" s="112"/>
      <c r="F130" s="112">
        <v>0</v>
      </c>
      <c r="G130" s="112">
        <v>0</v>
      </c>
      <c r="H130" s="112">
        <v>0</v>
      </c>
      <c r="I130" s="112">
        <v>0</v>
      </c>
      <c r="J130" s="112">
        <f>-J95</f>
        <v>-2795000</v>
      </c>
      <c r="K130" s="31"/>
      <c r="L130" s="31"/>
      <c r="M130" s="31"/>
      <c r="N130" s="31"/>
      <c r="O130" s="31"/>
    </row>
    <row r="131" spans="3:15" ht="13.5" customHeight="1" x14ac:dyDescent="0.2">
      <c r="C131" s="43" t="s">
        <v>201</v>
      </c>
      <c r="D131" s="103"/>
      <c r="E131" s="103">
        <f>-Dashboard!$I$11</f>
        <v>-1823000</v>
      </c>
      <c r="F131" s="112">
        <v>0</v>
      </c>
      <c r="G131" s="112">
        <v>0</v>
      </c>
      <c r="H131" s="112">
        <v>0</v>
      </c>
      <c r="I131" s="112">
        <v>0</v>
      </c>
      <c r="J131" s="112">
        <v>0</v>
      </c>
      <c r="K131" s="31"/>
      <c r="L131" s="31"/>
      <c r="M131" s="31"/>
      <c r="N131" s="31"/>
      <c r="O131" s="31"/>
    </row>
    <row r="132" spans="3:15" ht="13.5" customHeight="1" x14ac:dyDescent="0.2">
      <c r="C132" s="33" t="s">
        <v>202</v>
      </c>
      <c r="D132" s="88"/>
      <c r="E132" s="88">
        <f t="shared" ref="E132:J132" si="175">+SUM(E127:E131)</f>
        <v>-1823000</v>
      </c>
      <c r="F132" s="88">
        <f t="shared" si="175"/>
        <v>110189.58999999997</v>
      </c>
      <c r="G132" s="88">
        <f t="shared" si="175"/>
        <v>119593.52770000004</v>
      </c>
      <c r="H132" s="88">
        <f t="shared" si="175"/>
        <v>129279.58353100001</v>
      </c>
      <c r="I132" s="88">
        <f t="shared" si="175"/>
        <v>139256.22103692999</v>
      </c>
      <c r="J132" s="88">
        <f t="shared" si="175"/>
        <v>2791849.6627183277</v>
      </c>
      <c r="K132" s="31"/>
      <c r="L132" s="31"/>
      <c r="M132" s="31"/>
      <c r="N132" s="31"/>
      <c r="O132" s="31"/>
    </row>
    <row r="133" spans="3:15" ht="13.5" hidden="1" customHeight="1" outlineLevel="1" x14ac:dyDescent="0.2">
      <c r="D133" s="28"/>
      <c r="E133" s="28"/>
      <c r="F133" s="100">
        <f>+F132-F127</f>
        <v>110189.58999999997</v>
      </c>
      <c r="G133" s="100">
        <f t="shared" ref="G133:I133" si="176">+G132-G127</f>
        <v>119593.52770000004</v>
      </c>
      <c r="H133" s="100">
        <f t="shared" si="176"/>
        <v>129279.58353100001</v>
      </c>
      <c r="I133" s="100">
        <f t="shared" si="176"/>
        <v>139256.22103692999</v>
      </c>
      <c r="J133" s="100">
        <f>+J132-SUM(J127,J130)</f>
        <v>66730.368251028471</v>
      </c>
      <c r="K133" s="31"/>
      <c r="L133" s="31"/>
      <c r="M133" s="31"/>
      <c r="N133" s="31"/>
      <c r="O133" s="31"/>
    </row>
    <row r="134" spans="3:15" ht="5.0999999999999996" customHeight="1" collapsed="1" x14ac:dyDescent="0.2">
      <c r="D134" s="28"/>
      <c r="E134" s="28"/>
      <c r="F134" s="100"/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3" t="s">
        <v>203</v>
      </c>
      <c r="D135" s="91"/>
      <c r="E135" s="114">
        <f>+IRR(E132:J132)</f>
        <v>0.13796015016657059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6" spans="3:15" ht="13.5" customHeight="1" x14ac:dyDescent="0.2">
      <c r="C136" s="115" t="s">
        <v>210</v>
      </c>
      <c r="D136" s="92"/>
      <c r="E136" s="116">
        <f>+SUM(F127:J130)/-SUM(E131:J131)</f>
        <v>1.8048099753078757</v>
      </c>
      <c r="G136" s="100"/>
      <c r="H136" s="100"/>
      <c r="I136" s="100"/>
      <c r="J136" s="100"/>
      <c r="K136" s="31"/>
      <c r="L136" s="31"/>
      <c r="M136" s="31"/>
      <c r="N136" s="31"/>
      <c r="O136" s="31"/>
    </row>
    <row r="138" spans="3:15" ht="13.5" customHeight="1" outlineLevel="1" x14ac:dyDescent="0.2">
      <c r="C138" s="32" t="s">
        <v>313</v>
      </c>
      <c r="D138" s="14"/>
      <c r="E138" s="97" t="s">
        <v>177</v>
      </c>
      <c r="F138" s="97">
        <v>1</v>
      </c>
      <c r="G138" s="97">
        <v>2</v>
      </c>
      <c r="H138" s="97">
        <v>3</v>
      </c>
      <c r="I138" s="97">
        <v>4</v>
      </c>
      <c r="J138" s="97">
        <v>5</v>
      </c>
      <c r="K138" s="97">
        <v>6</v>
      </c>
      <c r="L138" s="97">
        <v>7</v>
      </c>
      <c r="M138" s="97"/>
      <c r="N138" s="97"/>
      <c r="O138" s="97"/>
    </row>
    <row r="139" spans="3:15" ht="5.0999999999999996" customHeight="1" outlineLevel="1" x14ac:dyDescent="0.2">
      <c r="C139" s="39"/>
      <c r="D139" s="109"/>
      <c r="E139" s="110"/>
      <c r="F139" s="110"/>
      <c r="G139" s="110"/>
      <c r="H139" s="110"/>
      <c r="I139" s="110"/>
      <c r="J139" s="110"/>
      <c r="K139" s="110"/>
      <c r="L139" s="110"/>
    </row>
    <row r="140" spans="3:15" ht="13.5" customHeight="1" outlineLevel="1" x14ac:dyDescent="0.2">
      <c r="C140" s="28" t="s">
        <v>192</v>
      </c>
      <c r="D140" s="28"/>
      <c r="E140" s="28"/>
      <c r="F140" s="100"/>
      <c r="G140" s="100"/>
      <c r="H140" s="100"/>
      <c r="I140" s="100"/>
      <c r="J140" s="100"/>
      <c r="K140" s="100"/>
      <c r="L140" s="100"/>
      <c r="M140" s="31"/>
      <c r="N140" s="31"/>
      <c r="O140" s="31"/>
    </row>
    <row r="141" spans="3:15" ht="13.5" customHeight="1" outlineLevel="1" x14ac:dyDescent="0.2">
      <c r="C141" s="43" t="s">
        <v>193</v>
      </c>
      <c r="E141" s="111"/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f>+L$81/D$113</f>
        <v>5878218.5595003562</v>
      </c>
      <c r="M141" s="31"/>
      <c r="N141" s="31"/>
      <c r="O141" s="31"/>
    </row>
    <row r="142" spans="3:15" ht="13.5" customHeight="1" outlineLevel="1" x14ac:dyDescent="0.2">
      <c r="C142" s="43" t="s">
        <v>194</v>
      </c>
      <c r="D142" s="95">
        <f>+D117</f>
        <v>1.4999999999999999E-2</v>
      </c>
      <c r="E142" s="112"/>
      <c r="F142" s="112">
        <v>0</v>
      </c>
      <c r="G142" s="112">
        <v>0</v>
      </c>
      <c r="H142" s="112">
        <v>0</v>
      </c>
      <c r="I142" s="112">
        <v>0</v>
      </c>
      <c r="J142" s="112">
        <v>0</v>
      </c>
      <c r="K142" s="112">
        <v>0</v>
      </c>
      <c r="L142" s="112">
        <f>-L$141*D$142</f>
        <v>-88173.278392505337</v>
      </c>
      <c r="M142" s="31"/>
      <c r="N142" s="31"/>
      <c r="O142" s="31"/>
    </row>
    <row r="143" spans="3:15" ht="13.5" customHeight="1" outlineLevel="1" x14ac:dyDescent="0.2">
      <c r="C143" s="43" t="s">
        <v>195</v>
      </c>
      <c r="D143" s="112"/>
      <c r="E143" s="112"/>
      <c r="F143" s="23">
        <f>+F$89</f>
        <v>291864.58999999997</v>
      </c>
      <c r="G143" s="23">
        <f t="shared" ref="G143:L143" si="177">+G$89</f>
        <v>301268.52770000004</v>
      </c>
      <c r="H143" s="23">
        <f t="shared" si="177"/>
        <v>310954.58353100001</v>
      </c>
      <c r="I143" s="23">
        <f t="shared" si="177"/>
        <v>320931.22103692999</v>
      </c>
      <c r="J143" s="23">
        <f t="shared" si="177"/>
        <v>331207.15766803792</v>
      </c>
      <c r="K143" s="23">
        <f t="shared" si="177"/>
        <v>341791.37239807902</v>
      </c>
      <c r="L143" s="23">
        <f t="shared" si="177"/>
        <v>352693.11357002135</v>
      </c>
      <c r="M143" s="31"/>
      <c r="N143" s="31"/>
      <c r="O143" s="31"/>
    </row>
    <row r="144" spans="3:15" ht="13.5" customHeight="1" outlineLevel="1" x14ac:dyDescent="0.2">
      <c r="C144" s="43" t="s">
        <v>196</v>
      </c>
      <c r="E144" s="103">
        <f>-Dashboard!$E$32</f>
        <v>-4300000</v>
      </c>
      <c r="F144" s="112">
        <v>0</v>
      </c>
      <c r="G144" s="112">
        <v>0</v>
      </c>
      <c r="H144" s="112">
        <v>0</v>
      </c>
      <c r="I144" s="112">
        <v>0</v>
      </c>
      <c r="J144" s="112">
        <v>0</v>
      </c>
      <c r="K144" s="112">
        <v>0</v>
      </c>
      <c r="L144" s="112">
        <v>0</v>
      </c>
      <c r="M144" s="31"/>
      <c r="N144" s="31"/>
      <c r="O144" s="31"/>
    </row>
    <row r="145" spans="3:15" ht="13.5" customHeight="1" outlineLevel="1" x14ac:dyDescent="0.2">
      <c r="C145" s="33" t="s">
        <v>197</v>
      </c>
      <c r="D145" s="38"/>
      <c r="E145" s="88">
        <f>SUM(E141:E144)</f>
        <v>-4300000</v>
      </c>
      <c r="F145" s="88">
        <f>SUM(F141:F144)</f>
        <v>291864.58999999997</v>
      </c>
      <c r="G145" s="88">
        <f>SUM(G141:G144)</f>
        <v>301268.52770000004</v>
      </c>
      <c r="H145" s="88">
        <f>SUM(H141:H144)</f>
        <v>310954.58353100001</v>
      </c>
      <c r="I145" s="88">
        <f>SUM(I141:I144)</f>
        <v>320931.22103692999</v>
      </c>
      <c r="J145" s="88">
        <f t="shared" ref="J145" si="178">SUM(J141:J144)</f>
        <v>331207.15766803792</v>
      </c>
      <c r="K145" s="88">
        <f t="shared" ref="K145" si="179">SUM(K141:K144)</f>
        <v>341791.37239807902</v>
      </c>
      <c r="L145" s="88">
        <f>SUM(L141:L144)</f>
        <v>6142738.3946778728</v>
      </c>
      <c r="M145" s="31"/>
      <c r="N145" s="31"/>
      <c r="O145" s="31"/>
    </row>
    <row r="146" spans="3:15" ht="13.5" customHeight="1" outlineLevel="1" x14ac:dyDescent="0.2">
      <c r="C146" s="28"/>
      <c r="E146" s="99"/>
      <c r="F146" s="100">
        <f>+F145-F141</f>
        <v>291864.58999999997</v>
      </c>
      <c r="G146" s="100">
        <f t="shared" ref="G146:L146" si="180">+G145-G141</f>
        <v>301268.52770000004</v>
      </c>
      <c r="H146" s="100">
        <f t="shared" si="180"/>
        <v>310954.58353100001</v>
      </c>
      <c r="I146" s="100">
        <f t="shared" si="180"/>
        <v>320931.22103692999</v>
      </c>
      <c r="J146" s="100">
        <f t="shared" si="180"/>
        <v>331207.15766803792</v>
      </c>
      <c r="K146" s="100">
        <f t="shared" si="180"/>
        <v>341791.37239807902</v>
      </c>
      <c r="L146" s="100">
        <f t="shared" si="180"/>
        <v>264519.83517751656</v>
      </c>
      <c r="M146" s="31"/>
      <c r="N146" s="31"/>
      <c r="O146" s="31"/>
    </row>
    <row r="147" spans="3:15" ht="5.0999999999999996" customHeight="1" outlineLevel="1" x14ac:dyDescent="0.2">
      <c r="D147" s="28"/>
      <c r="E147" s="28"/>
      <c r="F147" s="100"/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customHeight="1" outlineLevel="1" x14ac:dyDescent="0.2">
      <c r="C148" s="113" t="s">
        <v>205</v>
      </c>
      <c r="D148" s="91"/>
      <c r="E148" s="114">
        <f>+IRR(E145:L145)</f>
        <v>0.10930316681880869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customHeight="1" outlineLevel="1" x14ac:dyDescent="0.2">
      <c r="C149" s="115" t="s">
        <v>209</v>
      </c>
      <c r="D149" s="92"/>
      <c r="E149" s="116">
        <f>+SUM(F141:L143)/-SUM(E144:L144)</f>
        <v>1.8699432202353303</v>
      </c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customHeight="1" outlineLevel="1" x14ac:dyDescent="0.2"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customHeight="1" outlineLevel="1" x14ac:dyDescent="0.2">
      <c r="C151" s="28" t="s">
        <v>198</v>
      </c>
      <c r="D151" s="28"/>
      <c r="E151" s="28"/>
      <c r="F151" s="100"/>
      <c r="G151" s="100"/>
      <c r="H151" s="100"/>
      <c r="I151" s="100"/>
      <c r="J151" s="100"/>
      <c r="K151" s="100"/>
      <c r="L151" s="100"/>
      <c r="M151" s="31"/>
      <c r="N151" s="31"/>
      <c r="O151" s="31"/>
    </row>
    <row r="152" spans="3:15" ht="13.5" customHeight="1" outlineLevel="1" x14ac:dyDescent="0.2">
      <c r="C152" s="43" t="s">
        <v>193</v>
      </c>
      <c r="D152" s="111"/>
      <c r="E152" s="111"/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f>+L$81/D$113</f>
        <v>5878218.5595003562</v>
      </c>
      <c r="M152" s="31"/>
      <c r="N152" s="31"/>
      <c r="O152" s="31"/>
    </row>
    <row r="153" spans="3:15" ht="13.5" customHeight="1" outlineLevel="1" x14ac:dyDescent="0.2">
      <c r="C153" s="43" t="s">
        <v>194</v>
      </c>
      <c r="D153" s="95">
        <f>+$D$167</f>
        <v>1.4999999999999999E-2</v>
      </c>
      <c r="E153" s="112"/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f>-L$152*D$153</f>
        <v>-88173.278392505337</v>
      </c>
      <c r="M153" s="31"/>
      <c r="N153" s="31"/>
      <c r="O153" s="31"/>
    </row>
    <row r="154" spans="3:15" ht="13.5" customHeight="1" outlineLevel="1" x14ac:dyDescent="0.2">
      <c r="C154" s="43" t="s">
        <v>199</v>
      </c>
      <c r="E154" s="112"/>
      <c r="F154" s="23">
        <f>+F$93</f>
        <v>110189.58999999997</v>
      </c>
      <c r="G154" s="23">
        <f t="shared" ref="G154:L154" si="181">+G$93</f>
        <v>119593.52770000004</v>
      </c>
      <c r="H154" s="23">
        <f t="shared" si="181"/>
        <v>129279.58353100001</v>
      </c>
      <c r="I154" s="23">
        <f t="shared" si="181"/>
        <v>139256.22103692999</v>
      </c>
      <c r="J154" s="23">
        <f t="shared" si="181"/>
        <v>149532.15766803792</v>
      </c>
      <c r="K154" s="23">
        <f t="shared" si="181"/>
        <v>160116.37239807902</v>
      </c>
      <c r="L154" s="23">
        <f t="shared" si="181"/>
        <v>171018.11357002135</v>
      </c>
      <c r="M154" s="31"/>
      <c r="N154" s="31"/>
      <c r="O154" s="31"/>
    </row>
    <row r="155" spans="3:15" ht="13.5" customHeight="1" outlineLevel="1" x14ac:dyDescent="0.2">
      <c r="C155" s="43" t="s">
        <v>200</v>
      </c>
      <c r="D155" s="112"/>
      <c r="E155" s="112"/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f>-L95</f>
        <v>-2795000</v>
      </c>
      <c r="M155" s="31"/>
      <c r="N155" s="31"/>
      <c r="O155" s="31"/>
    </row>
    <row r="156" spans="3:15" ht="13.5" customHeight="1" outlineLevel="1" x14ac:dyDescent="0.2">
      <c r="C156" s="43" t="s">
        <v>201</v>
      </c>
      <c r="D156" s="103"/>
      <c r="E156" s="103">
        <f>-Dashboard!$I$11</f>
        <v>-1823000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31"/>
      <c r="N156" s="31"/>
      <c r="O156" s="31"/>
    </row>
    <row r="157" spans="3:15" ht="13.5" customHeight="1" outlineLevel="1" x14ac:dyDescent="0.2">
      <c r="C157" s="33" t="s">
        <v>202</v>
      </c>
      <c r="D157" s="88"/>
      <c r="E157" s="88">
        <f>+SUM(E152:E156)</f>
        <v>-1823000</v>
      </c>
      <c r="F157" s="88">
        <f>+SUM(F152:F156)</f>
        <v>110189.58999999997</v>
      </c>
      <c r="G157" s="88">
        <f>+SUM(G152:G156)</f>
        <v>119593.52770000004</v>
      </c>
      <c r="H157" s="88">
        <f>+SUM(H152:H156)</f>
        <v>129279.58353100001</v>
      </c>
      <c r="I157" s="88">
        <f>+SUM(I152:I156)</f>
        <v>139256.22103692999</v>
      </c>
      <c r="J157" s="88">
        <f t="shared" ref="J157" si="182">+SUM(J152:J156)</f>
        <v>149532.15766803792</v>
      </c>
      <c r="K157" s="88">
        <f t="shared" ref="K157" si="183">+SUM(K152:K156)</f>
        <v>160116.37239807902</v>
      </c>
      <c r="L157" s="88">
        <f>+SUM(L152:L156)</f>
        <v>3166063.3946778728</v>
      </c>
      <c r="M157" s="31"/>
      <c r="N157" s="31"/>
      <c r="O157" s="31"/>
    </row>
    <row r="158" spans="3:15" ht="13.5" hidden="1" customHeight="1" outlineLevel="2" x14ac:dyDescent="0.2">
      <c r="C158" s="28"/>
      <c r="D158" s="99"/>
      <c r="E158" s="99"/>
      <c r="F158" s="100">
        <f>+F157-F152</f>
        <v>110189.58999999997</v>
      </c>
      <c r="G158" s="100">
        <f t="shared" ref="G158:L158" si="184">+G157-G152</f>
        <v>119593.52770000004</v>
      </c>
      <c r="H158" s="100">
        <f t="shared" si="184"/>
        <v>129279.58353100001</v>
      </c>
      <c r="I158" s="100">
        <f t="shared" si="184"/>
        <v>139256.22103692999</v>
      </c>
      <c r="J158" s="100">
        <f t="shared" si="184"/>
        <v>149532.15766803792</v>
      </c>
      <c r="K158" s="100">
        <f t="shared" si="184"/>
        <v>160116.37239807902</v>
      </c>
      <c r="L158" s="100">
        <f t="shared" si="184"/>
        <v>-2712155.1648224834</v>
      </c>
      <c r="M158" s="31"/>
      <c r="N158" s="31"/>
      <c r="O158" s="31"/>
    </row>
    <row r="159" spans="3:15" ht="5.0999999999999996" customHeight="1" outlineLevel="1" collapsed="1" x14ac:dyDescent="0.2">
      <c r="D159" s="28"/>
      <c r="E159" s="28"/>
      <c r="F159" s="100"/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customHeight="1" outlineLevel="1" x14ac:dyDescent="0.2">
      <c r="C160" s="113" t="s">
        <v>203</v>
      </c>
      <c r="D160" s="91"/>
      <c r="E160" s="114">
        <f>+IRR(E157:L157)</f>
        <v>0.13482763615949067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customHeight="1" outlineLevel="1" x14ac:dyDescent="0.2">
      <c r="C161" s="115" t="s">
        <v>210</v>
      </c>
      <c r="D161" s="92"/>
      <c r="E161" s="116">
        <f>+SUM(F152:L155)/-SUM(E156:L156)</f>
        <v>2.1799401245265608</v>
      </c>
      <c r="G161" s="100"/>
      <c r="H161" s="100"/>
      <c r="I161" s="100"/>
      <c r="J161" s="100"/>
      <c r="K161" s="100"/>
      <c r="L161" s="100"/>
      <c r="M161" s="31"/>
      <c r="N161" s="31"/>
      <c r="O161" s="31"/>
    </row>
    <row r="162" spans="3:15" ht="13.5" customHeight="1" outlineLevel="1" x14ac:dyDescent="0.2"/>
    <row r="163" spans="3:15" ht="13.5" customHeight="1" outlineLevel="1" x14ac:dyDescent="0.2">
      <c r="C163" s="32" t="s">
        <v>312</v>
      </c>
      <c r="D163" s="14"/>
      <c r="E163" s="97" t="s">
        <v>177</v>
      </c>
      <c r="F163" s="97">
        <v>1</v>
      </c>
      <c r="G163" s="97">
        <v>2</v>
      </c>
      <c r="H163" s="97">
        <v>3</v>
      </c>
      <c r="I163" s="97">
        <v>4</v>
      </c>
      <c r="J163" s="97">
        <v>5</v>
      </c>
      <c r="K163" s="97">
        <v>6</v>
      </c>
      <c r="L163" s="97">
        <v>7</v>
      </c>
      <c r="M163" s="97">
        <v>8</v>
      </c>
      <c r="N163" s="97">
        <v>9</v>
      </c>
      <c r="O163" s="97">
        <v>10</v>
      </c>
    </row>
    <row r="164" spans="3:15" ht="5.0999999999999996" customHeight="1" outlineLevel="1" x14ac:dyDescent="0.2">
      <c r="C164" s="39"/>
      <c r="D164" s="109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</row>
    <row r="165" spans="3:15" ht="13.5" customHeight="1" outlineLevel="1" x14ac:dyDescent="0.2">
      <c r="C165" s="28" t="s">
        <v>192</v>
      </c>
      <c r="D165" s="28"/>
      <c r="E165" s="28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</row>
    <row r="166" spans="3:15" ht="13.5" customHeight="1" outlineLevel="1" x14ac:dyDescent="0.2">
      <c r="C166" s="43" t="s">
        <v>193</v>
      </c>
      <c r="D166" s="111"/>
      <c r="E166" s="111"/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f>+O$81/D$113</f>
        <v>6456669.8518671505</v>
      </c>
    </row>
    <row r="167" spans="3:15" ht="13.5" customHeight="1" outlineLevel="1" x14ac:dyDescent="0.2">
      <c r="C167" s="43" t="s">
        <v>194</v>
      </c>
      <c r="D167" s="95">
        <f>+D117</f>
        <v>1.4999999999999999E-2</v>
      </c>
      <c r="E167" s="112"/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  <c r="O167" s="112">
        <f>-O$166*D$167</f>
        <v>-96850.047778007254</v>
      </c>
    </row>
    <row r="168" spans="3:15" ht="13.5" customHeight="1" outlineLevel="1" x14ac:dyDescent="0.2">
      <c r="C168" s="43" t="s">
        <v>195</v>
      </c>
      <c r="D168" s="112"/>
      <c r="E168" s="112"/>
      <c r="F168" s="23">
        <f>+F$89</f>
        <v>291864.58999999997</v>
      </c>
      <c r="G168" s="23">
        <f t="shared" ref="G168:O168" si="185">+G$89</f>
        <v>301268.52770000004</v>
      </c>
      <c r="H168" s="23">
        <f t="shared" si="185"/>
        <v>310954.58353100001</v>
      </c>
      <c r="I168" s="23">
        <f t="shared" si="185"/>
        <v>320931.22103692999</v>
      </c>
      <c r="J168" s="23">
        <f t="shared" si="185"/>
        <v>331207.15766803792</v>
      </c>
      <c r="K168" s="23">
        <f t="shared" si="185"/>
        <v>341791.37239807902</v>
      </c>
      <c r="L168" s="23">
        <f t="shared" si="185"/>
        <v>352693.11357002135</v>
      </c>
      <c r="M168" s="23">
        <f t="shared" si="185"/>
        <v>363921.90697712213</v>
      </c>
      <c r="N168" s="23">
        <f t="shared" si="185"/>
        <v>375487.56418643572</v>
      </c>
      <c r="O168" s="23">
        <f t="shared" si="185"/>
        <v>387400.19111202902</v>
      </c>
    </row>
    <row r="169" spans="3:15" ht="13.5" customHeight="1" outlineLevel="1" x14ac:dyDescent="0.2">
      <c r="C169" s="43" t="s">
        <v>196</v>
      </c>
      <c r="E169" s="103">
        <f>-Dashboard!$E$32</f>
        <v>-4300000</v>
      </c>
      <c r="F169" s="112">
        <v>0</v>
      </c>
      <c r="G169" s="112">
        <v>0</v>
      </c>
      <c r="H169" s="112">
        <v>0</v>
      </c>
      <c r="I169" s="112">
        <v>0</v>
      </c>
      <c r="J169" s="112">
        <v>0</v>
      </c>
      <c r="K169" s="112">
        <v>0</v>
      </c>
      <c r="L169" s="112">
        <v>0</v>
      </c>
      <c r="M169" s="112">
        <v>0</v>
      </c>
      <c r="N169" s="112">
        <v>0</v>
      </c>
      <c r="O169" s="112">
        <v>0</v>
      </c>
    </row>
    <row r="170" spans="3:15" ht="13.5" customHeight="1" outlineLevel="1" x14ac:dyDescent="0.2">
      <c r="C170" s="33" t="s">
        <v>197</v>
      </c>
      <c r="D170" s="38"/>
      <c r="E170" s="88">
        <f>SUM(E166:E169)</f>
        <v>-4300000</v>
      </c>
      <c r="F170" s="88">
        <f>SUM(F166:F169)</f>
        <v>291864.58999999997</v>
      </c>
      <c r="G170" s="88">
        <f>SUM(G166:G169)</f>
        <v>301268.52770000004</v>
      </c>
      <c r="H170" s="88">
        <f>SUM(H166:H169)</f>
        <v>310954.58353100001</v>
      </c>
      <c r="I170" s="88">
        <f>SUM(I166:I169)</f>
        <v>320931.22103692999</v>
      </c>
      <c r="J170" s="88">
        <f t="shared" ref="J170:N170" si="186">SUM(J166:J169)</f>
        <v>331207.15766803792</v>
      </c>
      <c r="K170" s="88">
        <f t="shared" si="186"/>
        <v>341791.37239807902</v>
      </c>
      <c r="L170" s="88">
        <f t="shared" si="186"/>
        <v>352693.11357002135</v>
      </c>
      <c r="M170" s="88">
        <f t="shared" si="186"/>
        <v>363921.90697712213</v>
      </c>
      <c r="N170" s="88">
        <f t="shared" si="186"/>
        <v>375487.56418643572</v>
      </c>
      <c r="O170" s="88">
        <f>SUM(O166:O169)</f>
        <v>6747219.9952011723</v>
      </c>
    </row>
    <row r="171" spans="3:15" ht="13.5" hidden="1" customHeight="1" outlineLevel="2" x14ac:dyDescent="0.2">
      <c r="D171" s="28"/>
      <c r="E171" s="28"/>
      <c r="F171" s="100">
        <f>+F170-F166</f>
        <v>291864.58999999997</v>
      </c>
      <c r="G171" s="100">
        <f t="shared" ref="G171:O171" si="187">+G170-G166</f>
        <v>301268.52770000004</v>
      </c>
      <c r="H171" s="100">
        <f t="shared" si="187"/>
        <v>310954.58353100001</v>
      </c>
      <c r="I171" s="100">
        <f t="shared" si="187"/>
        <v>320931.22103692999</v>
      </c>
      <c r="J171" s="100">
        <f t="shared" si="187"/>
        <v>331207.15766803792</v>
      </c>
      <c r="K171" s="100">
        <f t="shared" si="187"/>
        <v>341791.37239807902</v>
      </c>
      <c r="L171" s="100">
        <f t="shared" si="187"/>
        <v>352693.11357002135</v>
      </c>
      <c r="M171" s="100">
        <f t="shared" si="187"/>
        <v>363921.90697712213</v>
      </c>
      <c r="N171" s="100">
        <f t="shared" si="187"/>
        <v>375487.56418643572</v>
      </c>
      <c r="O171" s="100">
        <f t="shared" si="187"/>
        <v>290550.14333402179</v>
      </c>
    </row>
    <row r="172" spans="3:15" ht="5.0999999999999996" customHeight="1" outlineLevel="1" collapsed="1" x14ac:dyDescent="0.2">
      <c r="D172" s="28"/>
      <c r="E172" s="28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customHeight="1" outlineLevel="1" x14ac:dyDescent="0.2">
      <c r="C173" s="113" t="s">
        <v>205</v>
      </c>
      <c r="D173" s="91"/>
      <c r="E173" s="114">
        <f>+IRR(E170:O170)</f>
        <v>0.10577866599355623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customHeight="1" outlineLevel="1" x14ac:dyDescent="0.2">
      <c r="C174" s="115" t="s">
        <v>209</v>
      </c>
      <c r="D174" s="92"/>
      <c r="E174" s="116">
        <f>+SUM(F166:O168)/-SUM(E169:O169)</f>
        <v>2.2644976819229763</v>
      </c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customHeight="1" outlineLevel="1" x14ac:dyDescent="0.2"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customHeight="1" outlineLevel="1" x14ac:dyDescent="0.2">
      <c r="C176" s="28" t="s">
        <v>198</v>
      </c>
      <c r="D176" s="28"/>
      <c r="E176" s="28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</row>
    <row r="177" spans="3:15" ht="13.5" customHeight="1" outlineLevel="1" x14ac:dyDescent="0.2">
      <c r="C177" s="43" t="s">
        <v>193</v>
      </c>
      <c r="D177" s="111"/>
      <c r="E177" s="111"/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f>+O$81/D$113</f>
        <v>6456669.8518671505</v>
      </c>
    </row>
    <row r="178" spans="3:15" ht="13.5" customHeight="1" outlineLevel="1" x14ac:dyDescent="0.2">
      <c r="C178" s="43" t="s">
        <v>194</v>
      </c>
      <c r="D178" s="95">
        <f>+$D$167</f>
        <v>1.4999999999999999E-2</v>
      </c>
      <c r="E178" s="112"/>
      <c r="F178" s="112">
        <v>0</v>
      </c>
      <c r="G178" s="112">
        <v>0</v>
      </c>
      <c r="H178" s="112">
        <v>0</v>
      </c>
      <c r="I178" s="112">
        <v>0</v>
      </c>
      <c r="J178" s="112">
        <v>0</v>
      </c>
      <c r="K178" s="112">
        <v>0</v>
      </c>
      <c r="L178" s="112">
        <v>0</v>
      </c>
      <c r="M178" s="112">
        <v>0</v>
      </c>
      <c r="N178" s="112">
        <v>0</v>
      </c>
      <c r="O178" s="112">
        <f>-O$166*D$167</f>
        <v>-96850.047778007254</v>
      </c>
    </row>
    <row r="179" spans="3:15" ht="13.5" customHeight="1" outlineLevel="1" x14ac:dyDescent="0.2">
      <c r="C179" s="43" t="s">
        <v>199</v>
      </c>
      <c r="E179" s="112"/>
      <c r="F179" s="23">
        <f>+F$93</f>
        <v>110189.58999999997</v>
      </c>
      <c r="G179" s="23">
        <f t="shared" ref="G179:N179" si="188">+G$93</f>
        <v>119593.52770000004</v>
      </c>
      <c r="H179" s="23">
        <f t="shared" si="188"/>
        <v>129279.58353100001</v>
      </c>
      <c r="I179" s="23">
        <f t="shared" si="188"/>
        <v>139256.22103692999</v>
      </c>
      <c r="J179" s="23">
        <f t="shared" si="188"/>
        <v>149532.15766803792</v>
      </c>
      <c r="K179" s="23">
        <f t="shared" si="188"/>
        <v>160116.37239807902</v>
      </c>
      <c r="L179" s="23">
        <f t="shared" si="188"/>
        <v>171018.11357002135</v>
      </c>
      <c r="M179" s="23">
        <f t="shared" si="188"/>
        <v>182246.90697712213</v>
      </c>
      <c r="N179" s="23">
        <f t="shared" si="188"/>
        <v>140258.64022597295</v>
      </c>
      <c r="O179" s="23">
        <f>+O$93</f>
        <v>148690.26209413618</v>
      </c>
    </row>
    <row r="180" spans="3:15" ht="13.5" customHeight="1" outlineLevel="1" x14ac:dyDescent="0.2">
      <c r="C180" s="43" t="s">
        <v>200</v>
      </c>
      <c r="D180" s="112"/>
      <c r="E180" s="112"/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f>-O95</f>
        <v>-2684411.1470216443</v>
      </c>
    </row>
    <row r="181" spans="3:15" ht="13.5" customHeight="1" outlineLevel="1" x14ac:dyDescent="0.2">
      <c r="C181" s="43" t="s">
        <v>201</v>
      </c>
      <c r="D181" s="103"/>
      <c r="E181" s="103">
        <f>-Dashboard!$I$11</f>
        <v>-1823000</v>
      </c>
      <c r="F181" s="112">
        <v>0</v>
      </c>
      <c r="G181" s="112">
        <v>0</v>
      </c>
      <c r="H181" s="112">
        <v>0</v>
      </c>
      <c r="I181" s="112">
        <v>0</v>
      </c>
      <c r="J181" s="112">
        <v>0</v>
      </c>
      <c r="K181" s="112">
        <v>0</v>
      </c>
      <c r="L181" s="112">
        <v>0</v>
      </c>
      <c r="M181" s="112">
        <v>0</v>
      </c>
      <c r="N181" s="112">
        <v>0</v>
      </c>
      <c r="O181" s="112">
        <v>0</v>
      </c>
    </row>
    <row r="182" spans="3:15" ht="13.5" customHeight="1" outlineLevel="1" x14ac:dyDescent="0.2">
      <c r="C182" s="33" t="s">
        <v>202</v>
      </c>
      <c r="D182" s="88"/>
      <c r="E182" s="88">
        <f>+SUM(E177:E181)</f>
        <v>-1823000</v>
      </c>
      <c r="F182" s="88">
        <f>+SUM(F177:F181)</f>
        <v>110189.58999999997</v>
      </c>
      <c r="G182" s="88">
        <f>+SUM(G177:G181)</f>
        <v>119593.52770000004</v>
      </c>
      <c r="H182" s="88">
        <f>+SUM(H177:H181)</f>
        <v>129279.58353100001</v>
      </c>
      <c r="I182" s="88">
        <f>+SUM(I177:I181)</f>
        <v>139256.22103692999</v>
      </c>
      <c r="J182" s="88">
        <f t="shared" ref="J182:N182" si="189">+SUM(J177:J181)</f>
        <v>149532.15766803792</v>
      </c>
      <c r="K182" s="88">
        <f t="shared" si="189"/>
        <v>160116.37239807902</v>
      </c>
      <c r="L182" s="88">
        <f t="shared" si="189"/>
        <v>171018.11357002135</v>
      </c>
      <c r="M182" s="88">
        <f t="shared" si="189"/>
        <v>182246.90697712213</v>
      </c>
      <c r="N182" s="88">
        <f t="shared" si="189"/>
        <v>140258.64022597295</v>
      </c>
      <c r="O182" s="88">
        <f>+SUM(O177:O181)</f>
        <v>3824098.919161635</v>
      </c>
    </row>
    <row r="183" spans="3:15" ht="13.5" hidden="1" customHeight="1" outlineLevel="2" x14ac:dyDescent="0.2">
      <c r="C183" s="28"/>
      <c r="D183" s="99"/>
      <c r="E183" s="99"/>
      <c r="F183" s="100">
        <f>+F182-F177</f>
        <v>110189.58999999997</v>
      </c>
      <c r="G183" s="100">
        <f t="shared" ref="G183:O183" si="190">+G182-G177</f>
        <v>119593.52770000004</v>
      </c>
      <c r="H183" s="100">
        <f t="shared" si="190"/>
        <v>129279.58353100001</v>
      </c>
      <c r="I183" s="100">
        <f t="shared" si="190"/>
        <v>139256.22103692999</v>
      </c>
      <c r="J183" s="100">
        <f t="shared" si="190"/>
        <v>149532.15766803792</v>
      </c>
      <c r="K183" s="100">
        <f t="shared" si="190"/>
        <v>160116.37239807902</v>
      </c>
      <c r="L183" s="100">
        <f t="shared" si="190"/>
        <v>171018.11357002135</v>
      </c>
      <c r="M183" s="100">
        <f t="shared" si="190"/>
        <v>182246.90697712213</v>
      </c>
      <c r="N183" s="100">
        <f t="shared" si="190"/>
        <v>140258.64022597295</v>
      </c>
      <c r="O183" s="100">
        <f t="shared" si="190"/>
        <v>-2632570.9327055155</v>
      </c>
    </row>
    <row r="184" spans="3:15" ht="5.0999999999999996" customHeight="1" outlineLevel="1" collapsed="1" x14ac:dyDescent="0.2">
      <c r="D184" s="28"/>
      <c r="E184" s="28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customHeight="1" outlineLevel="1" x14ac:dyDescent="0.2">
      <c r="C185" s="113" t="s">
        <v>203</v>
      </c>
      <c r="D185" s="91"/>
      <c r="E185" s="114">
        <f>+IRR(E182:O182)</f>
        <v>0.13123111237461882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outlineLevel="1" x14ac:dyDescent="0.2">
      <c r="C186" s="115" t="s">
        <v>210</v>
      </c>
      <c r="D186" s="92"/>
      <c r="E186" s="116">
        <f>+SUM(F177:O180)/-SUM(E181:O181)</f>
        <v>2.811623714903345</v>
      </c>
      <c r="G186" s="100"/>
      <c r="H186" s="100"/>
      <c r="I186" s="100"/>
      <c r="J186" s="100"/>
      <c r="K186" s="100"/>
      <c r="L186" s="100"/>
      <c r="M186" s="100"/>
      <c r="N186" s="100"/>
      <c r="O186" s="100"/>
    </row>
  </sheetData>
  <mergeCells count="8">
    <mergeCell ref="I1:I2"/>
    <mergeCell ref="O1:O2"/>
    <mergeCell ref="P1:P2"/>
    <mergeCell ref="C1:C2"/>
    <mergeCell ref="D1:D2"/>
    <mergeCell ref="E1:E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FBE7-6102-44AD-A8AB-63015DEBA366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338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'Unit Mix'!$P$3</f>
        <v>Scenario 1 ( Max Current Vouchers)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Mix'!U26</f>
        <v>593676</v>
      </c>
      <c r="G7" s="40">
        <f>+'Unit Mix'!U49</f>
        <v>611486.28</v>
      </c>
      <c r="H7" s="40">
        <f>+'Unit Mix'!U72</f>
        <v>629830.86840000004</v>
      </c>
      <c r="I7" s="40">
        <f>+'Unit Mix'!U95</f>
        <v>648725.79445200006</v>
      </c>
      <c r="J7" s="40">
        <f>+'Unit Mix'!U118</f>
        <v>668187.56828556012</v>
      </c>
      <c r="K7" s="40">
        <f>+'Unit Mix'!U141</f>
        <v>688233.19533412694</v>
      </c>
      <c r="L7" s="40">
        <f>+'Unit Mix'!U164</f>
        <v>708880.1911941506</v>
      </c>
      <c r="M7" s="40">
        <f>+'Unit Mix'!U187</f>
        <v>730146.59692997532</v>
      </c>
      <c r="N7" s="40">
        <f>+'Unit Mix'!U210</f>
        <v>752050.99483787455</v>
      </c>
      <c r="O7" s="40">
        <f>+'Unit Mix'!U233</f>
        <v>774612.52468301088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29683.800000000003</v>
      </c>
      <c r="G8" s="41">
        <f t="shared" ref="G8:O8" si="0">+G7*$D$8</f>
        <v>30574.314000000002</v>
      </c>
      <c r="H8" s="41">
        <f t="shared" si="0"/>
        <v>31491.543420000002</v>
      </c>
      <c r="I8" s="41">
        <f t="shared" si="0"/>
        <v>32436.289722600006</v>
      </c>
      <c r="J8" s="41">
        <f t="shared" si="0"/>
        <v>33409.378414278006</v>
      </c>
      <c r="K8" s="41">
        <f t="shared" si="0"/>
        <v>34411.659766706347</v>
      </c>
      <c r="L8" s="41">
        <f t="shared" si="0"/>
        <v>35444.009559707534</v>
      </c>
      <c r="M8" s="41">
        <f t="shared" si="0"/>
        <v>36507.329846498767</v>
      </c>
      <c r="N8" s="41">
        <f t="shared" si="0"/>
        <v>37602.54974189373</v>
      </c>
      <c r="O8" s="41">
        <f t="shared" si="0"/>
        <v>38730.626234150543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563992.19999999995</v>
      </c>
      <c r="G9" s="34">
        <f>+G7-G8</f>
        <v>580911.96600000001</v>
      </c>
      <c r="H9" s="34">
        <f>+H7-H8</f>
        <v>598339.32498000003</v>
      </c>
      <c r="I9" s="34">
        <f>+I7-I8</f>
        <v>616289.50472940004</v>
      </c>
      <c r="J9" s="34">
        <f t="shared" ref="J9:N9" si="1">+J7-J8</f>
        <v>634778.18987128208</v>
      </c>
      <c r="K9" s="34">
        <f t="shared" si="1"/>
        <v>653821.53556742053</v>
      </c>
      <c r="L9" s="34">
        <f t="shared" si="1"/>
        <v>673436.18163444311</v>
      </c>
      <c r="M9" s="34">
        <f t="shared" si="1"/>
        <v>693639.26708347653</v>
      </c>
      <c r="N9" s="34">
        <f t="shared" si="1"/>
        <v>714448.44509598077</v>
      </c>
      <c r="O9" s="34">
        <f>+O7-O8</f>
        <v>735881.89844886039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563992.19999999995</v>
      </c>
      <c r="G12" s="34">
        <f>+SUM(G9:G11)</f>
        <v>580911.96600000001</v>
      </c>
      <c r="H12" s="34">
        <f>+SUM(H9:H11)</f>
        <v>598339.32498000003</v>
      </c>
      <c r="I12" s="34">
        <f>+SUM(I9:I11)</f>
        <v>616289.50472940004</v>
      </c>
      <c r="J12" s="34">
        <f t="shared" ref="J12:N12" si="3">+SUM(J9:J11)</f>
        <v>634778.18987128208</v>
      </c>
      <c r="K12" s="34">
        <f t="shared" si="3"/>
        <v>653821.53556742053</v>
      </c>
      <c r="L12" s="34">
        <f t="shared" si="3"/>
        <v>673436.18163444311</v>
      </c>
      <c r="M12" s="34">
        <f t="shared" si="3"/>
        <v>693639.26708347653</v>
      </c>
      <c r="N12" s="34">
        <f t="shared" si="3"/>
        <v>714448.44509598077</v>
      </c>
      <c r="O12" s="34">
        <f>+SUM(O9:O11)</f>
        <v>735881.89844886039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-0.63557261122296804</v>
      </c>
      <c r="G13" s="105">
        <f>+G12/F12-1</f>
        <v>3.0000000000000027E-2</v>
      </c>
      <c r="H13" s="105">
        <f t="shared" ref="H13:O13" si="4">+H12/G12-1</f>
        <v>3.0000000000000027E-2</v>
      </c>
      <c r="I13" s="105">
        <f t="shared" si="4"/>
        <v>3.0000000000000027E-2</v>
      </c>
      <c r="J13" s="105">
        <f t="shared" si="4"/>
        <v>3.0000000000000027E-2</v>
      </c>
      <c r="K13" s="105">
        <f t="shared" si="4"/>
        <v>3.0000000000000027E-2</v>
      </c>
      <c r="L13" s="105">
        <f t="shared" si="4"/>
        <v>3.0000000000000027E-2</v>
      </c>
      <c r="M13" s="105">
        <f t="shared" si="4"/>
        <v>3.0000000000000249E-2</v>
      </c>
      <c r="N13" s="105">
        <f t="shared" si="4"/>
        <v>3.0000000000000027E-2</v>
      </c>
      <c r="O13" s="105">
        <f t="shared" si="4"/>
        <v>3.0000000000000249E-2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291864.58999999997</v>
      </c>
      <c r="G80" s="34">
        <f>+G12-G78</f>
        <v>301268.52770000004</v>
      </c>
      <c r="H80" s="34">
        <f>+H12-H78</f>
        <v>310954.58353100001</v>
      </c>
      <c r="I80" s="34">
        <f>+I12-I78</f>
        <v>320931.22103692999</v>
      </c>
      <c r="J80" s="34">
        <f t="shared" ref="J80:N80" si="6">+J12-J78</f>
        <v>331207.15766803792</v>
      </c>
      <c r="K80" s="34">
        <f t="shared" si="6"/>
        <v>341791.37239807902</v>
      </c>
      <c r="L80" s="34">
        <f t="shared" si="6"/>
        <v>352693.11357002135</v>
      </c>
      <c r="M80" s="34">
        <f t="shared" si="6"/>
        <v>363921.90697712213</v>
      </c>
      <c r="N80" s="34">
        <f t="shared" si="6"/>
        <v>375487.56418643572</v>
      </c>
      <c r="O80" s="34">
        <f>+O12-O78</f>
        <v>387400.19111202902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0.51749756468263208</v>
      </c>
      <c r="G81" s="105">
        <f>+G80/G12</f>
        <v>0.51861305211950137</v>
      </c>
      <c r="H81" s="105">
        <f>+H80/H12</f>
        <v>0.51969604963102489</v>
      </c>
      <c r="I81" s="105">
        <f>+I80/I12</f>
        <v>0.52074750352570787</v>
      </c>
      <c r="J81" s="105">
        <f t="shared" ref="J81:N81" si="7">+J80/J12</f>
        <v>0.52176833254967192</v>
      </c>
      <c r="K81" s="105">
        <f t="shared" si="7"/>
        <v>0.52275942868944292</v>
      </c>
      <c r="L81" s="105">
        <f t="shared" si="7"/>
        <v>0.52372165795135639</v>
      </c>
      <c r="M81" s="105">
        <f t="shared" si="7"/>
        <v>0.5246558611182629</v>
      </c>
      <c r="N81" s="105">
        <f t="shared" si="7"/>
        <v>0.52556285448419138</v>
      </c>
      <c r="O81" s="105">
        <f>+O80/O12</f>
        <v>0.52644343056761722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291864.58999999997</v>
      </c>
      <c r="G88" s="90">
        <f>+G80-G86</f>
        <v>301268.52770000004</v>
      </c>
      <c r="H88" s="90">
        <f>+H80-H86</f>
        <v>310954.58353100001</v>
      </c>
      <c r="I88" s="90">
        <f>+I80-I86</f>
        <v>320931.22103692999</v>
      </c>
      <c r="J88" s="90">
        <f t="shared" ref="J88:N88" si="9">+J80-J86</f>
        <v>331207.15766803792</v>
      </c>
      <c r="K88" s="90">
        <f t="shared" si="9"/>
        <v>341791.37239807902</v>
      </c>
      <c r="L88" s="90">
        <f t="shared" si="9"/>
        <v>352693.11357002135</v>
      </c>
      <c r="M88" s="90">
        <f t="shared" si="9"/>
        <v>363921.90697712213</v>
      </c>
      <c r="N88" s="90">
        <f t="shared" si="9"/>
        <v>375487.56418643572</v>
      </c>
      <c r="O88" s="90">
        <f>+O80-O86</f>
        <v>387400.19111202902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1'!F3-'Scenario 1'!$E3,Dashboard!$E$55,Dashboard!$D$49))</f>
        <v>0</v>
      </c>
      <c r="G91" s="112">
        <f>IF(G$6&lt;=Dashboard!$E$56,0,-PPMT(Dashboard!$E$50,'Scenario 1'!G3-'Scenario 1'!$E3,Dashboard!$E$55,Dashboard!$D$49))</f>
        <v>0</v>
      </c>
      <c r="H91" s="112">
        <f>IF(H$6&lt;=Dashboard!$E$56,0,-PPMT(Dashboard!$E$50,'Scenario 1'!H3-'Scenario 1'!$E3,Dashboard!$E$55,Dashboard!$D$49))</f>
        <v>0</v>
      </c>
      <c r="I91" s="112">
        <f>IF(I$6&lt;=Dashboard!$E$56,0,-PPMT(Dashboard!$E$50,'Scenario 1'!I3-'Scenario 1'!$E3,Dashboard!$E$55,Dashboard!$D$49))</f>
        <v>0</v>
      </c>
      <c r="J91" s="112">
        <f>IF(J$6&lt;=Dashboard!$E$56,0,-PPMT(Dashboard!$E$50,'Scenario 1'!J3-'Scenario 1'!$E3,Dashboard!$E$55,Dashboard!$D$49))</f>
        <v>0</v>
      </c>
      <c r="K91" s="112">
        <f>IF(K$6&lt;=Dashboard!$E$56,0,-PPMT(Dashboard!$E$50,'Scenario 1'!K3-'Scenario 1'!$E3,Dashboard!$E$55,Dashboard!$D$49))</f>
        <v>0</v>
      </c>
      <c r="L91" s="112">
        <f>IF(L$6&lt;=Dashboard!$E$56,0,-PPMT(Dashboard!$E$50,'Scenario 1'!L3-'Scenario 1'!$E3,Dashboard!$E$55,Dashboard!$D$49))</f>
        <v>0</v>
      </c>
      <c r="M91" s="112">
        <f>IF(M$6&lt;=Dashboard!$E$56,0,-PPMT(Dashboard!$E$50,'Scenario 1'!M3-'Scenario 1'!$E3,Dashboard!$E$55,Dashboard!$D$49))</f>
        <v>0</v>
      </c>
      <c r="N91" s="112">
        <f>IF(N$6&lt;=Dashboard!$E$56,0,-PPMT(Dashboard!$E$50,'Scenario 1'!N3-'Scenario 1'!$E3,Dashboard!$E$55,Dashboard!$D$49))</f>
        <v>53553.923960462758</v>
      </c>
      <c r="O91" s="112">
        <f>IF(O$6&lt;=Dashboard!$E$56,0,-PPMT(Dashboard!$E$50,'Scenario 1'!O3-'Scenario 1'!$E3,Dashboard!$E$55,Dashboard!$D$49))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110189.58999999997</v>
      </c>
      <c r="G92" s="90">
        <f>+G88-G90</f>
        <v>119593.52770000004</v>
      </c>
      <c r="H92" s="90">
        <f>+H88-H90</f>
        <v>129279.58353100001</v>
      </c>
      <c r="I92" s="90">
        <f>+I88-I90</f>
        <v>139256.22103692999</v>
      </c>
      <c r="J92" s="90">
        <f t="shared" ref="J92:N92" si="11">+J88-J90</f>
        <v>149532.15766803792</v>
      </c>
      <c r="K92" s="90">
        <f t="shared" si="11"/>
        <v>160116.37239807902</v>
      </c>
      <c r="L92" s="90">
        <f t="shared" si="11"/>
        <v>171018.11357002135</v>
      </c>
      <c r="M92" s="90">
        <f t="shared" si="11"/>
        <v>182246.90697712213</v>
      </c>
      <c r="N92" s="90">
        <f t="shared" si="11"/>
        <v>193812.56418643572</v>
      </c>
      <c r="O92" s="90">
        <f>+O88-O90</f>
        <v>205725.19111202902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1'!$F$91:F91)</f>
        <v>2795000</v>
      </c>
      <c r="G94" s="90">
        <f>+Dashboard!$D$49-SUM('Scenario 1'!$F$91:G91)</f>
        <v>2795000</v>
      </c>
      <c r="H94" s="90">
        <f>+Dashboard!$D$49-SUM('Scenario 1'!$F$91:H91)</f>
        <v>2795000</v>
      </c>
      <c r="I94" s="90">
        <f>+Dashboard!$D$49-SUM('Scenario 1'!$F$91:I91)</f>
        <v>2795000</v>
      </c>
      <c r="J94" s="90">
        <f>+Dashboard!$D$49-SUM('Scenario 1'!$F$91:J91)</f>
        <v>2795000</v>
      </c>
      <c r="K94" s="90">
        <f>+Dashboard!$D$49-SUM('Scenario 1'!$F$91:K91)</f>
        <v>2795000</v>
      </c>
      <c r="L94" s="90">
        <f>+Dashboard!$D$49-SUM('Scenario 1'!$F$91:L91)</f>
        <v>2795000</v>
      </c>
      <c r="M94" s="90">
        <f>+Dashboard!$D$49-SUM('Scenario 1'!$F$91:M91)</f>
        <v>2795000</v>
      </c>
      <c r="N94" s="90">
        <f>+Dashboard!$D$49-SUM('Scenario 1'!$F$91:N91)</f>
        <v>2741446.0760395373</v>
      </c>
      <c r="O94" s="90">
        <f>+Dashboard!$D$49-SUM('Scenario 1'!$F$91:O91)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1.6065203797990917</v>
      </c>
      <c r="G96" s="101">
        <f>+IFERROR(G80/G90,"")</f>
        <v>1.6582828000550436</v>
      </c>
      <c r="H96" s="101">
        <f>+IFERROR(H80/H90,"")</f>
        <v>1.7115980929186736</v>
      </c>
      <c r="I96" s="101">
        <f>+IFERROR(I80/I90,"")</f>
        <v>1.7665128445682123</v>
      </c>
      <c r="J96" s="102">
        <f t="shared" ref="J96:N96" si="12">+IFERROR(J80/J90,"")</f>
        <v>1.8230750387672379</v>
      </c>
      <c r="K96" s="101">
        <f t="shared" si="12"/>
        <v>1.8813340987922336</v>
      </c>
      <c r="L96" s="101">
        <f t="shared" si="12"/>
        <v>1.9413409306179792</v>
      </c>
      <c r="M96" s="101">
        <f t="shared" si="12"/>
        <v>2.003147967398498</v>
      </c>
      <c r="N96" s="101">
        <f t="shared" si="12"/>
        <v>2.0668092152824316</v>
      </c>
      <c r="O96" s="102">
        <f>+IFERROR(O80/O90,"")</f>
        <v>2.1323803006028843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1.6065203797990917</v>
      </c>
      <c r="G97" s="107">
        <f>+IFERROR(G88/G90,"")</f>
        <v>1.6582828000550436</v>
      </c>
      <c r="H97" s="107">
        <f>+IFERROR(H88/H90,"")</f>
        <v>1.7115980929186736</v>
      </c>
      <c r="I97" s="107">
        <f>+IFERROR(I88/I90,"")</f>
        <v>1.7665128445682123</v>
      </c>
      <c r="J97" s="108">
        <f t="shared" ref="J97:N97" si="13">+IFERROR(J88/J90,"")</f>
        <v>1.8230750387672379</v>
      </c>
      <c r="K97" s="107">
        <f t="shared" si="13"/>
        <v>1.8813340987922336</v>
      </c>
      <c r="L97" s="107">
        <f t="shared" si="13"/>
        <v>1.9413409306179792</v>
      </c>
      <c r="M97" s="107">
        <f t="shared" si="13"/>
        <v>2.003147967398498</v>
      </c>
      <c r="N97" s="107">
        <f t="shared" si="13"/>
        <v>2.0668092152824316</v>
      </c>
      <c r="O97" s="108">
        <f>+IFERROR(O88/O90,"")</f>
        <v>2.1323803006028843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0.10442382468694096</v>
      </c>
      <c r="G98" s="71">
        <f>+G88/Dashboard!$I$10</f>
        <v>0.10778838200357783</v>
      </c>
      <c r="H98" s="71">
        <f>+H88/Dashboard!$I$10</f>
        <v>0.11125387603971378</v>
      </c>
      <c r="I98" s="71">
        <f>+I88/Dashboard!$I$10</f>
        <v>0.1148233348969338</v>
      </c>
      <c r="J98" s="72">
        <f>+J88/Dashboard!$I$10</f>
        <v>0.11849987751987046</v>
      </c>
      <c r="K98" s="71">
        <f>+K88/Dashboard!$I$10</f>
        <v>0.12228671642149518</v>
      </c>
      <c r="L98" s="71">
        <f>+L88/Dashboard!$I$10</f>
        <v>0.12618716049016865</v>
      </c>
      <c r="M98" s="71">
        <f>+M88/Dashboard!$I$10</f>
        <v>0.13020461788090237</v>
      </c>
      <c r="N98" s="71">
        <f>+N88/Dashboard!$I$10</f>
        <v>0.13434259899335804</v>
      </c>
      <c r="O98" s="72">
        <f>+O88/Dashboard!$I$10</f>
        <v>0.13860471953918749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0.48250528379715141</v>
      </c>
      <c r="G99" s="71">
        <f>+SUM(G96,G78)/G12</f>
        <v>0.48138980250029834</v>
      </c>
      <c r="H99" s="71">
        <f>+SUM(H96,H78)/H12</f>
        <v>0.48030681094995564</v>
      </c>
      <c r="I99" s="71">
        <f>+SUM(I96,I78)/I12</f>
        <v>0.47925536284282683</v>
      </c>
      <c r="J99" s="72">
        <f t="shared" ref="J99:N99" si="14">+SUM(J96,J78)/J12</f>
        <v>0.47823453943784727</v>
      </c>
      <c r="K99" s="71">
        <f t="shared" si="14"/>
        <v>0.47724344875340119</v>
      </c>
      <c r="L99" s="71">
        <f t="shared" si="14"/>
        <v>0.47628122478791951</v>
      </c>
      <c r="M99" s="71">
        <f t="shared" si="14"/>
        <v>0.47534702676317986</v>
      </c>
      <c r="N99" s="71">
        <f t="shared" si="14"/>
        <v>0.47444003838964649</v>
      </c>
      <c r="O99" s="72">
        <f>+SUM(O96,O78)/O12</f>
        <v>0.47355946715320602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6.7875486046511627E-2</v>
      </c>
      <c r="G101" s="79">
        <f>+G80/Dashboard!$E$32</f>
        <v>7.0062448302325595E-2</v>
      </c>
      <c r="H101" s="79">
        <f>+H80/Dashboard!$E$32</f>
        <v>7.2315019425813962E-2</v>
      </c>
      <c r="I101" s="79">
        <f>+I80/Dashboard!$E$32</f>
        <v>7.4635167683006973E-2</v>
      </c>
      <c r="J101" s="80">
        <f>+J80/Dashboard!$E$32</f>
        <v>7.7024920387915793E-2</v>
      </c>
      <c r="K101" s="79">
        <f>+K80/Dashboard!$E$32</f>
        <v>7.9486365673971868E-2</v>
      </c>
      <c r="L101" s="79">
        <f>+L80/Dashboard!$E$32</f>
        <v>8.202165431860961E-2</v>
      </c>
      <c r="M101" s="79">
        <f>+M80/Dashboard!$E$32</f>
        <v>8.4633001622586537E-2</v>
      </c>
      <c r="N101" s="79">
        <f>+N80/Dashboard!$E$32</f>
        <v>8.7322689345682727E-2</v>
      </c>
      <c r="O101" s="80">
        <f>+O80/Dashboard!$E$32</f>
        <v>9.009306770047186E-2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110189.58999999997</v>
      </c>
      <c r="G102" s="76">
        <f t="shared" si="15"/>
        <v>119593.52770000004</v>
      </c>
      <c r="H102" s="76">
        <f t="shared" si="15"/>
        <v>129279.58353100001</v>
      </c>
      <c r="I102" s="76">
        <f t="shared" si="15"/>
        <v>139256.22103692999</v>
      </c>
      <c r="J102" s="81">
        <f t="shared" si="15"/>
        <v>149532.15766803792</v>
      </c>
      <c r="K102" s="76">
        <f t="shared" si="15"/>
        <v>160116.37239807902</v>
      </c>
      <c r="L102" s="76">
        <f t="shared" si="15"/>
        <v>171018.11357002135</v>
      </c>
      <c r="M102" s="76">
        <f t="shared" si="15"/>
        <v>182246.90697712213</v>
      </c>
      <c r="N102" s="76">
        <f t="shared" si="15"/>
        <v>140258.64022597295</v>
      </c>
      <c r="O102" s="81">
        <f t="shared" si="15"/>
        <v>148690.26209413618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6.0444097641250666E-2</v>
      </c>
      <c r="G103" s="79">
        <f>+G102/Dashboard!$I$11</f>
        <v>6.5602593362589154E-2</v>
      </c>
      <c r="H103" s="79">
        <f>+H102/Dashboard!$I$11</f>
        <v>7.0915843955567756E-2</v>
      </c>
      <c r="I103" s="79">
        <f>+I102/Dashboard!$I$11</f>
        <v>7.6388492066335703E-2</v>
      </c>
      <c r="J103" s="80">
        <f>+J102/Dashboard!$I$11</f>
        <v>8.2025319620426723E-2</v>
      </c>
      <c r="K103" s="79">
        <f>+K102/Dashboard!$I$11</f>
        <v>8.7831252001140447E-2</v>
      </c>
      <c r="L103" s="79">
        <f>+L102/Dashboard!$I$11</f>
        <v>9.3811362353275557E-2</v>
      </c>
      <c r="M103" s="79">
        <f>+M102/Dashboard!$I$11</f>
        <v>9.9970876015974833E-2</v>
      </c>
      <c r="N103" s="79">
        <f>+N102/Dashboard!$I$11</f>
        <v>7.6938365455827176E-2</v>
      </c>
      <c r="O103" s="80">
        <f>+O102/Dashboard!$I$11</f>
        <v>8.1563500874457587E-2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27547.397499999992</v>
      </c>
      <c r="G104" s="76">
        <f t="shared" ref="G104:O104" si="16">+G102*$D$104</f>
        <v>29898.381925000009</v>
      </c>
      <c r="H104" s="76">
        <f t="shared" si="16"/>
        <v>32319.895882750003</v>
      </c>
      <c r="I104" s="76">
        <f t="shared" si="16"/>
        <v>34814.055259232497</v>
      </c>
      <c r="J104" s="81">
        <f t="shared" si="16"/>
        <v>37383.039417009481</v>
      </c>
      <c r="K104" s="76">
        <f t="shared" si="16"/>
        <v>40029.093099519756</v>
      </c>
      <c r="L104" s="76">
        <f t="shared" si="16"/>
        <v>42754.528392505337</v>
      </c>
      <c r="M104" s="76">
        <f t="shared" si="16"/>
        <v>45561.726744280531</v>
      </c>
      <c r="N104" s="76">
        <f t="shared" si="16"/>
        <v>35064.660056493238</v>
      </c>
      <c r="O104" s="81">
        <f t="shared" si="16"/>
        <v>37172.565523534045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82642.192499999976</v>
      </c>
      <c r="G105" s="76">
        <f t="shared" ref="G105:O105" si="17">+G102*$D$105</f>
        <v>89695.145775000026</v>
      </c>
      <c r="H105" s="76">
        <f t="shared" si="17"/>
        <v>96959.687648250008</v>
      </c>
      <c r="I105" s="76">
        <f t="shared" si="17"/>
        <v>104442.16577769749</v>
      </c>
      <c r="J105" s="81">
        <f t="shared" si="17"/>
        <v>112149.11825102844</v>
      </c>
      <c r="K105" s="76">
        <f t="shared" si="17"/>
        <v>120087.27929855927</v>
      </c>
      <c r="L105" s="76">
        <f t="shared" si="17"/>
        <v>128263.58517751601</v>
      </c>
      <c r="M105" s="76">
        <f t="shared" si="17"/>
        <v>136685.18023284158</v>
      </c>
      <c r="N105" s="76">
        <f t="shared" si="17"/>
        <v>105193.98016947971</v>
      </c>
      <c r="O105" s="81">
        <f t="shared" si="17"/>
        <v>111517.69657060213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4.5333073230937999E-2</v>
      </c>
      <c r="G106" s="82">
        <f>+G105/Dashboard!$I$11</f>
        <v>4.9201945021941869E-2</v>
      </c>
      <c r="H106" s="82">
        <f>+H105/Dashboard!$I$11</f>
        <v>5.3186882966675814E-2</v>
      </c>
      <c r="I106" s="82">
        <f>+I105/Dashboard!$I$11</f>
        <v>5.7291369049751774E-2</v>
      </c>
      <c r="J106" s="83">
        <f>+J105/Dashboard!$I$11</f>
        <v>6.1518989715320042E-2</v>
      </c>
      <c r="K106" s="82">
        <f>+K105/Dashboard!$I$11</f>
        <v>6.5873439000855336E-2</v>
      </c>
      <c r="L106" s="82">
        <f>+L105/Dashboard!$I$11</f>
        <v>7.0358521764956675E-2</v>
      </c>
      <c r="M106" s="82">
        <f>+M105/Dashboard!$I$11</f>
        <v>7.4978157011981114E-2</v>
      </c>
      <c r="N106" s="82">
        <f>+N105/Dashboard!$I$11</f>
        <v>5.7703774091870379E-2</v>
      </c>
      <c r="O106" s="83">
        <f>+O105/Dashboard!$I$11</f>
        <v>6.1172625655843187E-2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5520119.2944672992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-82801.789417009481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291864.58999999997</v>
      </c>
      <c r="G117" s="23">
        <f t="shared" ref="G117:I117" si="18">+G$88</f>
        <v>301268.52770000004</v>
      </c>
      <c r="H117" s="23">
        <f t="shared" si="18"/>
        <v>310954.58353100001</v>
      </c>
      <c r="I117" s="23">
        <f t="shared" si="18"/>
        <v>320931.22103692999</v>
      </c>
      <c r="J117" s="23">
        <f>+J$88</f>
        <v>331207.15766803792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291864.58999999997</v>
      </c>
      <c r="G119" s="88">
        <f t="shared" si="19"/>
        <v>301268.52770000004</v>
      </c>
      <c r="H119" s="88">
        <f t="shared" si="19"/>
        <v>310954.58353100001</v>
      </c>
      <c r="I119" s="88">
        <f t="shared" si="19"/>
        <v>320931.22103692999</v>
      </c>
      <c r="J119" s="88">
        <f t="shared" si="19"/>
        <v>5768524.6627183277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D120" s="28"/>
      <c r="E120" s="28"/>
      <c r="F120" s="100">
        <f>+F119-F115</f>
        <v>291864.58999999997</v>
      </c>
      <c r="G120" s="100">
        <f t="shared" ref="G120:J120" si="20">+G119-G115</f>
        <v>301268.52770000004</v>
      </c>
      <c r="H120" s="100">
        <f t="shared" si="20"/>
        <v>310954.58353100001</v>
      </c>
      <c r="I120" s="100">
        <f t="shared" si="20"/>
        <v>320931.22103692999</v>
      </c>
      <c r="J120" s="100">
        <f t="shared" si="20"/>
        <v>248405.36825102847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0.11402294565424453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1.6264054848805249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5520119.2944672992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-82801.789417009481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110189.58999999997</v>
      </c>
      <c r="G128" s="23">
        <f t="shared" ref="G128:I128" si="21">+G$92</f>
        <v>119593.52770000004</v>
      </c>
      <c r="H128" s="23">
        <f t="shared" si="21"/>
        <v>129279.58353100001</v>
      </c>
      <c r="I128" s="23">
        <f t="shared" si="21"/>
        <v>139256.22103692999</v>
      </c>
      <c r="J128" s="23">
        <f>+J$92</f>
        <v>149532.15766803792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110189.58999999997</v>
      </c>
      <c r="G131" s="88">
        <f t="shared" si="22"/>
        <v>119593.52770000004</v>
      </c>
      <c r="H131" s="88">
        <f t="shared" si="22"/>
        <v>129279.58353100001</v>
      </c>
      <c r="I131" s="88">
        <f t="shared" si="22"/>
        <v>139256.22103692999</v>
      </c>
      <c r="J131" s="88">
        <f t="shared" si="22"/>
        <v>2791849.6627183277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110189.58999999997</v>
      </c>
      <c r="G132" s="100">
        <f t="shared" ref="G132:I132" si="23">+G131-G126</f>
        <v>119593.52770000004</v>
      </c>
      <c r="H132" s="100">
        <f t="shared" si="23"/>
        <v>129279.58353100001</v>
      </c>
      <c r="I132" s="100">
        <f t="shared" si="23"/>
        <v>139256.22103692999</v>
      </c>
      <c r="J132" s="100">
        <f>+J131-SUM(J126,J129)</f>
        <v>66730.368251028471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0.13796015016657059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1.8048099753078757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5878218.5595003562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-88173.278392505337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291864.58999999997</v>
      </c>
      <c r="G142" s="23">
        <f t="shared" ref="G142:L142" si="24">+G$88</f>
        <v>301268.52770000004</v>
      </c>
      <c r="H142" s="23">
        <f t="shared" si="24"/>
        <v>310954.58353100001</v>
      </c>
      <c r="I142" s="23">
        <f t="shared" si="24"/>
        <v>320931.22103692999</v>
      </c>
      <c r="J142" s="23">
        <f t="shared" si="24"/>
        <v>331207.15766803792</v>
      </c>
      <c r="K142" s="23">
        <f t="shared" si="24"/>
        <v>341791.37239807902</v>
      </c>
      <c r="L142" s="23">
        <f t="shared" si="24"/>
        <v>352693.11357002135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291864.58999999997</v>
      </c>
      <c r="G144" s="88">
        <f>SUM(G140:G143)</f>
        <v>301268.52770000004</v>
      </c>
      <c r="H144" s="88">
        <f>SUM(H140:H143)</f>
        <v>310954.58353100001</v>
      </c>
      <c r="I144" s="88">
        <f>SUM(I140:I143)</f>
        <v>320931.22103692999</v>
      </c>
      <c r="J144" s="88">
        <f t="shared" ref="J144:K144" si="25">SUM(J140:J143)</f>
        <v>331207.15766803792</v>
      </c>
      <c r="K144" s="88">
        <f t="shared" si="25"/>
        <v>341791.37239807902</v>
      </c>
      <c r="L144" s="88">
        <f>SUM(L140:L143)</f>
        <v>6142738.3946778728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291864.58999999997</v>
      </c>
      <c r="G145" s="100">
        <f t="shared" ref="G145:L145" si="26">+G144-G140</f>
        <v>301268.52770000004</v>
      </c>
      <c r="H145" s="100">
        <f t="shared" si="26"/>
        <v>310954.58353100001</v>
      </c>
      <c r="I145" s="100">
        <f t="shared" si="26"/>
        <v>320931.22103692999</v>
      </c>
      <c r="J145" s="100">
        <f t="shared" si="26"/>
        <v>331207.15766803792</v>
      </c>
      <c r="K145" s="100">
        <f t="shared" si="26"/>
        <v>341791.37239807902</v>
      </c>
      <c r="L145" s="100">
        <f t="shared" si="26"/>
        <v>264519.83517751656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0.10930316681880869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1.8699432202353303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5878218.5595003562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-88173.278392505337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110189.58999999997</v>
      </c>
      <c r="G153" s="23">
        <f t="shared" ref="G153:L153" si="27">+G$92</f>
        <v>119593.52770000004</v>
      </c>
      <c r="H153" s="23">
        <f t="shared" si="27"/>
        <v>129279.58353100001</v>
      </c>
      <c r="I153" s="23">
        <f t="shared" si="27"/>
        <v>139256.22103692999</v>
      </c>
      <c r="J153" s="23">
        <f t="shared" si="27"/>
        <v>149532.15766803792</v>
      </c>
      <c r="K153" s="23">
        <f t="shared" si="27"/>
        <v>160116.37239807902</v>
      </c>
      <c r="L153" s="23">
        <f t="shared" si="27"/>
        <v>171018.11357002135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110189.58999999997</v>
      </c>
      <c r="G156" s="88">
        <f>+SUM(G151:G155)</f>
        <v>119593.52770000004</v>
      </c>
      <c r="H156" s="88">
        <f>+SUM(H151:H155)</f>
        <v>129279.58353100001</v>
      </c>
      <c r="I156" s="88">
        <f>+SUM(I151:I155)</f>
        <v>139256.22103692999</v>
      </c>
      <c r="J156" s="88">
        <f t="shared" ref="J156:K156" si="28">+SUM(J151:J155)</f>
        <v>149532.15766803792</v>
      </c>
      <c r="K156" s="88">
        <f t="shared" si="28"/>
        <v>160116.37239807902</v>
      </c>
      <c r="L156" s="88">
        <f>+SUM(L151:L155)</f>
        <v>3166063.3946778728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110189.58999999997</v>
      </c>
      <c r="G157" s="100">
        <f t="shared" ref="G157:L157" si="29">+G156-G151</f>
        <v>119593.52770000004</v>
      </c>
      <c r="H157" s="100">
        <f t="shared" si="29"/>
        <v>129279.58353100001</v>
      </c>
      <c r="I157" s="100">
        <f t="shared" si="29"/>
        <v>139256.22103692999</v>
      </c>
      <c r="J157" s="100">
        <f t="shared" si="29"/>
        <v>149532.15766803792</v>
      </c>
      <c r="K157" s="100">
        <f t="shared" si="29"/>
        <v>160116.37239807902</v>
      </c>
      <c r="L157" s="100">
        <f t="shared" si="29"/>
        <v>-2712155.1648224834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0.13482763615949067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2.1799401245265608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6456669.8518671505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-96850.047778007254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291864.58999999997</v>
      </c>
      <c r="G167" s="23">
        <f t="shared" ref="G167:O167" si="30">+G$88</f>
        <v>301268.52770000004</v>
      </c>
      <c r="H167" s="23">
        <f t="shared" si="30"/>
        <v>310954.58353100001</v>
      </c>
      <c r="I167" s="23">
        <f t="shared" si="30"/>
        <v>320931.22103692999</v>
      </c>
      <c r="J167" s="23">
        <f t="shared" si="30"/>
        <v>331207.15766803792</v>
      </c>
      <c r="K167" s="23">
        <f t="shared" si="30"/>
        <v>341791.37239807902</v>
      </c>
      <c r="L167" s="23">
        <f t="shared" si="30"/>
        <v>352693.11357002135</v>
      </c>
      <c r="M167" s="23">
        <f t="shared" si="30"/>
        <v>363921.90697712213</v>
      </c>
      <c r="N167" s="23">
        <f t="shared" si="30"/>
        <v>375487.56418643572</v>
      </c>
      <c r="O167" s="23">
        <f t="shared" si="30"/>
        <v>387400.19111202902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291864.58999999997</v>
      </c>
      <c r="G169" s="88">
        <f>SUM(G165:G168)</f>
        <v>301268.52770000004</v>
      </c>
      <c r="H169" s="88">
        <f>SUM(H165:H168)</f>
        <v>310954.58353100001</v>
      </c>
      <c r="I169" s="88">
        <f>SUM(I165:I168)</f>
        <v>320931.22103692999</v>
      </c>
      <c r="J169" s="88">
        <f t="shared" ref="J169:N169" si="31">SUM(J165:J168)</f>
        <v>331207.15766803792</v>
      </c>
      <c r="K169" s="88">
        <f t="shared" si="31"/>
        <v>341791.37239807902</v>
      </c>
      <c r="L169" s="88">
        <f t="shared" si="31"/>
        <v>352693.11357002135</v>
      </c>
      <c r="M169" s="88">
        <f t="shared" si="31"/>
        <v>363921.90697712213</v>
      </c>
      <c r="N169" s="88">
        <f t="shared" si="31"/>
        <v>375487.56418643572</v>
      </c>
      <c r="O169" s="88">
        <f>SUM(O165:O168)</f>
        <v>6747219.9952011723</v>
      </c>
    </row>
    <row r="170" spans="3:15" ht="13.5" hidden="1" customHeight="1" outlineLevel="2" x14ac:dyDescent="0.2">
      <c r="C170" s="28"/>
      <c r="E170" s="99"/>
      <c r="F170" s="100">
        <f>+F169-F165</f>
        <v>291864.58999999997</v>
      </c>
      <c r="G170" s="100">
        <f t="shared" ref="G170:O170" si="32">+G169-G165</f>
        <v>301268.52770000004</v>
      </c>
      <c r="H170" s="100">
        <f t="shared" si="32"/>
        <v>310954.58353100001</v>
      </c>
      <c r="I170" s="100">
        <f t="shared" si="32"/>
        <v>320931.22103692999</v>
      </c>
      <c r="J170" s="100">
        <f t="shared" si="32"/>
        <v>331207.15766803792</v>
      </c>
      <c r="K170" s="100">
        <f t="shared" si="32"/>
        <v>341791.37239807902</v>
      </c>
      <c r="L170" s="100">
        <f t="shared" si="32"/>
        <v>352693.11357002135</v>
      </c>
      <c r="M170" s="100">
        <f t="shared" si="32"/>
        <v>363921.90697712213</v>
      </c>
      <c r="N170" s="100">
        <f t="shared" si="32"/>
        <v>375487.56418643572</v>
      </c>
      <c r="O170" s="100">
        <f t="shared" si="32"/>
        <v>290550.14333402179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0.10577866599355623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2.2644976819229763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6456669.8518671505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-96850.047778007254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110189.58999999997</v>
      </c>
      <c r="G178" s="23">
        <f t="shared" ref="G178:O178" si="33">+G$92</f>
        <v>119593.52770000004</v>
      </c>
      <c r="H178" s="23">
        <f t="shared" si="33"/>
        <v>129279.58353100001</v>
      </c>
      <c r="I178" s="23">
        <f t="shared" si="33"/>
        <v>139256.22103692999</v>
      </c>
      <c r="J178" s="23">
        <f t="shared" si="33"/>
        <v>149532.15766803792</v>
      </c>
      <c r="K178" s="23">
        <f t="shared" si="33"/>
        <v>160116.37239807902</v>
      </c>
      <c r="L178" s="23">
        <f t="shared" si="33"/>
        <v>171018.11357002135</v>
      </c>
      <c r="M178" s="23">
        <f t="shared" si="33"/>
        <v>182246.90697712213</v>
      </c>
      <c r="N178" s="23">
        <f t="shared" si="33"/>
        <v>193812.56418643572</v>
      </c>
      <c r="O178" s="23">
        <f t="shared" si="33"/>
        <v>205725.19111202902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110189.58999999997</v>
      </c>
      <c r="G181" s="88">
        <f>+SUM(G176:G180)</f>
        <v>119593.52770000004</v>
      </c>
      <c r="H181" s="88">
        <f>+SUM(H176:H180)</f>
        <v>129279.58353100001</v>
      </c>
      <c r="I181" s="88">
        <f>+SUM(I176:I180)</f>
        <v>139256.22103692999</v>
      </c>
      <c r="J181" s="88">
        <f t="shared" ref="J181:N181" si="34">+SUM(J176:J180)</f>
        <v>149532.15766803792</v>
      </c>
      <c r="K181" s="88">
        <f t="shared" si="34"/>
        <v>160116.37239807902</v>
      </c>
      <c r="L181" s="88">
        <f t="shared" si="34"/>
        <v>171018.11357002135</v>
      </c>
      <c r="M181" s="88">
        <f t="shared" si="34"/>
        <v>182246.90697712213</v>
      </c>
      <c r="N181" s="88">
        <f t="shared" si="34"/>
        <v>193812.56418643572</v>
      </c>
      <c r="O181" s="88">
        <f>+SUM(O176:O180)</f>
        <v>3881133.848179528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110189.58999999997</v>
      </c>
      <c r="G182" s="100">
        <f t="shared" ref="G182:O182" si="35">+G181-G176</f>
        <v>119593.52770000004</v>
      </c>
      <c r="H182" s="100">
        <f t="shared" si="35"/>
        <v>129279.58353100001</v>
      </c>
      <c r="I182" s="100">
        <f t="shared" si="35"/>
        <v>139256.22103692999</v>
      </c>
      <c r="J182" s="100">
        <f t="shared" si="35"/>
        <v>149532.15766803792</v>
      </c>
      <c r="K182" s="100">
        <f t="shared" si="35"/>
        <v>160116.37239807902</v>
      </c>
      <c r="L182" s="100">
        <f t="shared" si="35"/>
        <v>171018.11357002135</v>
      </c>
      <c r="M182" s="100">
        <f t="shared" si="35"/>
        <v>182246.90697712213</v>
      </c>
      <c r="N182" s="100">
        <f t="shared" si="35"/>
        <v>193812.56418643572</v>
      </c>
      <c r="O182" s="100">
        <f t="shared" si="35"/>
        <v>-2575536.0036876225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0.13390236827136093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2.8722868267949284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H1:H2"/>
    <mergeCell ref="I1:I2"/>
    <mergeCell ref="O1:O2"/>
    <mergeCell ref="P1:P2"/>
    <mergeCell ref="C1:C2"/>
    <mergeCell ref="D1:D2"/>
    <mergeCell ref="E1:E2"/>
    <mergeCell ref="F1:F2"/>
    <mergeCell ref="G1:G2"/>
  </mergeCells>
  <pageMargins left="0.7" right="0.7" top="0.75" bottom="0.75" header="0.3" footer="0.3"/>
  <pageSetup scale="1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3575-0058-4D13-8DD5-9FC29BF23677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340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'Unit Mix'!$W$3</f>
        <v>Scenario 2 (Max Net LIHTC)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Mix'!AB26</f>
        <v>640308</v>
      </c>
      <c r="G7" s="40">
        <f>+'Unit Mix'!AB49</f>
        <v>659517.24</v>
      </c>
      <c r="H7" s="40">
        <f>+'Unit Mix'!AB72</f>
        <v>679302.75719999999</v>
      </c>
      <c r="I7" s="40">
        <f>+'Unit Mix'!AB95</f>
        <v>699681.83991600003</v>
      </c>
      <c r="J7" s="40">
        <f>+'Unit Mix'!AB118</f>
        <v>720672.29511348018</v>
      </c>
      <c r="K7" s="40">
        <f>+'Unit Mix'!AB141</f>
        <v>742292.46396688453</v>
      </c>
      <c r="L7" s="40">
        <f>+'Unit Mix'!AB164</f>
        <v>764561.23788589099</v>
      </c>
      <c r="M7" s="40">
        <f>+'Unit Mix'!AB187</f>
        <v>787498.07502246788</v>
      </c>
      <c r="N7" s="40">
        <f>+'Unit Mix'!AB210</f>
        <v>811123.01727314177</v>
      </c>
      <c r="O7" s="40">
        <f>+'Unit Mix'!AB233</f>
        <v>835456.70779133611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32015.4</v>
      </c>
      <c r="G8" s="41">
        <f t="shared" ref="G8:O8" si="0">+G7*$D$8</f>
        <v>32975.862000000001</v>
      </c>
      <c r="H8" s="41">
        <f t="shared" si="0"/>
        <v>33965.137860000003</v>
      </c>
      <c r="I8" s="41">
        <f t="shared" si="0"/>
        <v>34984.091995800001</v>
      </c>
      <c r="J8" s="41">
        <f t="shared" si="0"/>
        <v>36033.614755674011</v>
      </c>
      <c r="K8" s="41">
        <f t="shared" si="0"/>
        <v>37114.623198344227</v>
      </c>
      <c r="L8" s="41">
        <f t="shared" si="0"/>
        <v>38228.061894294551</v>
      </c>
      <c r="M8" s="41">
        <f t="shared" si="0"/>
        <v>39374.903751123398</v>
      </c>
      <c r="N8" s="41">
        <f t="shared" si="0"/>
        <v>40556.150863657094</v>
      </c>
      <c r="O8" s="41">
        <f t="shared" si="0"/>
        <v>41772.835389566812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608292.6</v>
      </c>
      <c r="G9" s="34">
        <f>+G7-G8</f>
        <v>626541.37800000003</v>
      </c>
      <c r="H9" s="34">
        <f>+H7-H8</f>
        <v>645337.61933999998</v>
      </c>
      <c r="I9" s="34">
        <f>+I7-I8</f>
        <v>664697.7479202</v>
      </c>
      <c r="J9" s="34">
        <f t="shared" ref="J9:N9" si="1">+J7-J8</f>
        <v>684638.68035780615</v>
      </c>
      <c r="K9" s="34">
        <f t="shared" si="1"/>
        <v>705177.84076854028</v>
      </c>
      <c r="L9" s="34">
        <f t="shared" si="1"/>
        <v>726333.17599159642</v>
      </c>
      <c r="M9" s="34">
        <f t="shared" si="1"/>
        <v>748123.17127134453</v>
      </c>
      <c r="N9" s="34">
        <f t="shared" si="1"/>
        <v>770566.86640948465</v>
      </c>
      <c r="O9" s="34">
        <f>+O7-O8</f>
        <v>793683.87240176927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608292.6</v>
      </c>
      <c r="G12" s="34">
        <f>+SUM(G9:G11)</f>
        <v>626541.37800000003</v>
      </c>
      <c r="H12" s="34">
        <f>+SUM(H9:H11)</f>
        <v>645337.61933999998</v>
      </c>
      <c r="I12" s="34">
        <f>+SUM(I9:I11)</f>
        <v>664697.7479202</v>
      </c>
      <c r="J12" s="34">
        <f t="shared" ref="J12:N12" si="3">+SUM(J9:J11)</f>
        <v>684638.68035780615</v>
      </c>
      <c r="K12" s="34">
        <f t="shared" si="3"/>
        <v>705177.84076854028</v>
      </c>
      <c r="L12" s="34">
        <f t="shared" si="3"/>
        <v>726333.17599159642</v>
      </c>
      <c r="M12" s="34">
        <f t="shared" si="3"/>
        <v>748123.17127134453</v>
      </c>
      <c r="N12" s="34">
        <f t="shared" si="3"/>
        <v>770566.86640948465</v>
      </c>
      <c r="O12" s="34">
        <f>+SUM(O9:O11)</f>
        <v>793683.87240176927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-0.60694760702294892</v>
      </c>
      <c r="G13" s="105">
        <f>+G12/F12-1</f>
        <v>3.0000000000000027E-2</v>
      </c>
      <c r="H13" s="105">
        <f t="shared" ref="H13:O13" si="4">+H12/G12-1</f>
        <v>3.0000000000000027E-2</v>
      </c>
      <c r="I13" s="105">
        <f t="shared" si="4"/>
        <v>3.0000000000000027E-2</v>
      </c>
      <c r="J13" s="105">
        <f t="shared" si="4"/>
        <v>3.0000000000000249E-2</v>
      </c>
      <c r="K13" s="105">
        <f t="shared" si="4"/>
        <v>2.9999999999999805E-2</v>
      </c>
      <c r="L13" s="105">
        <f t="shared" si="4"/>
        <v>2.9999999999999805E-2</v>
      </c>
      <c r="M13" s="105">
        <f t="shared" si="4"/>
        <v>3.0000000000000249E-2</v>
      </c>
      <c r="N13" s="105">
        <f t="shared" si="4"/>
        <v>2.9999999999999805E-2</v>
      </c>
      <c r="O13" s="105">
        <f t="shared" si="4"/>
        <v>3.0000000000000027E-2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336164.99</v>
      </c>
      <c r="G80" s="34">
        <f>+G12-G78</f>
        <v>346897.93970000005</v>
      </c>
      <c r="H80" s="34">
        <f>+H12-H78</f>
        <v>357952.87789099995</v>
      </c>
      <c r="I80" s="34">
        <f>+I12-I78</f>
        <v>369339.46422772994</v>
      </c>
      <c r="J80" s="34">
        <f t="shared" ref="J80:N80" si="6">+J12-J78</f>
        <v>381067.64815456199</v>
      </c>
      <c r="K80" s="34">
        <f t="shared" si="6"/>
        <v>393147.67759919877</v>
      </c>
      <c r="L80" s="34">
        <f t="shared" si="6"/>
        <v>405590.10792717466</v>
      </c>
      <c r="M80" s="34">
        <f t="shared" si="6"/>
        <v>418405.81116499013</v>
      </c>
      <c r="N80" s="34">
        <f t="shared" si="6"/>
        <v>431605.98549993959</v>
      </c>
      <c r="O80" s="34">
        <f>+O12-O78</f>
        <v>445202.1650649379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0.55263698752869916</v>
      </c>
      <c r="G81" s="105">
        <f>+G80/G12</f>
        <v>0.55367123685803887</v>
      </c>
      <c r="H81" s="105">
        <f>+H80/H12</f>
        <v>0.5546753624205043</v>
      </c>
      <c r="I81" s="105">
        <f>+I80/I12</f>
        <v>0.55565024160736409</v>
      </c>
      <c r="J81" s="105">
        <f t="shared" ref="J81:N81" si="7">+J80/J12</f>
        <v>0.55659672625480094</v>
      </c>
      <c r="K81" s="105">
        <f t="shared" si="7"/>
        <v>0.55751564338823456</v>
      </c>
      <c r="L81" s="105">
        <f t="shared" si="7"/>
        <v>0.55840779594496626</v>
      </c>
      <c r="M81" s="105">
        <f t="shared" si="7"/>
        <v>0.55927396347577396</v>
      </c>
      <c r="N81" s="105">
        <f t="shared" si="7"/>
        <v>0.56011490282607235</v>
      </c>
      <c r="O81" s="105">
        <f>+O80/O12</f>
        <v>0.56093134879723616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336164.99</v>
      </c>
      <c r="G88" s="90">
        <f>+G80-G86</f>
        <v>346897.93970000005</v>
      </c>
      <c r="H88" s="90">
        <f>+H80-H86</f>
        <v>357952.87789099995</v>
      </c>
      <c r="I88" s="90">
        <f>+I80-I86</f>
        <v>369339.46422772994</v>
      </c>
      <c r="J88" s="90">
        <f t="shared" ref="J88:N88" si="9">+J80-J86</f>
        <v>381067.64815456199</v>
      </c>
      <c r="K88" s="90">
        <f t="shared" si="9"/>
        <v>393147.67759919877</v>
      </c>
      <c r="L88" s="90">
        <f t="shared" si="9"/>
        <v>405590.10792717466</v>
      </c>
      <c r="M88" s="90">
        <f t="shared" si="9"/>
        <v>418405.81116499013</v>
      </c>
      <c r="N88" s="90">
        <f t="shared" si="9"/>
        <v>431605.98549993959</v>
      </c>
      <c r="O88" s="90">
        <f>+O80-O86</f>
        <v>445202.1650649379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2'!F3-'Scenario 2'!$E3,Dashboard!$E$55,Dashboard!$D$49))</f>
        <v>0</v>
      </c>
      <c r="G91" s="112">
        <f>IF(G$6&lt;=Dashboard!$E$56,0,-PPMT(Dashboard!$E$50,'Scenario 2'!G3-'Scenario 2'!$E3,Dashboard!$E$55,Dashboard!$D$49))</f>
        <v>0</v>
      </c>
      <c r="H91" s="112">
        <f>IF(H$6&lt;=Dashboard!$E$56,0,-PPMT(Dashboard!$E$50,'Scenario 2'!H3-'Scenario 2'!$E3,Dashboard!$E$55,Dashboard!$D$49))</f>
        <v>0</v>
      </c>
      <c r="I91" s="112">
        <f>IF(I$6&lt;=Dashboard!$E$56,0,-PPMT(Dashboard!$E$50,'Scenario 2'!I3-'Scenario 2'!$E3,Dashboard!$E$55,Dashboard!$D$49))</f>
        <v>0</v>
      </c>
      <c r="J91" s="112">
        <f>IF(J$6&lt;=Dashboard!$E$56,0,-PPMT(Dashboard!$E$50,'Scenario 2'!J3-'Scenario 2'!$E3,Dashboard!$E$55,Dashboard!$D$49))</f>
        <v>0</v>
      </c>
      <c r="K91" s="112">
        <f>IF(K$6&lt;=Dashboard!$E$56,0,-PPMT(Dashboard!$E$50,'Scenario 2'!K3-'Scenario 2'!$E3,Dashboard!$E$55,Dashboard!$D$49))</f>
        <v>0</v>
      </c>
      <c r="L91" s="112">
        <f>IF(L$6&lt;=Dashboard!$E$56,0,-PPMT(Dashboard!$E$50,'Scenario 2'!L3-'Scenario 2'!$E3,Dashboard!$E$55,Dashboard!$D$49))</f>
        <v>0</v>
      </c>
      <c r="M91" s="112">
        <f>IF(M$6&lt;=Dashboard!$E$56,0,-PPMT(Dashboard!$E$50,'Scenario 2'!M3-'Scenario 2'!$E3,Dashboard!$E$55,Dashboard!$D$49))</f>
        <v>0</v>
      </c>
      <c r="N91" s="112">
        <f>IF(N$6&lt;=Dashboard!$E$56,0,-PPMT(Dashboard!$E$50,'Scenario 2'!N3-'Scenario 2'!$E3,Dashboard!$E$55,Dashboard!$D$49))</f>
        <v>53553.923960462758</v>
      </c>
      <c r="O91" s="112">
        <f>IF(O$6&lt;=Dashboard!$E$56,0,-PPMT(Dashboard!$E$50,'Scenario 2'!O3-'Scenario 2'!$E3,Dashboard!$E$55,Dashboard!$D$49))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154489.99</v>
      </c>
      <c r="G92" s="90">
        <f>+G88-G90</f>
        <v>165222.93970000005</v>
      </c>
      <c r="H92" s="90">
        <f>+H88-H90</f>
        <v>176277.87789099995</v>
      </c>
      <c r="I92" s="90">
        <f>+I88-I90</f>
        <v>187664.46422772994</v>
      </c>
      <c r="J92" s="90">
        <f t="shared" ref="J92:N92" si="11">+J88-J90</f>
        <v>199392.64815456199</v>
      </c>
      <c r="K92" s="90">
        <f t="shared" si="11"/>
        <v>211472.67759919877</v>
      </c>
      <c r="L92" s="90">
        <f t="shared" si="11"/>
        <v>223915.10792717466</v>
      </c>
      <c r="M92" s="90">
        <f t="shared" si="11"/>
        <v>236730.81116499013</v>
      </c>
      <c r="N92" s="90">
        <f t="shared" si="11"/>
        <v>249930.98549993959</v>
      </c>
      <c r="O92" s="90">
        <f>+O88-O90</f>
        <v>263527.1650649379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2'!$F$91:F91)</f>
        <v>2795000</v>
      </c>
      <c r="G94" s="90">
        <f>+Dashboard!$D$49-SUM('Scenario 2'!$F$91:G91)</f>
        <v>2795000</v>
      </c>
      <c r="H94" s="90">
        <f>+Dashboard!$D$49-SUM('Scenario 2'!$F$91:H91)</f>
        <v>2795000</v>
      </c>
      <c r="I94" s="90">
        <f>+Dashboard!$D$49-SUM('Scenario 2'!$F$91:I91)</f>
        <v>2795000</v>
      </c>
      <c r="J94" s="90">
        <f>+Dashboard!$D$49-SUM('Scenario 2'!$F$91:J91)</f>
        <v>2795000</v>
      </c>
      <c r="K94" s="90">
        <f>+Dashboard!$D$49-SUM('Scenario 2'!$F$91:K91)</f>
        <v>2795000</v>
      </c>
      <c r="L94" s="90">
        <f>+Dashboard!$D$49-SUM('Scenario 2'!$F$91:L91)</f>
        <v>2795000</v>
      </c>
      <c r="M94" s="90">
        <f>+Dashboard!$D$49-SUM('Scenario 2'!$F$91:M91)</f>
        <v>2795000</v>
      </c>
      <c r="N94" s="90">
        <f>+Dashboard!$D$49-SUM('Scenario 2'!$F$91:N91)</f>
        <v>2741446.0760395373</v>
      </c>
      <c r="O94" s="90">
        <f>+Dashboard!$D$49-SUM('Scenario 2'!$F$91:O91)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1.8503646071281132</v>
      </c>
      <c r="G96" s="101">
        <f>+IFERROR(G80/G90,"")</f>
        <v>1.9094423542039358</v>
      </c>
      <c r="H96" s="101">
        <f>+IFERROR(H80/H90,"")</f>
        <v>1.9702924336920322</v>
      </c>
      <c r="I96" s="101">
        <f>+IFERROR(I80/I90,"")</f>
        <v>2.032968015564772</v>
      </c>
      <c r="J96" s="102">
        <f t="shared" ref="J96:N96" si="12">+IFERROR(J80/J90,"")</f>
        <v>2.0975238648936947</v>
      </c>
      <c r="K96" s="101">
        <f t="shared" si="12"/>
        <v>2.1640163897024838</v>
      </c>
      <c r="L96" s="101">
        <f t="shared" si="12"/>
        <v>2.2325036902555366</v>
      </c>
      <c r="M96" s="101">
        <f t="shared" si="12"/>
        <v>2.3030456098251828</v>
      </c>
      <c r="N96" s="101">
        <f t="shared" si="12"/>
        <v>2.3757037869819162</v>
      </c>
      <c r="O96" s="102">
        <f>+IFERROR(O80/O90,"")</f>
        <v>2.4505417094533528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1.8503646071281132</v>
      </c>
      <c r="G97" s="107">
        <f>+IFERROR(G88/G90,"")</f>
        <v>1.9094423542039358</v>
      </c>
      <c r="H97" s="107">
        <f>+IFERROR(H88/H90,"")</f>
        <v>1.9702924336920322</v>
      </c>
      <c r="I97" s="107">
        <f>+IFERROR(I88/I90,"")</f>
        <v>2.032968015564772</v>
      </c>
      <c r="J97" s="108">
        <f t="shared" ref="J97:N97" si="13">+IFERROR(J88/J90,"")</f>
        <v>2.0975238648936947</v>
      </c>
      <c r="K97" s="107">
        <f t="shared" si="13"/>
        <v>2.1640163897024838</v>
      </c>
      <c r="L97" s="107">
        <f t="shared" si="13"/>
        <v>2.2325036902555366</v>
      </c>
      <c r="M97" s="107">
        <f t="shared" si="13"/>
        <v>2.3030456098251828</v>
      </c>
      <c r="N97" s="107">
        <f t="shared" si="13"/>
        <v>2.3757037869819162</v>
      </c>
      <c r="O97" s="108">
        <f>+IFERROR(O88/O90,"")</f>
        <v>2.4505417094533528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0.12027369946332736</v>
      </c>
      <c r="G98" s="71">
        <f>+G88/Dashboard!$I$10</f>
        <v>0.12411375302325584</v>
      </c>
      <c r="H98" s="71">
        <f>+H88/Dashboard!$I$10</f>
        <v>0.1280690081899821</v>
      </c>
      <c r="I98" s="71">
        <f>+I88/Dashboard!$I$10</f>
        <v>0.13214292101171018</v>
      </c>
      <c r="J98" s="72">
        <f>+J88/Dashboard!$I$10</f>
        <v>0.13633905121809015</v>
      </c>
      <c r="K98" s="71">
        <f>+K88/Dashboard!$I$10</f>
        <v>0.14066106533066144</v>
      </c>
      <c r="L98" s="71">
        <f>+L88/Dashboard!$I$10</f>
        <v>0.14511273986660989</v>
      </c>
      <c r="M98" s="71">
        <f>+M88/Dashboard!$I$10</f>
        <v>0.14969796463863691</v>
      </c>
      <c r="N98" s="71">
        <f>+N88/Dashboard!$I$10</f>
        <v>0.15442074615382453</v>
      </c>
      <c r="O98" s="72">
        <f>+O88/Dashboard!$I$10</f>
        <v>0.15928521111446795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0.44736605437022758</v>
      </c>
      <c r="G99" s="71">
        <f>+SUM(G96,G78)/G12</f>
        <v>0.44633181073374245</v>
      </c>
      <c r="H99" s="71">
        <f>+SUM(H96,H78)/H12</f>
        <v>0.44532769069832007</v>
      </c>
      <c r="I99" s="71">
        <f>+SUM(I96,I78)/I12</f>
        <v>0.44435281687752159</v>
      </c>
      <c r="J99" s="72">
        <f t="shared" ref="J99:N99" si="14">+SUM(J96,J78)/J12</f>
        <v>0.44340633743985297</v>
      </c>
      <c r="K99" s="71">
        <f t="shared" si="14"/>
        <v>0.4424874253644468</v>
      </c>
      <c r="L99" s="71">
        <f t="shared" si="14"/>
        <v>0.44159527771842128</v>
      </c>
      <c r="M99" s="71">
        <f t="shared" si="14"/>
        <v>0.44072911495528966</v>
      </c>
      <c r="N99" s="71">
        <f t="shared" si="14"/>
        <v>0.43988818023380277</v>
      </c>
      <c r="O99" s="72">
        <f>+SUM(O96,O78)/O12</f>
        <v>0.43907173875663091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7.8177904651162783E-2</v>
      </c>
      <c r="G101" s="79">
        <f>+G80/Dashboard!$E$32</f>
        <v>8.0673939465116293E-2</v>
      </c>
      <c r="H101" s="79">
        <f>+H80/Dashboard!$E$32</f>
        <v>8.3244855323488368E-2</v>
      </c>
      <c r="I101" s="79">
        <f>+I80/Dashboard!$E$32</f>
        <v>8.5892898657611613E-2</v>
      </c>
      <c r="J101" s="80">
        <f>+J80/Dashboard!$E$32</f>
        <v>8.86203832917586E-2</v>
      </c>
      <c r="K101" s="79">
        <f>+K80/Dashboard!$E$32</f>
        <v>9.1429692464929949E-2</v>
      </c>
      <c r="L101" s="79">
        <f>+L80/Dashboard!$E$32</f>
        <v>9.4323280913296434E-2</v>
      </c>
      <c r="M101" s="79">
        <f>+M80/Dashboard!$E$32</f>
        <v>9.7303677015113985E-2</v>
      </c>
      <c r="N101" s="79">
        <f>+N80/Dashboard!$E$32</f>
        <v>0.10037348499998595</v>
      </c>
      <c r="O101" s="80">
        <f>+O80/Dashboard!$E$32</f>
        <v>0.10353538722440417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154489.99</v>
      </c>
      <c r="G102" s="76">
        <f t="shared" si="15"/>
        <v>165222.93970000005</v>
      </c>
      <c r="H102" s="76">
        <f t="shared" si="15"/>
        <v>176277.87789099995</v>
      </c>
      <c r="I102" s="76">
        <f t="shared" si="15"/>
        <v>187664.46422772994</v>
      </c>
      <c r="J102" s="81">
        <f t="shared" si="15"/>
        <v>199392.64815456199</v>
      </c>
      <c r="K102" s="76">
        <f t="shared" si="15"/>
        <v>211472.67759919877</v>
      </c>
      <c r="L102" s="76">
        <f t="shared" si="15"/>
        <v>223915.10792717466</v>
      </c>
      <c r="M102" s="76">
        <f t="shared" si="15"/>
        <v>236730.81116499013</v>
      </c>
      <c r="N102" s="76">
        <f t="shared" si="15"/>
        <v>196377.06153947682</v>
      </c>
      <c r="O102" s="81">
        <f t="shared" si="15"/>
        <v>206492.23604704507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8.474492046077893E-2</v>
      </c>
      <c r="G103" s="79">
        <f>+G102/Dashboard!$I$11</f>
        <v>9.0632440866703259E-2</v>
      </c>
      <c r="H103" s="79">
        <f>+H102/Dashboard!$I$11</f>
        <v>9.6696586884805244E-2</v>
      </c>
      <c r="I103" s="79">
        <f>+I102/Dashboard!$I$11</f>
        <v>0.10294265728345033</v>
      </c>
      <c r="J103" s="80">
        <f>+J102/Dashboard!$I$11</f>
        <v>0.10937610979405485</v>
      </c>
      <c r="K103" s="79">
        <f>+K102/Dashboard!$I$11</f>
        <v>0.11600256587997738</v>
      </c>
      <c r="L103" s="79">
        <f>+L102/Dashboard!$I$11</f>
        <v>0.1228278156484776</v>
      </c>
      <c r="M103" s="79">
        <f>+M102/Dashboard!$I$11</f>
        <v>0.12985782291003298</v>
      </c>
      <c r="N103" s="79">
        <f>+N102/Dashboard!$I$11</f>
        <v>0.10772192075670697</v>
      </c>
      <c r="O103" s="80">
        <f>+O102/Dashboard!$I$11</f>
        <v>0.11327056283436372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38622.497499999998</v>
      </c>
      <c r="G104" s="76">
        <f t="shared" ref="G104:O104" si="16">+G102*$D$104</f>
        <v>41305.734925000012</v>
      </c>
      <c r="H104" s="76">
        <f t="shared" si="16"/>
        <v>44069.469472749988</v>
      </c>
      <c r="I104" s="76">
        <f t="shared" si="16"/>
        <v>46916.116056932486</v>
      </c>
      <c r="J104" s="81">
        <f t="shared" si="16"/>
        <v>49848.162038640497</v>
      </c>
      <c r="K104" s="76">
        <f t="shared" si="16"/>
        <v>52868.169399799692</v>
      </c>
      <c r="L104" s="76">
        <f t="shared" si="16"/>
        <v>55978.776981793664</v>
      </c>
      <c r="M104" s="76">
        <f t="shared" si="16"/>
        <v>59182.702791247531</v>
      </c>
      <c r="N104" s="76">
        <f t="shared" si="16"/>
        <v>49094.265384869206</v>
      </c>
      <c r="O104" s="81">
        <f t="shared" si="16"/>
        <v>51623.059011761266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115867.49249999999</v>
      </c>
      <c r="G105" s="76">
        <f t="shared" ref="G105:O105" si="17">+G102*$D$105</f>
        <v>123917.20477500003</v>
      </c>
      <c r="H105" s="76">
        <f t="shared" si="17"/>
        <v>132208.40841824998</v>
      </c>
      <c r="I105" s="76">
        <f t="shared" si="17"/>
        <v>140748.34817079746</v>
      </c>
      <c r="J105" s="81">
        <f t="shared" si="17"/>
        <v>149544.48611592149</v>
      </c>
      <c r="K105" s="76">
        <f t="shared" si="17"/>
        <v>158604.50819939908</v>
      </c>
      <c r="L105" s="76">
        <f t="shared" si="17"/>
        <v>167936.33094538099</v>
      </c>
      <c r="M105" s="76">
        <f t="shared" si="17"/>
        <v>177548.10837374261</v>
      </c>
      <c r="N105" s="76">
        <f t="shared" si="17"/>
        <v>147282.79615460761</v>
      </c>
      <c r="O105" s="81">
        <f t="shared" si="17"/>
        <v>154869.17703528379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6.3558690345584201E-2</v>
      </c>
      <c r="G106" s="82">
        <f>+G105/Dashboard!$I$11</f>
        <v>6.7974330650027448E-2</v>
      </c>
      <c r="H106" s="82">
        <f>+H105/Dashboard!$I$11</f>
        <v>7.2522440163603943E-2</v>
      </c>
      <c r="I106" s="82">
        <f>+I105/Dashboard!$I$11</f>
        <v>7.7206992962587748E-2</v>
      </c>
      <c r="J106" s="83">
        <f>+J105/Dashboard!$I$11</f>
        <v>8.2032082345541144E-2</v>
      </c>
      <c r="K106" s="82">
        <f>+K105/Dashboard!$I$11</f>
        <v>8.7001924409983042E-2</v>
      </c>
      <c r="L106" s="82">
        <f>+L105/Dashboard!$I$11</f>
        <v>9.2120861736358195E-2</v>
      </c>
      <c r="M106" s="82">
        <f>+M105/Dashboard!$I$11</f>
        <v>9.739336718252474E-2</v>
      </c>
      <c r="N106" s="82">
        <f>+N105/Dashboard!$I$11</f>
        <v>8.0791440567530237E-2</v>
      </c>
      <c r="O106" s="83">
        <f>+O105/Dashboard!$I$11</f>
        <v>8.4952922125772781E-2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6351127.4692427004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-95266.912038640497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336164.99</v>
      </c>
      <c r="G117" s="23">
        <f t="shared" ref="G117:I117" si="18">+G$88</f>
        <v>346897.93970000005</v>
      </c>
      <c r="H117" s="23">
        <f t="shared" si="18"/>
        <v>357952.87789099995</v>
      </c>
      <c r="I117" s="23">
        <f t="shared" si="18"/>
        <v>369339.46422772994</v>
      </c>
      <c r="J117" s="23">
        <f>+J$88</f>
        <v>381067.64815456199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336164.99</v>
      </c>
      <c r="G119" s="88">
        <f t="shared" si="19"/>
        <v>346897.93970000005</v>
      </c>
      <c r="H119" s="88">
        <f t="shared" si="19"/>
        <v>357952.87789099995</v>
      </c>
      <c r="I119" s="88">
        <f t="shared" si="19"/>
        <v>369339.46422772994</v>
      </c>
      <c r="J119" s="88">
        <f t="shared" si="19"/>
        <v>6636928.2053586226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C120" s="28"/>
      <c r="E120" s="99"/>
      <c r="F120" s="100">
        <f>+F119-F115</f>
        <v>336164.99</v>
      </c>
      <c r="G120" s="100">
        <f t="shared" ref="G120:J120" si="20">+G119-G115</f>
        <v>346897.93970000005</v>
      </c>
      <c r="H120" s="100">
        <f t="shared" si="20"/>
        <v>357952.87789099995</v>
      </c>
      <c r="I120" s="100">
        <f t="shared" si="20"/>
        <v>369339.46422772994</v>
      </c>
      <c r="J120" s="100">
        <f t="shared" si="20"/>
        <v>285800.73611592222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0.15005360051057703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1.8714612737621752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6351127.4692427004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-95266.912038640497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154489.99</v>
      </c>
      <c r="G128" s="23">
        <f t="shared" ref="G128:I128" si="21">+G$92</f>
        <v>165222.93970000005</v>
      </c>
      <c r="H128" s="23">
        <f t="shared" si="21"/>
        <v>176277.87789099995</v>
      </c>
      <c r="I128" s="23">
        <f t="shared" si="21"/>
        <v>187664.46422772994</v>
      </c>
      <c r="J128" s="23">
        <f>+J$92</f>
        <v>199392.64815456199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154489.99</v>
      </c>
      <c r="G131" s="88">
        <f t="shared" si="22"/>
        <v>165222.93970000005</v>
      </c>
      <c r="H131" s="88">
        <f t="shared" si="22"/>
        <v>176277.87789099995</v>
      </c>
      <c r="I131" s="88">
        <f t="shared" si="22"/>
        <v>187664.46422772994</v>
      </c>
      <c r="J131" s="88">
        <f t="shared" si="22"/>
        <v>3660253.2053586226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154489.99</v>
      </c>
      <c r="G132" s="100">
        <f t="shared" ref="G132:I132" si="23">+G131-G126</f>
        <v>165222.93970000005</v>
      </c>
      <c r="H132" s="100">
        <f t="shared" si="23"/>
        <v>176277.87789099995</v>
      </c>
      <c r="I132" s="100">
        <f t="shared" si="23"/>
        <v>187664.46422772994</v>
      </c>
      <c r="J132" s="100">
        <f>+J131-SUM(J126,J129)</f>
        <v>104125.73611592222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0.21238056431499253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2.3828351493018944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6759835.1321195783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-101397.52698179366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336164.99</v>
      </c>
      <c r="G142" s="23">
        <f t="shared" ref="G142:L142" si="24">+G$88</f>
        <v>346897.93970000005</v>
      </c>
      <c r="H142" s="23">
        <f t="shared" si="24"/>
        <v>357952.87789099995</v>
      </c>
      <c r="I142" s="23">
        <f t="shared" si="24"/>
        <v>369339.46422772994</v>
      </c>
      <c r="J142" s="23">
        <f t="shared" si="24"/>
        <v>381067.64815456199</v>
      </c>
      <c r="K142" s="23">
        <f t="shared" si="24"/>
        <v>393147.67759919877</v>
      </c>
      <c r="L142" s="23">
        <f t="shared" si="24"/>
        <v>405590.10792717466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336164.99</v>
      </c>
      <c r="G144" s="88">
        <f>SUM(G140:G143)</f>
        <v>346897.93970000005</v>
      </c>
      <c r="H144" s="88">
        <f>SUM(H140:H143)</f>
        <v>357952.87789099995</v>
      </c>
      <c r="I144" s="88">
        <f>SUM(I140:I143)</f>
        <v>369339.46422772994</v>
      </c>
      <c r="J144" s="88">
        <f t="shared" ref="J144:K144" si="25">SUM(J140:J143)</f>
        <v>381067.64815456199</v>
      </c>
      <c r="K144" s="88">
        <f t="shared" si="25"/>
        <v>393147.67759919877</v>
      </c>
      <c r="L144" s="88">
        <f>SUM(L140:L143)</f>
        <v>7064027.7130649593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336164.99</v>
      </c>
      <c r="G145" s="100">
        <f t="shared" ref="G145:L145" si="26">+G144-G140</f>
        <v>346897.93970000005</v>
      </c>
      <c r="H145" s="100">
        <f t="shared" si="26"/>
        <v>357952.87789099995</v>
      </c>
      <c r="I145" s="100">
        <f t="shared" si="26"/>
        <v>369339.46422772994</v>
      </c>
      <c r="J145" s="100">
        <f t="shared" si="26"/>
        <v>381067.64815456199</v>
      </c>
      <c r="K145" s="100">
        <f t="shared" si="26"/>
        <v>393147.67759919877</v>
      </c>
      <c r="L145" s="100">
        <f t="shared" si="26"/>
        <v>304192.58094538096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0.13638500971267531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2.1508368164273142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6759835.1321195783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-101397.52698179366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154489.99</v>
      </c>
      <c r="G153" s="23">
        <f t="shared" ref="G153:L153" si="27">+G$92</f>
        <v>165222.93970000005</v>
      </c>
      <c r="H153" s="23">
        <f t="shared" si="27"/>
        <v>176277.87789099995</v>
      </c>
      <c r="I153" s="23">
        <f t="shared" si="27"/>
        <v>187664.46422772994</v>
      </c>
      <c r="J153" s="23">
        <f t="shared" si="27"/>
        <v>199392.64815456199</v>
      </c>
      <c r="K153" s="23">
        <f t="shared" si="27"/>
        <v>211472.67759919877</v>
      </c>
      <c r="L153" s="23">
        <f t="shared" si="27"/>
        <v>223915.10792717466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154489.99</v>
      </c>
      <c r="G156" s="88">
        <f>+SUM(G151:G155)</f>
        <v>165222.93970000005</v>
      </c>
      <c r="H156" s="88">
        <f>+SUM(H151:H155)</f>
        <v>176277.87789099995</v>
      </c>
      <c r="I156" s="88">
        <f>+SUM(I151:I155)</f>
        <v>187664.46422772994</v>
      </c>
      <c r="J156" s="88">
        <f t="shared" ref="J156:K156" si="28">+SUM(J151:J155)</f>
        <v>199392.64815456199</v>
      </c>
      <c r="K156" s="88">
        <f t="shared" si="28"/>
        <v>211472.67759919877</v>
      </c>
      <c r="L156" s="88">
        <f>+SUM(L151:L155)</f>
        <v>4087352.7130649593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154489.99</v>
      </c>
      <c r="G157" s="100">
        <f t="shared" ref="G157:L157" si="29">+G156-G151</f>
        <v>165222.93970000005</v>
      </c>
      <c r="H157" s="100">
        <f t="shared" si="29"/>
        <v>176277.87789099995</v>
      </c>
      <c r="I157" s="100">
        <f t="shared" si="29"/>
        <v>187664.46422772994</v>
      </c>
      <c r="J157" s="100">
        <f t="shared" si="29"/>
        <v>199392.64815456199</v>
      </c>
      <c r="K157" s="100">
        <f t="shared" si="29"/>
        <v>211472.67759919877</v>
      </c>
      <c r="L157" s="100">
        <f t="shared" si="29"/>
        <v>-2672482.419054619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0.18877050616219893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2.8424977019404558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7420036.0844156323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-111300.54126623448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336164.99</v>
      </c>
      <c r="G167" s="23">
        <f t="shared" ref="G167:O167" si="30">+G$88</f>
        <v>346897.93970000005</v>
      </c>
      <c r="H167" s="23">
        <f t="shared" si="30"/>
        <v>357952.87789099995</v>
      </c>
      <c r="I167" s="23">
        <f t="shared" si="30"/>
        <v>369339.46422772994</v>
      </c>
      <c r="J167" s="23">
        <f t="shared" si="30"/>
        <v>381067.64815456199</v>
      </c>
      <c r="K167" s="23">
        <f t="shared" si="30"/>
        <v>393147.67759919877</v>
      </c>
      <c r="L167" s="23">
        <f t="shared" si="30"/>
        <v>405590.10792717466</v>
      </c>
      <c r="M167" s="23">
        <f t="shared" si="30"/>
        <v>418405.81116499013</v>
      </c>
      <c r="N167" s="23">
        <f t="shared" si="30"/>
        <v>431605.98549993959</v>
      </c>
      <c r="O167" s="23">
        <f t="shared" si="30"/>
        <v>445202.1650649379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336164.99</v>
      </c>
      <c r="G169" s="88">
        <f>SUM(G165:G168)</f>
        <v>346897.93970000005</v>
      </c>
      <c r="H169" s="88">
        <f>SUM(H165:H168)</f>
        <v>357952.87789099995</v>
      </c>
      <c r="I169" s="88">
        <f>SUM(I165:I168)</f>
        <v>369339.46422772994</v>
      </c>
      <c r="J169" s="88">
        <f t="shared" ref="J169:N169" si="31">SUM(J165:J168)</f>
        <v>381067.64815456199</v>
      </c>
      <c r="K169" s="88">
        <f t="shared" si="31"/>
        <v>393147.67759919877</v>
      </c>
      <c r="L169" s="88">
        <f t="shared" si="31"/>
        <v>405590.10792717466</v>
      </c>
      <c r="M169" s="88">
        <f t="shared" si="31"/>
        <v>418405.81116499013</v>
      </c>
      <c r="N169" s="88">
        <f t="shared" si="31"/>
        <v>431605.98549993959</v>
      </c>
      <c r="O169" s="88">
        <f>SUM(O165:O168)</f>
        <v>7753937.7082143351</v>
      </c>
    </row>
    <row r="170" spans="3:15" ht="13.5" hidden="1" customHeight="1" outlineLevel="2" x14ac:dyDescent="0.2">
      <c r="C170" s="28"/>
      <c r="E170" s="99"/>
      <c r="F170" s="100">
        <f>+F169-F165</f>
        <v>336164.99</v>
      </c>
      <c r="G170" s="100">
        <f t="shared" ref="G170:O170" si="32">+G169-G165</f>
        <v>346897.93970000005</v>
      </c>
      <c r="H170" s="100">
        <f t="shared" si="32"/>
        <v>357952.87789099995</v>
      </c>
      <c r="I170" s="100">
        <f t="shared" si="32"/>
        <v>369339.46422772994</v>
      </c>
      <c r="J170" s="100">
        <f t="shared" si="32"/>
        <v>381067.64815456199</v>
      </c>
      <c r="K170" s="100">
        <f t="shared" si="32"/>
        <v>393147.67759919877</v>
      </c>
      <c r="L170" s="100">
        <f t="shared" si="32"/>
        <v>405590.10792717466</v>
      </c>
      <c r="M170" s="100">
        <f t="shared" si="32"/>
        <v>418405.81116499013</v>
      </c>
      <c r="N170" s="100">
        <f t="shared" si="32"/>
        <v>431605.98549993959</v>
      </c>
      <c r="O170" s="100">
        <f t="shared" si="32"/>
        <v>333901.62379870284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0.12634003511769709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2.6032814442741703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7420036.0844156323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-111300.54126623448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154489.99</v>
      </c>
      <c r="G178" s="23">
        <f t="shared" ref="G178:O178" si="33">+G$92</f>
        <v>165222.93970000005</v>
      </c>
      <c r="H178" s="23">
        <f t="shared" si="33"/>
        <v>176277.87789099995</v>
      </c>
      <c r="I178" s="23">
        <f t="shared" si="33"/>
        <v>187664.46422772994</v>
      </c>
      <c r="J178" s="23">
        <f t="shared" si="33"/>
        <v>199392.64815456199</v>
      </c>
      <c r="K178" s="23">
        <f t="shared" si="33"/>
        <v>211472.67759919877</v>
      </c>
      <c r="L178" s="23">
        <f t="shared" si="33"/>
        <v>223915.10792717466</v>
      </c>
      <c r="M178" s="23">
        <f t="shared" si="33"/>
        <v>236730.81116499013</v>
      </c>
      <c r="N178" s="23">
        <f t="shared" si="33"/>
        <v>249930.98549993959</v>
      </c>
      <c r="O178" s="23">
        <f t="shared" si="33"/>
        <v>263527.1650649379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154489.99</v>
      </c>
      <c r="G181" s="88">
        <f>+SUM(G176:G180)</f>
        <v>165222.93970000005</v>
      </c>
      <c r="H181" s="88">
        <f>+SUM(H176:H180)</f>
        <v>176277.87789099995</v>
      </c>
      <c r="I181" s="88">
        <f>+SUM(I176:I180)</f>
        <v>187664.46422772994</v>
      </c>
      <c r="J181" s="88">
        <f t="shared" ref="J181:N181" si="34">+SUM(J176:J180)</f>
        <v>199392.64815456199</v>
      </c>
      <c r="K181" s="88">
        <f t="shared" si="34"/>
        <v>211472.67759919877</v>
      </c>
      <c r="L181" s="88">
        <f t="shared" si="34"/>
        <v>223915.10792717466</v>
      </c>
      <c r="M181" s="88">
        <f t="shared" si="34"/>
        <v>236730.81116499013</v>
      </c>
      <c r="N181" s="88">
        <f t="shared" si="34"/>
        <v>249930.98549993959</v>
      </c>
      <c r="O181" s="88">
        <f>+SUM(O176:O180)</f>
        <v>4887851.5611926913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154489.99</v>
      </c>
      <c r="G182" s="100">
        <f t="shared" ref="G182:O182" si="35">+G181-G176</f>
        <v>165222.93970000005</v>
      </c>
      <c r="H182" s="100">
        <f t="shared" si="35"/>
        <v>176277.87789099995</v>
      </c>
      <c r="I182" s="100">
        <f t="shared" si="35"/>
        <v>187664.46422772994</v>
      </c>
      <c r="J182" s="100">
        <f t="shared" si="35"/>
        <v>199392.64815456199</v>
      </c>
      <c r="K182" s="100">
        <f t="shared" si="35"/>
        <v>211472.67759919877</v>
      </c>
      <c r="L182" s="100">
        <f t="shared" si="35"/>
        <v>223915.10792717466</v>
      </c>
      <c r="M182" s="100">
        <f t="shared" si="35"/>
        <v>236730.81116499013</v>
      </c>
      <c r="N182" s="100">
        <f t="shared" si="35"/>
        <v>249930.98549993959</v>
      </c>
      <c r="O182" s="100">
        <f t="shared" si="35"/>
        <v>-2532184.523222941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0.17282926566894541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3.6713927939425606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B505-48DF-4F34-92BB-E98172C769E6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425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+'Unit Mix'!AD3</f>
        <v>Scenario 3 ( Max Current Vouchers + NET LIHTC)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Mix'!AI26</f>
        <v>656580</v>
      </c>
      <c r="G7" s="40">
        <f>+'Unit Mix'!AI49</f>
        <v>676277.39999999991</v>
      </c>
      <c r="H7" s="40">
        <f>+'Unit Mix'!AI72</f>
        <v>696565.72200000007</v>
      </c>
      <c r="I7" s="40">
        <f>+'Unit Mix'!AI95</f>
        <v>717462.69366000011</v>
      </c>
      <c r="J7" s="40">
        <f>+'Unit Mix'!AI118</f>
        <v>738986.57446980011</v>
      </c>
      <c r="K7" s="40">
        <f>+'Unit Mix'!AI141</f>
        <v>761156.17170389416</v>
      </c>
      <c r="L7" s="40">
        <f>+'Unit Mix'!AI164</f>
        <v>783990.85685501085</v>
      </c>
      <c r="M7" s="40">
        <f>+'Unit Mix'!AI187</f>
        <v>807510.58256066125</v>
      </c>
      <c r="N7" s="40">
        <f>+'Unit Mix'!AI210</f>
        <v>831735.90003748122</v>
      </c>
      <c r="O7" s="40">
        <f>+'Unit Mix'!AI233</f>
        <v>856687.9770386056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32829</v>
      </c>
      <c r="G8" s="41">
        <f t="shared" ref="G8:O8" si="0">+G7*$D$8</f>
        <v>33813.869999999995</v>
      </c>
      <c r="H8" s="41">
        <f t="shared" si="0"/>
        <v>34828.286100000005</v>
      </c>
      <c r="I8" s="41">
        <f t="shared" si="0"/>
        <v>35873.134683000004</v>
      </c>
      <c r="J8" s="41">
        <f t="shared" si="0"/>
        <v>36949.328723490005</v>
      </c>
      <c r="K8" s="41">
        <f t="shared" si="0"/>
        <v>38057.808585194711</v>
      </c>
      <c r="L8" s="41">
        <f t="shared" si="0"/>
        <v>39199.542842750547</v>
      </c>
      <c r="M8" s="41">
        <f t="shared" si="0"/>
        <v>40375.529128033064</v>
      </c>
      <c r="N8" s="41">
        <f t="shared" si="0"/>
        <v>41586.795001874067</v>
      </c>
      <c r="O8" s="41">
        <f t="shared" si="0"/>
        <v>42834.39885193028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623751</v>
      </c>
      <c r="G9" s="34">
        <f>+G7-G8</f>
        <v>642463.52999999991</v>
      </c>
      <c r="H9" s="34">
        <f>+H7-H8</f>
        <v>661737.43590000004</v>
      </c>
      <c r="I9" s="34">
        <f>+I7-I8</f>
        <v>681589.55897700007</v>
      </c>
      <c r="J9" s="34">
        <f t="shared" ref="J9:N9" si="1">+J7-J8</f>
        <v>702037.2457463101</v>
      </c>
      <c r="K9" s="34">
        <f t="shared" si="1"/>
        <v>723098.3631186994</v>
      </c>
      <c r="L9" s="34">
        <f t="shared" si="1"/>
        <v>744791.31401226029</v>
      </c>
      <c r="M9" s="34">
        <f t="shared" si="1"/>
        <v>767135.05343262816</v>
      </c>
      <c r="N9" s="34">
        <f t="shared" si="1"/>
        <v>790149.10503560712</v>
      </c>
      <c r="O9" s="34">
        <f>+O7-O8</f>
        <v>813853.57818667532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623751</v>
      </c>
      <c r="G12" s="34">
        <f>+SUM(G9:G11)</f>
        <v>642463.52999999991</v>
      </c>
      <c r="H12" s="34">
        <f>+SUM(H9:H11)</f>
        <v>661737.43590000004</v>
      </c>
      <c r="I12" s="34">
        <f>+SUM(I9:I11)</f>
        <v>681589.55897700007</v>
      </c>
      <c r="J12" s="34">
        <f t="shared" ref="J12:N12" si="3">+SUM(J9:J11)</f>
        <v>702037.2457463101</v>
      </c>
      <c r="K12" s="34">
        <f t="shared" si="3"/>
        <v>723098.3631186994</v>
      </c>
      <c r="L12" s="34">
        <f t="shared" si="3"/>
        <v>744791.31401226029</v>
      </c>
      <c r="M12" s="34">
        <f t="shared" si="3"/>
        <v>767135.05343262816</v>
      </c>
      <c r="N12" s="34">
        <f t="shared" si="3"/>
        <v>790149.10503560712</v>
      </c>
      <c r="O12" s="34">
        <f>+SUM(O9:O11)</f>
        <v>813853.57818667532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-0.59695905692124385</v>
      </c>
      <c r="G13" s="105">
        <f>+G12/F12-1</f>
        <v>2.9999999999999805E-2</v>
      </c>
      <c r="H13" s="105">
        <f t="shared" ref="H13:O13" si="4">+H12/G12-1</f>
        <v>3.0000000000000249E-2</v>
      </c>
      <c r="I13" s="105">
        <f t="shared" si="4"/>
        <v>3.0000000000000027E-2</v>
      </c>
      <c r="J13" s="105">
        <f t="shared" si="4"/>
        <v>3.0000000000000027E-2</v>
      </c>
      <c r="K13" s="105">
        <f t="shared" si="4"/>
        <v>3.0000000000000027E-2</v>
      </c>
      <c r="L13" s="105">
        <f t="shared" si="4"/>
        <v>2.9999999999999805E-2</v>
      </c>
      <c r="M13" s="105">
        <f t="shared" si="4"/>
        <v>3.0000000000000027E-2</v>
      </c>
      <c r="N13" s="105">
        <f t="shared" si="4"/>
        <v>3.0000000000000249E-2</v>
      </c>
      <c r="O13" s="105">
        <f t="shared" si="4"/>
        <v>3.0000000000000027E-2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351623.39</v>
      </c>
      <c r="G80" s="34">
        <f>+G12-G78</f>
        <v>362820.09169999993</v>
      </c>
      <c r="H80" s="34">
        <f>+H12-H78</f>
        <v>374352.69445100002</v>
      </c>
      <c r="I80" s="34">
        <f>+I12-I78</f>
        <v>386231.27528453001</v>
      </c>
      <c r="J80" s="34">
        <f t="shared" ref="J80:N80" si="6">+J12-J78</f>
        <v>398466.21354306594</v>
      </c>
      <c r="K80" s="34">
        <f t="shared" si="6"/>
        <v>411068.19994935789</v>
      </c>
      <c r="L80" s="34">
        <f t="shared" si="6"/>
        <v>424048.24594783853</v>
      </c>
      <c r="M80" s="34">
        <f t="shared" si="6"/>
        <v>437417.69332627376</v>
      </c>
      <c r="N80" s="34">
        <f t="shared" si="6"/>
        <v>451188.22412606206</v>
      </c>
      <c r="O80" s="34">
        <f>+O12-O78</f>
        <v>465371.87084984395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0.56372396998161123</v>
      </c>
      <c r="G81" s="105">
        <f>+G80/G12</f>
        <v>0.56473258754469691</v>
      </c>
      <c r="H81" s="105">
        <f>+H80/H12</f>
        <v>0.5657118278972072</v>
      </c>
      <c r="I81" s="105">
        <f>+I80/I12</f>
        <v>0.5666625466860522</v>
      </c>
      <c r="J81" s="105">
        <f t="shared" ref="J81:N81" si="7">+J80/J12</f>
        <v>0.56758557463638715</v>
      </c>
      <c r="K81" s="105">
        <f t="shared" si="7"/>
        <v>0.56848171827748895</v>
      </c>
      <c r="L81" s="105">
        <f t="shared" si="7"/>
        <v>0.56935176064749071</v>
      </c>
      <c r="M81" s="105">
        <f t="shared" si="7"/>
        <v>0.57019646197758966</v>
      </c>
      <c r="N81" s="105">
        <f t="shared" si="7"/>
        <v>0.57101656035632642</v>
      </c>
      <c r="O81" s="105">
        <f>+O80/O12</f>
        <v>0.57181277237451744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351623.39</v>
      </c>
      <c r="G88" s="90">
        <f>+G80-G86</f>
        <v>362820.09169999993</v>
      </c>
      <c r="H88" s="90">
        <f>+H80-H86</f>
        <v>374352.69445100002</v>
      </c>
      <c r="I88" s="90">
        <f>+I80-I86</f>
        <v>386231.27528453001</v>
      </c>
      <c r="J88" s="90">
        <f t="shared" ref="J88:N88" si="9">+J80-J86</f>
        <v>398466.21354306594</v>
      </c>
      <c r="K88" s="90">
        <f t="shared" si="9"/>
        <v>411068.19994935789</v>
      </c>
      <c r="L88" s="90">
        <f t="shared" si="9"/>
        <v>424048.24594783853</v>
      </c>
      <c r="M88" s="90">
        <f t="shared" si="9"/>
        <v>437417.69332627376</v>
      </c>
      <c r="N88" s="90">
        <f t="shared" si="9"/>
        <v>451188.22412606206</v>
      </c>
      <c r="O88" s="90">
        <f>+O80-O86</f>
        <v>465371.87084984395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3'!F3-'Scenario 3'!$E3,Dashboard!$E$55,Dashboard!$D$49))</f>
        <v>0</v>
      </c>
      <c r="G91" s="112">
        <f>IF(G$6&lt;=Dashboard!$E$56,0,-PPMT(Dashboard!$E$50,'Scenario 3'!G3-'Scenario 3'!$E3,Dashboard!$E$55,Dashboard!$D$49))</f>
        <v>0</v>
      </c>
      <c r="H91" s="112">
        <f>IF(H$6&lt;=Dashboard!$E$56,0,-PPMT(Dashboard!$E$50,'Scenario 3'!H3-'Scenario 3'!$E3,Dashboard!$E$55,Dashboard!$D$49))</f>
        <v>0</v>
      </c>
      <c r="I91" s="112">
        <f>IF(I$6&lt;=Dashboard!$E$56,0,-PPMT(Dashboard!$E$50,'Scenario 3'!I3-'Scenario 3'!$E3,Dashboard!$E$55,Dashboard!$D$49))</f>
        <v>0</v>
      </c>
      <c r="J91" s="112">
        <f>IF(J$6&lt;=Dashboard!$E$56,0,-PPMT(Dashboard!$E$50,'Scenario 3'!J3-'Scenario 3'!$E3,Dashboard!$E$55,Dashboard!$D$49))</f>
        <v>0</v>
      </c>
      <c r="K91" s="112">
        <f>IF(K$6&lt;=Dashboard!$E$56,0,-PPMT(Dashboard!$E$50,'Scenario 3'!K3-'Scenario 3'!$E3,Dashboard!$E$55,Dashboard!$D$49))</f>
        <v>0</v>
      </c>
      <c r="L91" s="112">
        <f>IF(L$6&lt;=Dashboard!$E$56,0,-PPMT(Dashboard!$E$50,'Scenario 3'!L3-'Scenario 3'!$E3,Dashboard!$E$55,Dashboard!$D$49))</f>
        <v>0</v>
      </c>
      <c r="M91" s="112">
        <f>IF(M$6&lt;=Dashboard!$E$56,0,-PPMT(Dashboard!$E$50,'Scenario 3'!M3-'Scenario 3'!$E3,Dashboard!$E$55,Dashboard!$D$49))</f>
        <v>0</v>
      </c>
      <c r="N91" s="112">
        <f>IF(N$6&lt;=Dashboard!$E$56,0,-PPMT(Dashboard!$E$50,'Scenario 3'!N3-'Scenario 3'!$E3,Dashboard!$E$55,Dashboard!$D$49))</f>
        <v>53553.923960462758</v>
      </c>
      <c r="O91" s="112">
        <f>IF(O$6&lt;=Dashboard!$E$56,0,-PPMT(Dashboard!$E$50,'Scenario 3'!O3-'Scenario 3'!$E3,Dashboard!$E$55,Dashboard!$D$49))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169948.39</v>
      </c>
      <c r="G92" s="90">
        <f>+G88-G90</f>
        <v>181145.09169999993</v>
      </c>
      <c r="H92" s="90">
        <f>+H88-H90</f>
        <v>192677.69445100002</v>
      </c>
      <c r="I92" s="90">
        <f>+I88-I90</f>
        <v>204556.27528453001</v>
      </c>
      <c r="J92" s="90">
        <f t="shared" ref="J92:N92" si="11">+J88-J90</f>
        <v>216791.21354306594</v>
      </c>
      <c r="K92" s="90">
        <f t="shared" si="11"/>
        <v>229393.19994935789</v>
      </c>
      <c r="L92" s="90">
        <f t="shared" si="11"/>
        <v>242373.24594783853</v>
      </c>
      <c r="M92" s="90">
        <f t="shared" si="11"/>
        <v>255742.69332627376</v>
      </c>
      <c r="N92" s="90">
        <f t="shared" si="11"/>
        <v>269513.22412606206</v>
      </c>
      <c r="O92" s="90">
        <f>+O88-O90</f>
        <v>283696.87084984395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3'!$F$91:F91)</f>
        <v>2795000</v>
      </c>
      <c r="G94" s="90">
        <f>+Dashboard!$D$49-SUM('Scenario 3'!$F$91:G91)</f>
        <v>2795000</v>
      </c>
      <c r="H94" s="90">
        <f>+Dashboard!$D$49-SUM('Scenario 3'!$F$91:H91)</f>
        <v>2795000</v>
      </c>
      <c r="I94" s="90">
        <f>+Dashboard!$D$49-SUM('Scenario 3'!$F$91:I91)</f>
        <v>2795000</v>
      </c>
      <c r="J94" s="90">
        <f>+Dashboard!$D$49-SUM('Scenario 3'!$F$91:J91)</f>
        <v>2795000</v>
      </c>
      <c r="K94" s="90">
        <f>+Dashboard!$D$49-SUM('Scenario 3'!$F$91:K91)</f>
        <v>2795000</v>
      </c>
      <c r="L94" s="90">
        <f>+Dashboard!$D$49-SUM('Scenario 3'!$F$91:L91)</f>
        <v>2795000</v>
      </c>
      <c r="M94" s="90">
        <f>+Dashboard!$D$49-SUM('Scenario 3'!$F$91:M91)</f>
        <v>2795000</v>
      </c>
      <c r="N94" s="90">
        <f>+Dashboard!$D$49-SUM('Scenario 3'!$F$91:N91)</f>
        <v>2741446.0760395373</v>
      </c>
      <c r="O94" s="90">
        <f>+Dashboard!$D$49-SUM('Scenario 3'!$F$91:O91)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1.9354528140910967</v>
      </c>
      <c r="G96" s="101">
        <f>+IFERROR(G80/G90,"")</f>
        <v>1.997083207375808</v>
      </c>
      <c r="H96" s="101">
        <f>+IFERROR(H80/H90,"")</f>
        <v>2.0605625124590614</v>
      </c>
      <c r="I96" s="101">
        <f>+IFERROR(I80/I90,"")</f>
        <v>2.1259461966948123</v>
      </c>
      <c r="J96" s="102">
        <f t="shared" ref="J96:N96" si="12">+IFERROR(J80/J90,"")</f>
        <v>2.1932913914576355</v>
      </c>
      <c r="K96" s="101">
        <f t="shared" si="12"/>
        <v>2.2626569420633431</v>
      </c>
      <c r="L96" s="101">
        <f t="shared" si="12"/>
        <v>2.3341034591872218</v>
      </c>
      <c r="M96" s="101">
        <f t="shared" si="12"/>
        <v>2.4076933718248177</v>
      </c>
      <c r="N96" s="101">
        <f t="shared" si="12"/>
        <v>2.4834909818415416</v>
      </c>
      <c r="O96" s="102">
        <f>+IFERROR(O80/O90,"")</f>
        <v>2.5615625201587666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1.9354528140910967</v>
      </c>
      <c r="G97" s="107">
        <f>+IFERROR(G88/G90,"")</f>
        <v>1.997083207375808</v>
      </c>
      <c r="H97" s="107">
        <f>+IFERROR(H88/H90,"")</f>
        <v>2.0605625124590614</v>
      </c>
      <c r="I97" s="107">
        <f>+IFERROR(I88/I90,"")</f>
        <v>2.1259461966948123</v>
      </c>
      <c r="J97" s="108">
        <f t="shared" ref="J97:N97" si="13">+IFERROR(J88/J90,"")</f>
        <v>2.1932913914576355</v>
      </c>
      <c r="K97" s="107">
        <f t="shared" si="13"/>
        <v>2.2626569420633431</v>
      </c>
      <c r="L97" s="107">
        <f t="shared" si="13"/>
        <v>2.3341034591872218</v>
      </c>
      <c r="M97" s="107">
        <f t="shared" si="13"/>
        <v>2.4076933718248177</v>
      </c>
      <c r="N97" s="107">
        <f t="shared" si="13"/>
        <v>2.4834909818415416</v>
      </c>
      <c r="O97" s="108">
        <f>+IFERROR(O88/O90,"")</f>
        <v>2.5615625201587666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0.1258044329159213</v>
      </c>
      <c r="G98" s="71">
        <f>+G88/Dashboard!$I$10</f>
        <v>0.12981040847942751</v>
      </c>
      <c r="H98" s="71">
        <f>+H88/Dashboard!$I$10</f>
        <v>0.133936563309839</v>
      </c>
      <c r="I98" s="71">
        <f>+I88/Dashboard!$I$10</f>
        <v>0.13818650278516278</v>
      </c>
      <c r="J98" s="72">
        <f>+J88/Dashboard!$I$10</f>
        <v>0.14256394044474632</v>
      </c>
      <c r="K98" s="71">
        <f>+K88/Dashboard!$I$10</f>
        <v>0.14707270123411731</v>
      </c>
      <c r="L98" s="71">
        <f>+L88/Dashboard!$I$10</f>
        <v>0.15171672484716942</v>
      </c>
      <c r="M98" s="71">
        <f>+M88/Dashboard!$I$10</f>
        <v>0.15650006916861314</v>
      </c>
      <c r="N98" s="71">
        <f>+N88/Dashboard!$I$10</f>
        <v>0.1614269138197002</v>
      </c>
      <c r="O98" s="72">
        <f>+O88/Dashboard!$I$10</f>
        <v>0.16650156381031983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0.4362791329437774</v>
      </c>
      <c r="G99" s="71">
        <f>+SUM(G96,G78)/G12</f>
        <v>0.43527052093246038</v>
      </c>
      <c r="H99" s="71">
        <f>+SUM(H96,H78)/H12</f>
        <v>0.4342912859700167</v>
      </c>
      <c r="I99" s="71">
        <f>+SUM(I96,I78)/I12</f>
        <v>0.43334057241424606</v>
      </c>
      <c r="J99" s="72">
        <f t="shared" ref="J99:N99" si="14">+SUM(J96,J78)/J12</f>
        <v>0.4324175495445659</v>
      </c>
      <c r="K99" s="71">
        <f t="shared" si="14"/>
        <v>0.43152141083613854</v>
      </c>
      <c r="L99" s="71">
        <f t="shared" si="14"/>
        <v>0.43065137325514119</v>
      </c>
      <c r="M99" s="71">
        <f t="shared" si="14"/>
        <v>0.42980667657456106</v>
      </c>
      <c r="N99" s="71">
        <f t="shared" si="14"/>
        <v>0.42898658270992024</v>
      </c>
      <c r="O99" s="72">
        <f>+SUM(O96,O78)/O12</f>
        <v>0.42819037507434654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8.1772881395348843E-2</v>
      </c>
      <c r="G101" s="79">
        <f>+G80/Dashboard!$E$32</f>
        <v>8.4376765511627885E-2</v>
      </c>
      <c r="H101" s="79">
        <f>+H80/Dashboard!$E$32</f>
        <v>8.705876615139535E-2</v>
      </c>
      <c r="I101" s="79">
        <f>+I80/Dashboard!$E$32</f>
        <v>8.9821226810355814E-2</v>
      </c>
      <c r="J101" s="80">
        <f>+J80/Dashboard!$E$32</f>
        <v>9.2666561289085098E-2</v>
      </c>
      <c r="K101" s="79">
        <f>+K80/Dashboard!$E$32</f>
        <v>9.5597255802176248E-2</v>
      </c>
      <c r="L101" s="79">
        <f>+L80/Dashboard!$E$32</f>
        <v>9.8615871150660117E-2</v>
      </c>
      <c r="M101" s="79">
        <f>+M80/Dashboard!$E$32</f>
        <v>0.10172504495959855</v>
      </c>
      <c r="N101" s="79">
        <f>+N80/Dashboard!$E$32</f>
        <v>0.10492749398280513</v>
      </c>
      <c r="O101" s="80">
        <f>+O80/Dashboard!$E$32</f>
        <v>0.10822601647670789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169948.39</v>
      </c>
      <c r="G102" s="76">
        <f t="shared" si="15"/>
        <v>181145.09169999993</v>
      </c>
      <c r="H102" s="76">
        <f t="shared" si="15"/>
        <v>192677.69445100002</v>
      </c>
      <c r="I102" s="76">
        <f t="shared" si="15"/>
        <v>204556.27528453001</v>
      </c>
      <c r="J102" s="81">
        <f t="shared" si="15"/>
        <v>216791.21354306594</v>
      </c>
      <c r="K102" s="76">
        <f t="shared" si="15"/>
        <v>229393.19994935789</v>
      </c>
      <c r="L102" s="76">
        <f t="shared" si="15"/>
        <v>242373.24594783853</v>
      </c>
      <c r="M102" s="76">
        <f t="shared" si="15"/>
        <v>255742.69332627376</v>
      </c>
      <c r="N102" s="76">
        <f t="shared" si="15"/>
        <v>215959.3001655993</v>
      </c>
      <c r="O102" s="81">
        <f t="shared" si="15"/>
        <v>226661.94183195112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9.3224569391113551E-2</v>
      </c>
      <c r="G103" s="79">
        <f>+G102/Dashboard!$I$11</f>
        <v>9.9366479264947849E-2</v>
      </c>
      <c r="H103" s="79">
        <f>+H102/Dashboard!$I$11</f>
        <v>0.10569264643499726</v>
      </c>
      <c r="I103" s="79">
        <f>+I102/Dashboard!$I$11</f>
        <v>0.11220859862014812</v>
      </c>
      <c r="J103" s="80">
        <f>+J102/Dashboard!$I$11</f>
        <v>0.11892002937085351</v>
      </c>
      <c r="K103" s="79">
        <f>+K102/Dashboard!$I$11</f>
        <v>0.12583280304408004</v>
      </c>
      <c r="L103" s="79">
        <f>+L102/Dashboard!$I$11</f>
        <v>0.13295295992750331</v>
      </c>
      <c r="M103" s="79">
        <f>+M102/Dashboard!$I$11</f>
        <v>0.14028672151742938</v>
      </c>
      <c r="N103" s="79">
        <f>+N102/Dashboard!$I$11</f>
        <v>0.11846368632232546</v>
      </c>
      <c r="O103" s="80">
        <f>+O102/Dashboard!$I$11</f>
        <v>0.12433458136695069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42487.097500000003</v>
      </c>
      <c r="G104" s="76">
        <f t="shared" ref="G104:O104" si="16">+G102*$D$104</f>
        <v>45286.272924999983</v>
      </c>
      <c r="H104" s="76">
        <f t="shared" si="16"/>
        <v>48169.423612750004</v>
      </c>
      <c r="I104" s="76">
        <f t="shared" si="16"/>
        <v>51139.068821132503</v>
      </c>
      <c r="J104" s="81">
        <f t="shared" si="16"/>
        <v>54197.803385766485</v>
      </c>
      <c r="K104" s="76">
        <f t="shared" si="16"/>
        <v>57348.299987339473</v>
      </c>
      <c r="L104" s="76">
        <f t="shared" si="16"/>
        <v>60593.311486959632</v>
      </c>
      <c r="M104" s="76">
        <f t="shared" si="16"/>
        <v>63935.67333156844</v>
      </c>
      <c r="N104" s="76">
        <f t="shared" si="16"/>
        <v>53989.825041399825</v>
      </c>
      <c r="O104" s="81">
        <f t="shared" si="16"/>
        <v>56665.485457987779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127461.29250000001</v>
      </c>
      <c r="G105" s="76">
        <f t="shared" ref="G105:O105" si="17">+G102*$D$105</f>
        <v>135858.81877499993</v>
      </c>
      <c r="H105" s="76">
        <f t="shared" si="17"/>
        <v>144508.27083825</v>
      </c>
      <c r="I105" s="76">
        <f t="shared" si="17"/>
        <v>153417.20646339751</v>
      </c>
      <c r="J105" s="81">
        <f t="shared" si="17"/>
        <v>162593.41015729946</v>
      </c>
      <c r="K105" s="76">
        <f t="shared" si="17"/>
        <v>172044.89996201842</v>
      </c>
      <c r="L105" s="76">
        <f t="shared" si="17"/>
        <v>181779.9344608789</v>
      </c>
      <c r="M105" s="76">
        <f t="shared" si="17"/>
        <v>191807.01999470533</v>
      </c>
      <c r="N105" s="76">
        <f t="shared" si="17"/>
        <v>161969.47512419947</v>
      </c>
      <c r="O105" s="81">
        <f t="shared" si="17"/>
        <v>169996.45637396333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6.9918427043335174E-2</v>
      </c>
      <c r="G106" s="82">
        <f>+G105/Dashboard!$I$11</f>
        <v>7.4524859448710887E-2</v>
      </c>
      <c r="H106" s="82">
        <f>+H105/Dashboard!$I$11</f>
        <v>7.9269484826247946E-2</v>
      </c>
      <c r="I106" s="82">
        <f>+I105/Dashboard!$I$11</f>
        <v>8.4156448965111083E-2</v>
      </c>
      <c r="J106" s="83">
        <f>+J105/Dashboard!$I$11</f>
        <v>8.9190022028140123E-2</v>
      </c>
      <c r="K106" s="82">
        <f>+K105/Dashboard!$I$11</f>
        <v>9.4374602283060022E-2</v>
      </c>
      <c r="L106" s="82">
        <f>+L105/Dashboard!$I$11</f>
        <v>9.9714719945627486E-2</v>
      </c>
      <c r="M106" s="82">
        <f>+M105/Dashboard!$I$11</f>
        <v>0.10521504113807205</v>
      </c>
      <c r="N106" s="82">
        <f>+N105/Dashboard!$I$11</f>
        <v>8.8847764741744079E-2</v>
      </c>
      <c r="O106" s="83">
        <f>+O105/Dashboard!$I$11</f>
        <v>9.3250936025213019E-2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6641103.5590510992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-99616.553385766485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351623.39</v>
      </c>
      <c r="G117" s="23">
        <f t="shared" ref="G117:I117" si="18">+G$88</f>
        <v>362820.09169999993</v>
      </c>
      <c r="H117" s="23">
        <f t="shared" si="18"/>
        <v>374352.69445100002</v>
      </c>
      <c r="I117" s="23">
        <f t="shared" si="18"/>
        <v>386231.27528453001</v>
      </c>
      <c r="J117" s="23">
        <f>+J$88</f>
        <v>398466.21354306594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351623.39</v>
      </c>
      <c r="G119" s="88">
        <f t="shared" si="19"/>
        <v>362820.09169999993</v>
      </c>
      <c r="H119" s="88">
        <f t="shared" si="19"/>
        <v>374352.69445100002</v>
      </c>
      <c r="I119" s="88">
        <f t="shared" si="19"/>
        <v>386231.27528453001</v>
      </c>
      <c r="J119" s="88">
        <f t="shared" si="19"/>
        <v>6939953.2192083988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C120" s="28"/>
      <c r="E120" s="99"/>
      <c r="F120" s="100">
        <f>+F119-F115</f>
        <v>351623.39</v>
      </c>
      <c r="G120" s="100">
        <f t="shared" ref="G120:J120" si="20">+G119-G115</f>
        <v>362820.09169999993</v>
      </c>
      <c r="H120" s="100">
        <f t="shared" si="20"/>
        <v>374352.69445100002</v>
      </c>
      <c r="I120" s="100">
        <f t="shared" si="20"/>
        <v>386231.27528453001</v>
      </c>
      <c r="J120" s="100">
        <f t="shared" si="20"/>
        <v>298849.6601572996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0.16185257830450706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1.9569722489869599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6641103.5590510992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-99616.553385766485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169948.39</v>
      </c>
      <c r="G128" s="23">
        <f t="shared" ref="G128:I128" si="21">+G$92</f>
        <v>181145.09169999993</v>
      </c>
      <c r="H128" s="23">
        <f t="shared" si="21"/>
        <v>192677.69445100002</v>
      </c>
      <c r="I128" s="23">
        <f t="shared" si="21"/>
        <v>204556.27528453001</v>
      </c>
      <c r="J128" s="23">
        <f>+J$92</f>
        <v>216791.21354306594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169948.39</v>
      </c>
      <c r="G131" s="88">
        <f t="shared" si="22"/>
        <v>181145.09169999993</v>
      </c>
      <c r="H131" s="88">
        <f t="shared" si="22"/>
        <v>192677.69445100002</v>
      </c>
      <c r="I131" s="88">
        <f t="shared" si="22"/>
        <v>204556.27528453001</v>
      </c>
      <c r="J131" s="88">
        <f t="shared" si="22"/>
        <v>3963278.2192083988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169948.39</v>
      </c>
      <c r="G132" s="100">
        <f t="shared" ref="G132:I132" si="23">+G131-G126</f>
        <v>181145.09169999993</v>
      </c>
      <c r="H132" s="100">
        <f t="shared" si="23"/>
        <v>192677.69445100002</v>
      </c>
      <c r="I132" s="100">
        <f t="shared" si="23"/>
        <v>204556.27528453001</v>
      </c>
      <c r="J132" s="100">
        <f>+J131-SUM(J126,J129)</f>
        <v>117174.6601572996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0.23548185289195955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2.5845341034799385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7067470.7657973086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-106012.06148695963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351623.39</v>
      </c>
      <c r="G142" s="23">
        <f t="shared" ref="G142:L142" si="24">+G$88</f>
        <v>362820.09169999993</v>
      </c>
      <c r="H142" s="23">
        <f t="shared" si="24"/>
        <v>374352.69445100002</v>
      </c>
      <c r="I142" s="23">
        <f t="shared" si="24"/>
        <v>386231.27528453001</v>
      </c>
      <c r="J142" s="23">
        <f t="shared" si="24"/>
        <v>398466.21354306594</v>
      </c>
      <c r="K142" s="23">
        <f t="shared" si="24"/>
        <v>411068.19994935789</v>
      </c>
      <c r="L142" s="23">
        <f t="shared" si="24"/>
        <v>424048.24594783853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351623.39</v>
      </c>
      <c r="G144" s="88">
        <f>SUM(G140:G143)</f>
        <v>362820.09169999993</v>
      </c>
      <c r="H144" s="88">
        <f>SUM(H140:H143)</f>
        <v>374352.69445100002</v>
      </c>
      <c r="I144" s="88">
        <f>SUM(I140:I143)</f>
        <v>386231.27528453001</v>
      </c>
      <c r="J144" s="88">
        <f t="shared" ref="J144:K144" si="25">SUM(J140:J143)</f>
        <v>398466.21354306594</v>
      </c>
      <c r="K144" s="88">
        <f t="shared" si="25"/>
        <v>411068.19994935789</v>
      </c>
      <c r="L144" s="88">
        <f>SUM(L140:L143)</f>
        <v>7385506.9502581879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351623.39</v>
      </c>
      <c r="G145" s="100">
        <f t="shared" ref="G145:L145" si="26">+G144-G140</f>
        <v>362820.09169999993</v>
      </c>
      <c r="H145" s="100">
        <f t="shared" si="26"/>
        <v>374352.69445100002</v>
      </c>
      <c r="I145" s="100">
        <f t="shared" si="26"/>
        <v>386231.27528453001</v>
      </c>
      <c r="J145" s="100">
        <f t="shared" si="26"/>
        <v>398466.21354306594</v>
      </c>
      <c r="K145" s="100">
        <f t="shared" si="26"/>
        <v>411068.19994935789</v>
      </c>
      <c r="L145" s="100">
        <f t="shared" si="26"/>
        <v>318036.1844608793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0.14524658786854094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2.2488532128339864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7067470.7657973086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-106012.06148695963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169948.39</v>
      </c>
      <c r="G153" s="23">
        <f t="shared" ref="G153:L153" si="27">+G$92</f>
        <v>181145.09169999993</v>
      </c>
      <c r="H153" s="23">
        <f t="shared" si="27"/>
        <v>192677.69445100002</v>
      </c>
      <c r="I153" s="23">
        <f t="shared" si="27"/>
        <v>204556.27528453001</v>
      </c>
      <c r="J153" s="23">
        <f t="shared" si="27"/>
        <v>216791.21354306594</v>
      </c>
      <c r="K153" s="23">
        <f t="shared" si="27"/>
        <v>229393.19994935789</v>
      </c>
      <c r="L153" s="23">
        <f t="shared" si="27"/>
        <v>242373.24594783853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169948.39</v>
      </c>
      <c r="G156" s="88">
        <f>+SUM(G151:G155)</f>
        <v>181145.09169999993</v>
      </c>
      <c r="H156" s="88">
        <f>+SUM(H151:H155)</f>
        <v>192677.69445100002</v>
      </c>
      <c r="I156" s="88">
        <f>+SUM(I151:I155)</f>
        <v>204556.27528453001</v>
      </c>
      <c r="J156" s="88">
        <f t="shared" ref="J156:K156" si="28">+SUM(J151:J155)</f>
        <v>216791.21354306594</v>
      </c>
      <c r="K156" s="88">
        <f t="shared" si="28"/>
        <v>229393.19994935789</v>
      </c>
      <c r="L156" s="88">
        <f>+SUM(L151:L155)</f>
        <v>4408831.9502581879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169948.39</v>
      </c>
      <c r="G157" s="100">
        <f t="shared" ref="G157:L157" si="29">+G156-G151</f>
        <v>181145.09169999993</v>
      </c>
      <c r="H157" s="100">
        <f t="shared" si="29"/>
        <v>192677.69445100002</v>
      </c>
      <c r="I157" s="100">
        <f t="shared" si="29"/>
        <v>204556.27528453001</v>
      </c>
      <c r="J157" s="100">
        <f t="shared" si="29"/>
        <v>216791.21354306594</v>
      </c>
      <c r="K157" s="100">
        <f t="shared" si="29"/>
        <v>229393.19994935789</v>
      </c>
      <c r="L157" s="100">
        <f t="shared" si="29"/>
        <v>-2658638.8155391207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0.20562050214587768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3.0736938097565218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7756197.8474973999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-116342.96771246099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351623.39</v>
      </c>
      <c r="G167" s="23">
        <f t="shared" ref="G167:O167" si="30">+G$88</f>
        <v>362820.09169999993</v>
      </c>
      <c r="H167" s="23">
        <f t="shared" si="30"/>
        <v>374352.69445100002</v>
      </c>
      <c r="I167" s="23">
        <f t="shared" si="30"/>
        <v>386231.27528453001</v>
      </c>
      <c r="J167" s="23">
        <f t="shared" si="30"/>
        <v>398466.21354306594</v>
      </c>
      <c r="K167" s="23">
        <f t="shared" si="30"/>
        <v>411068.19994935789</v>
      </c>
      <c r="L167" s="23">
        <f t="shared" si="30"/>
        <v>424048.24594783853</v>
      </c>
      <c r="M167" s="23">
        <f t="shared" si="30"/>
        <v>437417.69332627376</v>
      </c>
      <c r="N167" s="23">
        <f t="shared" si="30"/>
        <v>451188.22412606206</v>
      </c>
      <c r="O167" s="23">
        <f t="shared" si="30"/>
        <v>465371.87084984395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351623.39</v>
      </c>
      <c r="G169" s="88">
        <f>SUM(G165:G168)</f>
        <v>362820.09169999993</v>
      </c>
      <c r="H169" s="88">
        <f>SUM(H165:H168)</f>
        <v>374352.69445100002</v>
      </c>
      <c r="I169" s="88">
        <f>SUM(I165:I168)</f>
        <v>386231.27528453001</v>
      </c>
      <c r="J169" s="88">
        <f t="shared" ref="J169:N169" si="31">SUM(J165:J168)</f>
        <v>398466.21354306594</v>
      </c>
      <c r="K169" s="88">
        <f t="shared" si="31"/>
        <v>411068.19994935789</v>
      </c>
      <c r="L169" s="88">
        <f t="shared" si="31"/>
        <v>424048.24594783853</v>
      </c>
      <c r="M169" s="88">
        <f t="shared" si="31"/>
        <v>437417.69332627376</v>
      </c>
      <c r="N169" s="88">
        <f t="shared" si="31"/>
        <v>451188.22412606206</v>
      </c>
      <c r="O169" s="88">
        <f>SUM(O165:O168)</f>
        <v>8105226.7506347829</v>
      </c>
    </row>
    <row r="170" spans="3:15" ht="13.5" hidden="1" customHeight="1" outlineLevel="2" x14ac:dyDescent="0.2">
      <c r="C170" s="28"/>
      <c r="E170" s="99"/>
      <c r="F170" s="100">
        <f>+F169-F165</f>
        <v>351623.39</v>
      </c>
      <c r="G170" s="100">
        <f t="shared" ref="G170:O170" si="32">+G169-G165</f>
        <v>362820.09169999993</v>
      </c>
      <c r="H170" s="100">
        <f t="shared" si="32"/>
        <v>374352.69445100002</v>
      </c>
      <c r="I170" s="100">
        <f t="shared" si="32"/>
        <v>386231.27528453001</v>
      </c>
      <c r="J170" s="100">
        <f t="shared" si="32"/>
        <v>398466.21354306594</v>
      </c>
      <c r="K170" s="100">
        <f t="shared" si="32"/>
        <v>411068.19994935789</v>
      </c>
      <c r="L170" s="100">
        <f t="shared" si="32"/>
        <v>424048.24594783853</v>
      </c>
      <c r="M170" s="100">
        <f t="shared" si="32"/>
        <v>437417.69332627376</v>
      </c>
      <c r="N170" s="100">
        <f t="shared" si="32"/>
        <v>451188.22412606206</v>
      </c>
      <c r="O170" s="100">
        <f t="shared" si="32"/>
        <v>349028.90313738305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0.13308561498313365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2.7214983206890491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7756197.8474973999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-116342.96771246099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169948.39</v>
      </c>
      <c r="G178" s="23">
        <f t="shared" ref="G178:O178" si="33">+G$92</f>
        <v>181145.09169999993</v>
      </c>
      <c r="H178" s="23">
        <f t="shared" si="33"/>
        <v>192677.69445100002</v>
      </c>
      <c r="I178" s="23">
        <f t="shared" si="33"/>
        <v>204556.27528453001</v>
      </c>
      <c r="J178" s="23">
        <f t="shared" si="33"/>
        <v>216791.21354306594</v>
      </c>
      <c r="K178" s="23">
        <f t="shared" si="33"/>
        <v>229393.19994935789</v>
      </c>
      <c r="L178" s="23">
        <f t="shared" si="33"/>
        <v>242373.24594783853</v>
      </c>
      <c r="M178" s="23">
        <f t="shared" si="33"/>
        <v>255742.69332627376</v>
      </c>
      <c r="N178" s="23">
        <f t="shared" si="33"/>
        <v>269513.22412606206</v>
      </c>
      <c r="O178" s="23">
        <f t="shared" si="33"/>
        <v>283696.87084984395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169948.39</v>
      </c>
      <c r="G181" s="88">
        <f>+SUM(G176:G180)</f>
        <v>181145.09169999993</v>
      </c>
      <c r="H181" s="88">
        <f>+SUM(H176:H180)</f>
        <v>192677.69445100002</v>
      </c>
      <c r="I181" s="88">
        <f>+SUM(I176:I180)</f>
        <v>204556.27528453001</v>
      </c>
      <c r="J181" s="88">
        <f t="shared" ref="J181:N181" si="34">+SUM(J176:J180)</f>
        <v>216791.21354306594</v>
      </c>
      <c r="K181" s="88">
        <f t="shared" si="34"/>
        <v>229393.19994935789</v>
      </c>
      <c r="L181" s="88">
        <f t="shared" si="34"/>
        <v>242373.24594783853</v>
      </c>
      <c r="M181" s="88">
        <f t="shared" si="34"/>
        <v>255742.69332627376</v>
      </c>
      <c r="N181" s="88">
        <f t="shared" si="34"/>
        <v>269513.22412606206</v>
      </c>
      <c r="O181" s="88">
        <f>+SUM(O176:O180)</f>
        <v>5239140.6036131382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169948.39</v>
      </c>
      <c r="G182" s="100">
        <f t="shared" ref="G182:O182" si="35">+G181-G176</f>
        <v>181145.09169999993</v>
      </c>
      <c r="H182" s="100">
        <f t="shared" si="35"/>
        <v>192677.69445100002</v>
      </c>
      <c r="I182" s="100">
        <f t="shared" si="35"/>
        <v>204556.27528453001</v>
      </c>
      <c r="J182" s="100">
        <f t="shared" si="35"/>
        <v>216791.21354306594</v>
      </c>
      <c r="K182" s="100">
        <f t="shared" si="35"/>
        <v>229393.19994935789</v>
      </c>
      <c r="L182" s="100">
        <f t="shared" si="35"/>
        <v>242373.24594783853</v>
      </c>
      <c r="M182" s="100">
        <f t="shared" si="35"/>
        <v>255742.69332627376</v>
      </c>
      <c r="N182" s="100">
        <f t="shared" si="35"/>
        <v>269513.22412606206</v>
      </c>
      <c r="O182" s="100">
        <f t="shared" si="35"/>
        <v>-2517057.2438842617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0.18520324975396441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3.9502367701268595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8E54-2AC3-4C08-B9FE-875CF19B749B}">
  <sheetPr>
    <tabColor rgb="FF00274C"/>
  </sheetPr>
  <dimension ref="A1"/>
  <sheetViews>
    <sheetView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507E-E74C-4B21-9F8A-8C4501609C18}">
  <sheetPr>
    <pageSetUpPr fitToPage="1"/>
  </sheetPr>
  <dimension ref="B3:AJ233"/>
  <sheetViews>
    <sheetView showGridLines="0" zoomScale="85" zoomScaleNormal="85" workbookViewId="0">
      <selection activeCell="I26" sqref="I26"/>
    </sheetView>
  </sheetViews>
  <sheetFormatPr defaultColWidth="11.42578125" defaultRowHeight="15.75" customHeight="1" x14ac:dyDescent="0.2"/>
  <cols>
    <col min="1" max="1" width="11.42578125" style="132"/>
    <col min="2" max="2" width="15.7109375" style="132" customWidth="1"/>
    <col min="3" max="3" width="10.7109375" style="132" customWidth="1"/>
    <col min="4" max="4" width="7.7109375" style="132" customWidth="1"/>
    <col min="5" max="13" width="10.7109375" style="132" customWidth="1"/>
    <col min="14" max="14" width="11.42578125" style="132"/>
    <col min="15" max="15" width="5.7109375" style="132" customWidth="1"/>
    <col min="16" max="21" width="11.42578125" style="132"/>
    <col min="22" max="22" width="5.7109375" style="132" customWidth="1"/>
    <col min="23" max="16384" width="11.42578125" style="132"/>
  </cols>
  <sheetData>
    <row r="3" spans="2:35" s="167" customFormat="1" ht="15.75" customHeight="1" x14ac:dyDescent="0.25">
      <c r="B3" s="169" t="s">
        <v>316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P3" s="169" t="s">
        <v>315</v>
      </c>
      <c r="Q3" s="169"/>
      <c r="R3" s="169"/>
      <c r="S3" s="169"/>
      <c r="T3" s="169"/>
      <c r="U3" s="169"/>
      <c r="W3" s="169" t="s">
        <v>302</v>
      </c>
      <c r="X3" s="169"/>
      <c r="Y3" s="169"/>
      <c r="Z3" s="169"/>
      <c r="AA3" s="169"/>
      <c r="AB3" s="169"/>
      <c r="AD3" s="169" t="s">
        <v>426</v>
      </c>
      <c r="AE3" s="169"/>
      <c r="AF3" s="169"/>
      <c r="AG3" s="169"/>
      <c r="AH3" s="169"/>
      <c r="AI3" s="169"/>
    </row>
    <row r="4" spans="2:35" ht="5.0999999999999996" customHeight="1" x14ac:dyDescent="0.2"/>
    <row r="5" spans="2:35" s="167" customFormat="1" ht="15.75" customHeight="1" x14ac:dyDescent="0.25">
      <c r="B5" s="170" t="s">
        <v>166</v>
      </c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P5" s="170" t="str">
        <f>+$B5</f>
        <v>Year 1</v>
      </c>
      <c r="Q5" s="170"/>
      <c r="R5" s="170"/>
      <c r="S5" s="170"/>
      <c r="T5" s="170"/>
      <c r="U5" s="170"/>
      <c r="W5" s="170" t="str">
        <f>+$B5</f>
        <v>Year 1</v>
      </c>
      <c r="X5" s="170"/>
      <c r="Y5" s="170"/>
      <c r="Z5" s="170"/>
      <c r="AA5" s="170"/>
      <c r="AB5" s="170"/>
      <c r="AD5" s="170" t="str">
        <f>+$B5</f>
        <v>Year 1</v>
      </c>
      <c r="AE5" s="170"/>
      <c r="AF5" s="170"/>
      <c r="AG5" s="170"/>
      <c r="AH5" s="170"/>
      <c r="AI5" s="170"/>
    </row>
    <row r="6" spans="2:35" s="164" customFormat="1" ht="38.25" x14ac:dyDescent="0.2">
      <c r="B6" s="543" t="s">
        <v>61</v>
      </c>
      <c r="C6" s="543" t="s">
        <v>215</v>
      </c>
      <c r="D6" s="543" t="s">
        <v>64</v>
      </c>
      <c r="E6" s="543" t="s">
        <v>231</v>
      </c>
      <c r="F6" s="543" t="s">
        <v>237</v>
      </c>
      <c r="G6" s="544" t="s">
        <v>232</v>
      </c>
      <c r="H6" s="543" t="s">
        <v>240</v>
      </c>
      <c r="I6" s="543" t="s">
        <v>233</v>
      </c>
      <c r="J6" s="543" t="s">
        <v>63</v>
      </c>
      <c r="K6" s="543" t="s">
        <v>423</v>
      </c>
      <c r="L6" s="543" t="s">
        <v>62</v>
      </c>
      <c r="M6" s="543" t="s">
        <v>238</v>
      </c>
      <c r="N6" s="543" t="s">
        <v>241</v>
      </c>
      <c r="P6" s="543" t="s">
        <v>61</v>
      </c>
      <c r="Q6" s="543" t="s">
        <v>215</v>
      </c>
      <c r="R6" s="543" t="s">
        <v>64</v>
      </c>
      <c r="S6" s="543" t="s">
        <v>231</v>
      </c>
      <c r="T6" s="543" t="s">
        <v>237</v>
      </c>
      <c r="U6" s="543" t="s">
        <v>151</v>
      </c>
      <c r="W6" s="543" t="s">
        <v>61</v>
      </c>
      <c r="X6" s="543" t="s">
        <v>215</v>
      </c>
      <c r="Y6" s="543" t="s">
        <v>64</v>
      </c>
      <c r="Z6" s="543" t="s">
        <v>231</v>
      </c>
      <c r="AA6" s="543" t="s">
        <v>237</v>
      </c>
      <c r="AB6" s="543" t="s">
        <v>152</v>
      </c>
      <c r="AD6" s="543" t="s">
        <v>61</v>
      </c>
      <c r="AE6" s="543" t="s">
        <v>215</v>
      </c>
      <c r="AF6" s="543" t="s">
        <v>64</v>
      </c>
      <c r="AG6" s="543" t="s">
        <v>231</v>
      </c>
      <c r="AH6" s="543" t="s">
        <v>237</v>
      </c>
      <c r="AI6" s="543" t="s">
        <v>424</v>
      </c>
    </row>
    <row r="7" spans="2:35" s="120" customFormat="1" ht="15.75" customHeight="1" x14ac:dyDescent="0.2">
      <c r="B7" s="551" t="str">
        <f>'Rent Roll'!C13</f>
        <v>1x1</v>
      </c>
      <c r="C7" s="552" t="str">
        <f>'Rent Roll'!D13</f>
        <v>50% AMI</v>
      </c>
      <c r="D7" s="551">
        <f>'Rent Roll'!E13</f>
        <v>2</v>
      </c>
      <c r="E7" s="553">
        <f>'Rent Roll'!F13</f>
        <v>701</v>
      </c>
      <c r="F7" s="554">
        <f>'Rent Roll'!K13</f>
        <v>65</v>
      </c>
      <c r="G7" s="555">
        <f>'Rent Roll'!M13</f>
        <v>651</v>
      </c>
      <c r="H7" s="549">
        <f t="shared" ref="H7:H12" si="0">+G7-F7</f>
        <v>586</v>
      </c>
      <c r="I7" s="556">
        <f>'Rent Roll'!O13</f>
        <v>683</v>
      </c>
      <c r="J7" s="557">
        <f t="shared" ref="J7:J12" si="1">I7-F7</f>
        <v>618</v>
      </c>
      <c r="K7" s="558">
        <f>'Rent Roll'!G13</f>
        <v>0</v>
      </c>
      <c r="L7" s="559">
        <f>'Rent Roll'!L13</f>
        <v>592</v>
      </c>
      <c r="M7" s="559">
        <f>'Rent Roll'!J13</f>
        <v>527</v>
      </c>
      <c r="N7" s="548">
        <f t="shared" ref="N7:N12" si="2">((M7*D7)*12)</f>
        <v>12648</v>
      </c>
      <c r="P7" s="545" t="str">
        <f t="shared" ref="P7:T12" si="3">B7</f>
        <v>1x1</v>
      </c>
      <c r="Q7" s="545" t="str">
        <f t="shared" si="3"/>
        <v>50% AMI</v>
      </c>
      <c r="R7" s="545">
        <f t="shared" si="3"/>
        <v>2</v>
      </c>
      <c r="S7" s="546">
        <f t="shared" si="3"/>
        <v>701</v>
      </c>
      <c r="T7" s="547">
        <f t="shared" si="3"/>
        <v>65</v>
      </c>
      <c r="U7" s="548">
        <f>((M7*R7)*12)</f>
        <v>12648</v>
      </c>
      <c r="W7" s="545" t="str">
        <f t="shared" ref="W7:AA12" si="4">B7</f>
        <v>1x1</v>
      </c>
      <c r="X7" s="545" t="str">
        <f t="shared" si="4"/>
        <v>50% AMI</v>
      </c>
      <c r="Y7" s="545">
        <f t="shared" si="4"/>
        <v>2</v>
      </c>
      <c r="Z7" s="546">
        <f t="shared" si="4"/>
        <v>701</v>
      </c>
      <c r="AA7" s="547">
        <f t="shared" si="4"/>
        <v>65</v>
      </c>
      <c r="AB7" s="549">
        <f>((H7*Y7)*12)</f>
        <v>14064</v>
      </c>
      <c r="AD7" s="545" t="str">
        <f>B7</f>
        <v>1x1</v>
      </c>
      <c r="AE7" s="545" t="str">
        <f t="shared" ref="AE7:AH7" si="5">C7</f>
        <v>50% AMI</v>
      </c>
      <c r="AF7" s="545">
        <f t="shared" si="5"/>
        <v>2</v>
      </c>
      <c r="AG7" s="546">
        <f t="shared" si="5"/>
        <v>701</v>
      </c>
      <c r="AH7" s="547">
        <f t="shared" si="5"/>
        <v>65</v>
      </c>
      <c r="AI7" s="548">
        <f>+MAX(U7,AB7)</f>
        <v>14064</v>
      </c>
    </row>
    <row r="8" spans="2:35" s="120" customFormat="1" ht="15.75" customHeight="1" x14ac:dyDescent="0.2">
      <c r="B8" s="551" t="str">
        <f>'Rent Roll'!C14</f>
        <v>1x1</v>
      </c>
      <c r="C8" s="552" t="str">
        <f>'Rent Roll'!D14</f>
        <v>60% AMI</v>
      </c>
      <c r="D8" s="551">
        <f>'Rent Roll'!E14</f>
        <v>0</v>
      </c>
      <c r="E8" s="553">
        <f>'Rent Roll'!F14</f>
        <v>701</v>
      </c>
      <c r="F8" s="554">
        <f>'Rent Roll'!K14</f>
        <v>65</v>
      </c>
      <c r="G8" s="555">
        <f>'Rent Roll'!M14</f>
        <v>781</v>
      </c>
      <c r="H8" s="549">
        <f t="shared" si="0"/>
        <v>716</v>
      </c>
      <c r="I8" s="556">
        <f>'Rent Roll'!O14</f>
        <v>683</v>
      </c>
      <c r="J8" s="557">
        <f t="shared" si="1"/>
        <v>618</v>
      </c>
      <c r="K8" s="558">
        <f>'Rent Roll'!G14</f>
        <v>0</v>
      </c>
      <c r="L8" s="559">
        <f>'Rent Roll'!L14</f>
        <v>65</v>
      </c>
      <c r="M8" s="559">
        <f>'Rent Roll'!J14</f>
        <v>0</v>
      </c>
      <c r="N8" s="548">
        <f t="shared" si="2"/>
        <v>0</v>
      </c>
      <c r="P8" s="545" t="str">
        <f t="shared" si="3"/>
        <v>1x1</v>
      </c>
      <c r="Q8" s="550" t="str">
        <f t="shared" si="3"/>
        <v>60% AMI</v>
      </c>
      <c r="R8" s="545">
        <f t="shared" si="3"/>
        <v>0</v>
      </c>
      <c r="S8" s="546">
        <f t="shared" si="3"/>
        <v>701</v>
      </c>
      <c r="T8" s="547">
        <f t="shared" si="3"/>
        <v>65</v>
      </c>
      <c r="U8" s="548">
        <f t="shared" ref="U8:U25" si="6">((M8*R8)*12)</f>
        <v>0</v>
      </c>
      <c r="W8" s="545" t="str">
        <f t="shared" si="4"/>
        <v>1x1</v>
      </c>
      <c r="X8" s="550" t="str">
        <f t="shared" si="4"/>
        <v>60% AMI</v>
      </c>
      <c r="Y8" s="545">
        <f t="shared" si="4"/>
        <v>0</v>
      </c>
      <c r="Z8" s="546">
        <f t="shared" si="4"/>
        <v>701</v>
      </c>
      <c r="AA8" s="547">
        <f t="shared" si="4"/>
        <v>65</v>
      </c>
      <c r="AB8" s="549">
        <f t="shared" ref="AB8:AB11" si="7">((H8*Y8)*12)</f>
        <v>0</v>
      </c>
      <c r="AD8" s="545" t="str">
        <f t="shared" ref="AD8:AD25" si="8">B8</f>
        <v>1x1</v>
      </c>
      <c r="AE8" s="550" t="str">
        <f t="shared" ref="AE8:AE25" si="9">C8</f>
        <v>60% AMI</v>
      </c>
      <c r="AF8" s="545">
        <f t="shared" ref="AF8:AF25" si="10">D8</f>
        <v>0</v>
      </c>
      <c r="AG8" s="546">
        <f t="shared" ref="AG8:AG25" si="11">E8</f>
        <v>701</v>
      </c>
      <c r="AH8" s="547">
        <f t="shared" ref="AH8:AH25" si="12">F8</f>
        <v>65</v>
      </c>
      <c r="AI8" s="548">
        <f t="shared" ref="AI8:AI25" si="13">+MAX(U8,AB8)</f>
        <v>0</v>
      </c>
    </row>
    <row r="9" spans="2:35" s="120" customFormat="1" ht="15.75" customHeight="1" x14ac:dyDescent="0.2">
      <c r="B9" s="551" t="str">
        <f>'Rent Roll'!C15</f>
        <v>1x1</v>
      </c>
      <c r="C9" s="552" t="str">
        <f>'Rent Roll'!D15</f>
        <v>Market</v>
      </c>
      <c r="D9" s="551">
        <f>'Rent Roll'!E15</f>
        <v>1</v>
      </c>
      <c r="E9" s="553">
        <f>'Rent Roll'!F15</f>
        <v>701</v>
      </c>
      <c r="F9" s="554">
        <f>'Rent Roll'!K15</f>
        <v>0</v>
      </c>
      <c r="G9" s="555">
        <f>'Rent Roll'!M15</f>
        <v>0</v>
      </c>
      <c r="H9" s="549">
        <f t="shared" si="0"/>
        <v>0</v>
      </c>
      <c r="I9" s="556">
        <f>'Rent Roll'!O15</f>
        <v>683</v>
      </c>
      <c r="J9" s="557">
        <f t="shared" si="1"/>
        <v>683</v>
      </c>
      <c r="K9" s="558">
        <f>'Rent Roll'!G15</f>
        <v>0</v>
      </c>
      <c r="L9" s="559">
        <f>'Rent Roll'!L15</f>
        <v>593</v>
      </c>
      <c r="M9" s="559">
        <f>'Rent Roll'!J15</f>
        <v>593</v>
      </c>
      <c r="N9" s="548">
        <f t="shared" si="2"/>
        <v>7116</v>
      </c>
      <c r="P9" s="545" t="str">
        <f t="shared" si="3"/>
        <v>1x1</v>
      </c>
      <c r="Q9" s="550" t="str">
        <f t="shared" si="3"/>
        <v>Market</v>
      </c>
      <c r="R9" s="545">
        <f t="shared" si="3"/>
        <v>1</v>
      </c>
      <c r="S9" s="546">
        <f t="shared" si="3"/>
        <v>701</v>
      </c>
      <c r="T9" s="547">
        <f t="shared" si="3"/>
        <v>0</v>
      </c>
      <c r="U9" s="548">
        <f t="shared" si="6"/>
        <v>7116</v>
      </c>
      <c r="W9" s="545" t="str">
        <f t="shared" si="4"/>
        <v>1x1</v>
      </c>
      <c r="X9" s="550" t="str">
        <f t="shared" si="4"/>
        <v>Market</v>
      </c>
      <c r="Y9" s="545">
        <f t="shared" si="4"/>
        <v>1</v>
      </c>
      <c r="Z9" s="546">
        <f t="shared" si="4"/>
        <v>701</v>
      </c>
      <c r="AA9" s="547">
        <f t="shared" si="4"/>
        <v>0</v>
      </c>
      <c r="AB9" s="549">
        <f>((H9*Y9)*12)</f>
        <v>0</v>
      </c>
      <c r="AD9" s="545" t="str">
        <f t="shared" si="8"/>
        <v>1x1</v>
      </c>
      <c r="AE9" s="550" t="str">
        <f t="shared" si="9"/>
        <v>Market</v>
      </c>
      <c r="AF9" s="545">
        <f t="shared" si="10"/>
        <v>1</v>
      </c>
      <c r="AG9" s="546">
        <f t="shared" si="11"/>
        <v>701</v>
      </c>
      <c r="AH9" s="547">
        <f t="shared" si="12"/>
        <v>0</v>
      </c>
      <c r="AI9" s="548">
        <f t="shared" si="13"/>
        <v>7116</v>
      </c>
    </row>
    <row r="10" spans="2:35" s="120" customFormat="1" ht="15.75" customHeight="1" x14ac:dyDescent="0.2">
      <c r="B10" s="551" t="str">
        <f>'Rent Roll'!C16</f>
        <v>1x1</v>
      </c>
      <c r="C10" s="552" t="str">
        <f>'Rent Roll'!D16</f>
        <v>S8 Voucher</v>
      </c>
      <c r="D10" s="551">
        <f>'Rent Roll'!E16</f>
        <v>3</v>
      </c>
      <c r="E10" s="553">
        <f>'Rent Roll'!F16</f>
        <v>701</v>
      </c>
      <c r="F10" s="554">
        <f>'Rent Roll'!K16</f>
        <v>65</v>
      </c>
      <c r="G10" s="555">
        <f>'Rent Roll'!M16</f>
        <v>781</v>
      </c>
      <c r="H10" s="549">
        <f t="shared" si="0"/>
        <v>716</v>
      </c>
      <c r="I10" s="556">
        <f>'Rent Roll'!O16</f>
        <v>683</v>
      </c>
      <c r="J10" s="557">
        <f t="shared" si="1"/>
        <v>618</v>
      </c>
      <c r="K10" s="558">
        <f>'Rent Roll'!G16</f>
        <v>0</v>
      </c>
      <c r="L10" s="559">
        <f>'Rent Roll'!L16</f>
        <v>588</v>
      </c>
      <c r="M10" s="559">
        <f>'Rent Roll'!J16</f>
        <v>523</v>
      </c>
      <c r="N10" s="548">
        <f t="shared" si="2"/>
        <v>18828</v>
      </c>
      <c r="P10" s="545" t="str">
        <f t="shared" si="3"/>
        <v>1x1</v>
      </c>
      <c r="Q10" s="550" t="str">
        <f t="shared" si="3"/>
        <v>S8 Voucher</v>
      </c>
      <c r="R10" s="545">
        <f t="shared" si="3"/>
        <v>3</v>
      </c>
      <c r="S10" s="546">
        <f t="shared" si="3"/>
        <v>701</v>
      </c>
      <c r="T10" s="547">
        <f t="shared" si="3"/>
        <v>65</v>
      </c>
      <c r="U10" s="548">
        <f t="shared" si="6"/>
        <v>18828</v>
      </c>
      <c r="W10" s="545" t="str">
        <f t="shared" si="4"/>
        <v>1x1</v>
      </c>
      <c r="X10" s="550" t="str">
        <f t="shared" si="4"/>
        <v>S8 Voucher</v>
      </c>
      <c r="Y10" s="545">
        <f t="shared" si="4"/>
        <v>3</v>
      </c>
      <c r="Z10" s="546">
        <f t="shared" si="4"/>
        <v>701</v>
      </c>
      <c r="AA10" s="547">
        <f t="shared" si="4"/>
        <v>65</v>
      </c>
      <c r="AB10" s="549">
        <f t="shared" si="7"/>
        <v>25776</v>
      </c>
      <c r="AD10" s="545" t="str">
        <f t="shared" si="8"/>
        <v>1x1</v>
      </c>
      <c r="AE10" s="550" t="str">
        <f t="shared" si="9"/>
        <v>S8 Voucher</v>
      </c>
      <c r="AF10" s="545">
        <f t="shared" si="10"/>
        <v>3</v>
      </c>
      <c r="AG10" s="546">
        <f t="shared" si="11"/>
        <v>701</v>
      </c>
      <c r="AH10" s="547">
        <f t="shared" si="12"/>
        <v>65</v>
      </c>
      <c r="AI10" s="548">
        <f t="shared" si="13"/>
        <v>25776</v>
      </c>
    </row>
    <row r="11" spans="2:35" s="120" customFormat="1" ht="15.75" customHeight="1" x14ac:dyDescent="0.2">
      <c r="B11" s="551" t="str">
        <f>'Rent Roll'!C17</f>
        <v>2x1.5</v>
      </c>
      <c r="C11" s="552" t="str">
        <f>'Rent Roll'!D17</f>
        <v>40% AMI</v>
      </c>
      <c r="D11" s="551">
        <f>'Rent Roll'!E17</f>
        <v>1</v>
      </c>
      <c r="E11" s="553">
        <f>'Rent Roll'!F17</f>
        <v>940</v>
      </c>
      <c r="F11" s="554">
        <f>'Rent Roll'!K17</f>
        <v>86</v>
      </c>
      <c r="G11" s="555">
        <f>'Rent Roll'!M17</f>
        <v>539</v>
      </c>
      <c r="H11" s="549">
        <f t="shared" si="0"/>
        <v>453</v>
      </c>
      <c r="I11" s="556">
        <f>'Rent Roll'!O17</f>
        <v>778</v>
      </c>
      <c r="J11" s="557">
        <f t="shared" si="1"/>
        <v>692</v>
      </c>
      <c r="K11" s="558">
        <f>'Rent Roll'!G17</f>
        <v>0</v>
      </c>
      <c r="L11" s="559">
        <f>'Rent Roll'!L17</f>
        <v>551</v>
      </c>
      <c r="M11" s="559">
        <f>'Rent Roll'!J17</f>
        <v>465</v>
      </c>
      <c r="N11" s="548">
        <f t="shared" si="2"/>
        <v>5580</v>
      </c>
      <c r="P11" s="545" t="str">
        <f t="shared" si="3"/>
        <v>2x1.5</v>
      </c>
      <c r="Q11" s="550" t="str">
        <f t="shared" si="3"/>
        <v>40% AMI</v>
      </c>
      <c r="R11" s="545">
        <f t="shared" si="3"/>
        <v>1</v>
      </c>
      <c r="S11" s="546">
        <f t="shared" si="3"/>
        <v>940</v>
      </c>
      <c r="T11" s="547">
        <f t="shared" si="3"/>
        <v>86</v>
      </c>
      <c r="U11" s="548">
        <f t="shared" si="6"/>
        <v>5580</v>
      </c>
      <c r="W11" s="545" t="str">
        <f t="shared" si="4"/>
        <v>2x1.5</v>
      </c>
      <c r="X11" s="550" t="str">
        <f t="shared" si="4"/>
        <v>40% AMI</v>
      </c>
      <c r="Y11" s="545">
        <f t="shared" si="4"/>
        <v>1</v>
      </c>
      <c r="Z11" s="546">
        <f t="shared" si="4"/>
        <v>940</v>
      </c>
      <c r="AA11" s="547">
        <f t="shared" si="4"/>
        <v>86</v>
      </c>
      <c r="AB11" s="549">
        <f t="shared" si="7"/>
        <v>5436</v>
      </c>
      <c r="AD11" s="545" t="str">
        <f t="shared" si="8"/>
        <v>2x1.5</v>
      </c>
      <c r="AE11" s="550" t="str">
        <f t="shared" si="9"/>
        <v>40% AMI</v>
      </c>
      <c r="AF11" s="545">
        <f t="shared" si="10"/>
        <v>1</v>
      </c>
      <c r="AG11" s="546">
        <f t="shared" si="11"/>
        <v>940</v>
      </c>
      <c r="AH11" s="547">
        <f t="shared" si="12"/>
        <v>86</v>
      </c>
      <c r="AI11" s="548">
        <f t="shared" si="13"/>
        <v>5580</v>
      </c>
    </row>
    <row r="12" spans="2:35" s="120" customFormat="1" ht="15.75" customHeight="1" x14ac:dyDescent="0.2">
      <c r="B12" s="551" t="str">
        <f>'Rent Roll'!C18</f>
        <v>2x1.5</v>
      </c>
      <c r="C12" s="552" t="str">
        <f>'Rent Roll'!D18</f>
        <v>50% AMI</v>
      </c>
      <c r="D12" s="551">
        <f>'Rent Roll'!E18</f>
        <v>3</v>
      </c>
      <c r="E12" s="553">
        <f>'Rent Roll'!F18</f>
        <v>990</v>
      </c>
      <c r="F12" s="554">
        <f>'Rent Roll'!K18</f>
        <v>86</v>
      </c>
      <c r="G12" s="555">
        <f>'Rent Roll'!M18</f>
        <v>695</v>
      </c>
      <c r="H12" s="549">
        <f t="shared" si="0"/>
        <v>609</v>
      </c>
      <c r="I12" s="556">
        <f>'Rent Roll'!O18</f>
        <v>778</v>
      </c>
      <c r="J12" s="557">
        <f t="shared" si="1"/>
        <v>692</v>
      </c>
      <c r="K12" s="558">
        <f>'Rent Roll'!G18</f>
        <v>0</v>
      </c>
      <c r="L12" s="559">
        <f>'Rent Roll'!L18</f>
        <v>666</v>
      </c>
      <c r="M12" s="559">
        <f>'Rent Roll'!J18</f>
        <v>580</v>
      </c>
      <c r="N12" s="548">
        <f t="shared" si="2"/>
        <v>20880</v>
      </c>
      <c r="P12" s="545" t="str">
        <f t="shared" si="3"/>
        <v>2x1.5</v>
      </c>
      <c r="Q12" s="550" t="str">
        <f t="shared" si="3"/>
        <v>50% AMI</v>
      </c>
      <c r="R12" s="545">
        <f t="shared" si="3"/>
        <v>3</v>
      </c>
      <c r="S12" s="546">
        <f t="shared" si="3"/>
        <v>990</v>
      </c>
      <c r="T12" s="547">
        <f t="shared" si="3"/>
        <v>86</v>
      </c>
      <c r="U12" s="548">
        <f t="shared" si="6"/>
        <v>20880</v>
      </c>
      <c r="W12" s="545" t="str">
        <f t="shared" si="4"/>
        <v>2x1.5</v>
      </c>
      <c r="X12" s="550" t="str">
        <f t="shared" si="4"/>
        <v>50% AMI</v>
      </c>
      <c r="Y12" s="545">
        <f t="shared" si="4"/>
        <v>3</v>
      </c>
      <c r="Z12" s="546">
        <f t="shared" si="4"/>
        <v>990</v>
      </c>
      <c r="AA12" s="547">
        <f t="shared" si="4"/>
        <v>86</v>
      </c>
      <c r="AB12" s="549">
        <f>((H12*Y12)*12)</f>
        <v>21924</v>
      </c>
      <c r="AD12" s="545" t="str">
        <f t="shared" si="8"/>
        <v>2x1.5</v>
      </c>
      <c r="AE12" s="550" t="str">
        <f t="shared" si="9"/>
        <v>50% AMI</v>
      </c>
      <c r="AF12" s="545">
        <f t="shared" si="10"/>
        <v>3</v>
      </c>
      <c r="AG12" s="546">
        <f t="shared" si="11"/>
        <v>990</v>
      </c>
      <c r="AH12" s="547">
        <f t="shared" si="12"/>
        <v>86</v>
      </c>
      <c r="AI12" s="548">
        <f t="shared" si="13"/>
        <v>21924</v>
      </c>
    </row>
    <row r="13" spans="2:35" s="120" customFormat="1" ht="15.75" customHeight="1" x14ac:dyDescent="0.2">
      <c r="B13" s="551" t="str">
        <f>'Rent Roll'!C19</f>
        <v>2x1.5</v>
      </c>
      <c r="C13" s="552" t="str">
        <f>'Rent Roll'!D19</f>
        <v>60% AMI</v>
      </c>
      <c r="D13" s="551">
        <f>'Rent Roll'!E19</f>
        <v>2</v>
      </c>
      <c r="E13" s="553">
        <f>'Rent Roll'!F19</f>
        <v>980</v>
      </c>
      <c r="F13" s="554">
        <f>'Rent Roll'!K19</f>
        <v>86</v>
      </c>
      <c r="G13" s="555">
        <f>'Rent Roll'!M19</f>
        <v>851</v>
      </c>
      <c r="H13" s="549">
        <f t="shared" ref="H13:H25" si="14">+G13-F13</f>
        <v>765</v>
      </c>
      <c r="I13" s="556">
        <f>'Rent Roll'!O19</f>
        <v>778</v>
      </c>
      <c r="J13" s="557">
        <f t="shared" ref="J13:J25" si="15">I13-F13</f>
        <v>692</v>
      </c>
      <c r="K13" s="558">
        <f>'Rent Roll'!G19</f>
        <v>0</v>
      </c>
      <c r="L13" s="559">
        <f>'Rent Roll'!L19</f>
        <v>728</v>
      </c>
      <c r="M13" s="559">
        <f>'Rent Roll'!J19</f>
        <v>642</v>
      </c>
      <c r="N13" s="548">
        <f t="shared" ref="N13:N25" si="16">((M13*D13)*12)</f>
        <v>15408</v>
      </c>
      <c r="P13" s="545" t="str">
        <f t="shared" ref="P13:P25" si="17">B13</f>
        <v>2x1.5</v>
      </c>
      <c r="Q13" s="550" t="str">
        <f t="shared" ref="Q13:Q25" si="18">C13</f>
        <v>60% AMI</v>
      </c>
      <c r="R13" s="545">
        <f t="shared" ref="R13:R25" si="19">D13</f>
        <v>2</v>
      </c>
      <c r="S13" s="546">
        <f t="shared" ref="S13:S25" si="20">E13</f>
        <v>980</v>
      </c>
      <c r="T13" s="547">
        <f t="shared" ref="T13:T25" si="21">F13</f>
        <v>86</v>
      </c>
      <c r="U13" s="548">
        <f t="shared" si="6"/>
        <v>15408</v>
      </c>
      <c r="W13" s="545" t="str">
        <f t="shared" ref="W13:W25" si="22">B13</f>
        <v>2x1.5</v>
      </c>
      <c r="X13" s="550" t="str">
        <f t="shared" ref="X13:X25" si="23">C13</f>
        <v>60% AMI</v>
      </c>
      <c r="Y13" s="545">
        <f t="shared" ref="Y13:Y25" si="24">D13</f>
        <v>2</v>
      </c>
      <c r="Z13" s="546">
        <f t="shared" ref="Z13:Z25" si="25">E13</f>
        <v>980</v>
      </c>
      <c r="AA13" s="547">
        <f t="shared" ref="AA13:AA25" si="26">F13</f>
        <v>86</v>
      </c>
      <c r="AB13" s="549">
        <f t="shared" ref="AB13:AB25" si="27">((H13*Y13)*12)</f>
        <v>18360</v>
      </c>
      <c r="AD13" s="545" t="str">
        <f t="shared" si="8"/>
        <v>2x1.5</v>
      </c>
      <c r="AE13" s="550" t="str">
        <f t="shared" si="9"/>
        <v>60% AMI</v>
      </c>
      <c r="AF13" s="545">
        <f t="shared" si="10"/>
        <v>2</v>
      </c>
      <c r="AG13" s="546">
        <f t="shared" si="11"/>
        <v>980</v>
      </c>
      <c r="AH13" s="547">
        <f t="shared" si="12"/>
        <v>86</v>
      </c>
      <c r="AI13" s="548">
        <f t="shared" si="13"/>
        <v>18360</v>
      </c>
    </row>
    <row r="14" spans="2:35" s="120" customFormat="1" ht="15.75" customHeight="1" x14ac:dyDescent="0.2">
      <c r="B14" s="551" t="str">
        <f>'Rent Roll'!C20</f>
        <v>2x2</v>
      </c>
      <c r="C14" s="552" t="str">
        <f>'Rent Roll'!D20</f>
        <v>50% AMI</v>
      </c>
      <c r="D14" s="551">
        <f>'Rent Roll'!E20</f>
        <v>1</v>
      </c>
      <c r="E14" s="553">
        <f>'Rent Roll'!F20</f>
        <v>968</v>
      </c>
      <c r="F14" s="554">
        <f>'Rent Roll'!K20</f>
        <v>86</v>
      </c>
      <c r="G14" s="555">
        <f>'Rent Roll'!M20</f>
        <v>695</v>
      </c>
      <c r="H14" s="549">
        <f t="shared" si="14"/>
        <v>609</v>
      </c>
      <c r="I14" s="556">
        <f>'Rent Roll'!O20</f>
        <v>778</v>
      </c>
      <c r="J14" s="557">
        <f t="shared" si="15"/>
        <v>692</v>
      </c>
      <c r="K14" s="558">
        <f>'Rent Roll'!G20</f>
        <v>0</v>
      </c>
      <c r="L14" s="559">
        <f>'Rent Roll'!L20</f>
        <v>696</v>
      </c>
      <c r="M14" s="559">
        <f>'Rent Roll'!J20</f>
        <v>610</v>
      </c>
      <c r="N14" s="548">
        <f t="shared" si="16"/>
        <v>7320</v>
      </c>
      <c r="P14" s="545" t="str">
        <f t="shared" si="17"/>
        <v>2x2</v>
      </c>
      <c r="Q14" s="550" t="str">
        <f t="shared" si="18"/>
        <v>50% AMI</v>
      </c>
      <c r="R14" s="545">
        <f t="shared" si="19"/>
        <v>1</v>
      </c>
      <c r="S14" s="546">
        <f t="shared" si="20"/>
        <v>968</v>
      </c>
      <c r="T14" s="547">
        <f t="shared" si="21"/>
        <v>86</v>
      </c>
      <c r="U14" s="548">
        <f t="shared" si="6"/>
        <v>7320</v>
      </c>
      <c r="W14" s="545" t="str">
        <f t="shared" si="22"/>
        <v>2x2</v>
      </c>
      <c r="X14" s="550" t="str">
        <f t="shared" si="23"/>
        <v>50% AMI</v>
      </c>
      <c r="Y14" s="545">
        <f t="shared" si="24"/>
        <v>1</v>
      </c>
      <c r="Z14" s="546">
        <f t="shared" si="25"/>
        <v>968</v>
      </c>
      <c r="AA14" s="547">
        <f t="shared" si="26"/>
        <v>86</v>
      </c>
      <c r="AB14" s="549">
        <f t="shared" si="27"/>
        <v>7308</v>
      </c>
      <c r="AD14" s="545" t="str">
        <f t="shared" si="8"/>
        <v>2x2</v>
      </c>
      <c r="AE14" s="550" t="str">
        <f t="shared" si="9"/>
        <v>50% AMI</v>
      </c>
      <c r="AF14" s="545">
        <f t="shared" si="10"/>
        <v>1</v>
      </c>
      <c r="AG14" s="546">
        <f t="shared" si="11"/>
        <v>968</v>
      </c>
      <c r="AH14" s="547">
        <f t="shared" si="12"/>
        <v>86</v>
      </c>
      <c r="AI14" s="548">
        <f t="shared" si="13"/>
        <v>7320</v>
      </c>
    </row>
    <row r="15" spans="2:35" s="120" customFormat="1" ht="15.75" customHeight="1" x14ac:dyDescent="0.2">
      <c r="B15" s="551" t="str">
        <f>'Rent Roll'!C21</f>
        <v>2x2</v>
      </c>
      <c r="C15" s="552" t="str">
        <f>'Rent Roll'!D21</f>
        <v>60% AMI</v>
      </c>
      <c r="D15" s="551">
        <f>'Rent Roll'!E21</f>
        <v>2</v>
      </c>
      <c r="E15" s="553">
        <f>'Rent Roll'!F21</f>
        <v>968</v>
      </c>
      <c r="F15" s="554">
        <f>'Rent Roll'!K21</f>
        <v>86</v>
      </c>
      <c r="G15" s="555">
        <f>'Rent Roll'!M21</f>
        <v>851</v>
      </c>
      <c r="H15" s="549">
        <f t="shared" si="14"/>
        <v>765</v>
      </c>
      <c r="I15" s="556">
        <f>'Rent Roll'!O21</f>
        <v>778</v>
      </c>
      <c r="J15" s="557">
        <f t="shared" si="15"/>
        <v>692</v>
      </c>
      <c r="K15" s="558">
        <f>'Rent Roll'!G21</f>
        <v>0</v>
      </c>
      <c r="L15" s="559">
        <f>'Rent Roll'!L21</f>
        <v>721</v>
      </c>
      <c r="M15" s="559">
        <f>'Rent Roll'!J21</f>
        <v>635</v>
      </c>
      <c r="N15" s="548">
        <f t="shared" si="16"/>
        <v>15240</v>
      </c>
      <c r="P15" s="545" t="str">
        <f t="shared" si="17"/>
        <v>2x2</v>
      </c>
      <c r="Q15" s="550" t="str">
        <f t="shared" si="18"/>
        <v>60% AMI</v>
      </c>
      <c r="R15" s="545">
        <f t="shared" si="19"/>
        <v>2</v>
      </c>
      <c r="S15" s="546">
        <f t="shared" si="20"/>
        <v>968</v>
      </c>
      <c r="T15" s="547">
        <f t="shared" si="21"/>
        <v>86</v>
      </c>
      <c r="U15" s="548">
        <f t="shared" si="6"/>
        <v>15240</v>
      </c>
      <c r="W15" s="545" t="str">
        <f t="shared" si="22"/>
        <v>2x2</v>
      </c>
      <c r="X15" s="550" t="str">
        <f t="shared" si="23"/>
        <v>60% AMI</v>
      </c>
      <c r="Y15" s="545">
        <f t="shared" si="24"/>
        <v>2</v>
      </c>
      <c r="Z15" s="546">
        <f t="shared" si="25"/>
        <v>968</v>
      </c>
      <c r="AA15" s="547">
        <f t="shared" si="26"/>
        <v>86</v>
      </c>
      <c r="AB15" s="549">
        <f t="shared" si="27"/>
        <v>18360</v>
      </c>
      <c r="AD15" s="545" t="str">
        <f t="shared" si="8"/>
        <v>2x2</v>
      </c>
      <c r="AE15" s="550" t="str">
        <f t="shared" si="9"/>
        <v>60% AMI</v>
      </c>
      <c r="AF15" s="545">
        <f t="shared" si="10"/>
        <v>2</v>
      </c>
      <c r="AG15" s="546">
        <f t="shared" si="11"/>
        <v>968</v>
      </c>
      <c r="AH15" s="547">
        <f t="shared" si="12"/>
        <v>86</v>
      </c>
      <c r="AI15" s="548">
        <f t="shared" si="13"/>
        <v>18360</v>
      </c>
    </row>
    <row r="16" spans="2:35" s="120" customFormat="1" ht="15.75" customHeight="1" x14ac:dyDescent="0.2">
      <c r="B16" s="551" t="str">
        <f>'Rent Roll'!C22</f>
        <v>2x2</v>
      </c>
      <c r="C16" s="552" t="str">
        <f>'Rent Roll'!D22</f>
        <v>Market</v>
      </c>
      <c r="D16" s="551">
        <f>'Rent Roll'!E22</f>
        <v>0</v>
      </c>
      <c r="E16" s="553">
        <f>'Rent Roll'!F22</f>
        <v>968</v>
      </c>
      <c r="F16" s="554">
        <f>'Rent Roll'!K22</f>
        <v>0</v>
      </c>
      <c r="G16" s="555">
        <f>'Rent Roll'!M22</f>
        <v>0</v>
      </c>
      <c r="H16" s="549">
        <f t="shared" si="14"/>
        <v>0</v>
      </c>
      <c r="I16" s="556">
        <f>'Rent Roll'!O22</f>
        <v>778</v>
      </c>
      <c r="J16" s="557">
        <f t="shared" si="15"/>
        <v>778</v>
      </c>
      <c r="K16" s="558">
        <f>'Rent Roll'!G22</f>
        <v>0</v>
      </c>
      <c r="L16" s="559">
        <f>'Rent Roll'!L22</f>
        <v>0</v>
      </c>
      <c r="M16" s="559">
        <f>'Rent Roll'!J22</f>
        <v>0</v>
      </c>
      <c r="N16" s="548">
        <f t="shared" si="16"/>
        <v>0</v>
      </c>
      <c r="P16" s="545" t="str">
        <f t="shared" si="17"/>
        <v>2x2</v>
      </c>
      <c r="Q16" s="550" t="str">
        <f t="shared" si="18"/>
        <v>Market</v>
      </c>
      <c r="R16" s="545">
        <f t="shared" si="19"/>
        <v>0</v>
      </c>
      <c r="S16" s="546">
        <f t="shared" si="20"/>
        <v>968</v>
      </c>
      <c r="T16" s="547">
        <f t="shared" si="21"/>
        <v>0</v>
      </c>
      <c r="U16" s="548">
        <f t="shared" si="6"/>
        <v>0</v>
      </c>
      <c r="W16" s="545" t="str">
        <f t="shared" si="22"/>
        <v>2x2</v>
      </c>
      <c r="X16" s="550" t="str">
        <f t="shared" si="23"/>
        <v>Market</v>
      </c>
      <c r="Y16" s="545">
        <f t="shared" si="24"/>
        <v>0</v>
      </c>
      <c r="Z16" s="546">
        <f t="shared" si="25"/>
        <v>968</v>
      </c>
      <c r="AA16" s="547">
        <f t="shared" si="26"/>
        <v>0</v>
      </c>
      <c r="AB16" s="549">
        <f t="shared" si="27"/>
        <v>0</v>
      </c>
      <c r="AD16" s="545" t="str">
        <f t="shared" si="8"/>
        <v>2x2</v>
      </c>
      <c r="AE16" s="550" t="str">
        <f t="shared" si="9"/>
        <v>Market</v>
      </c>
      <c r="AF16" s="545">
        <f t="shared" si="10"/>
        <v>0</v>
      </c>
      <c r="AG16" s="546">
        <f t="shared" si="11"/>
        <v>968</v>
      </c>
      <c r="AH16" s="547">
        <f t="shared" si="12"/>
        <v>0</v>
      </c>
      <c r="AI16" s="548">
        <f t="shared" si="13"/>
        <v>0</v>
      </c>
    </row>
    <row r="17" spans="2:35" s="120" customFormat="1" ht="15.75" customHeight="1" x14ac:dyDescent="0.2">
      <c r="B17" s="551" t="str">
        <f>'Rent Roll'!C23</f>
        <v>2x2 (TH)</v>
      </c>
      <c r="C17" s="552" t="str">
        <f>'Rent Roll'!D23</f>
        <v>40% AMI</v>
      </c>
      <c r="D17" s="551">
        <f>'Rent Roll'!E23</f>
        <v>1</v>
      </c>
      <c r="E17" s="553">
        <f>'Rent Roll'!F23</f>
        <v>1058</v>
      </c>
      <c r="F17" s="554">
        <f>'Rent Roll'!K23</f>
        <v>86</v>
      </c>
      <c r="G17" s="555">
        <f>'Rent Roll'!M23</f>
        <v>539</v>
      </c>
      <c r="H17" s="549">
        <f t="shared" si="14"/>
        <v>453</v>
      </c>
      <c r="I17" s="556">
        <f>'Rent Roll'!O23</f>
        <v>778</v>
      </c>
      <c r="J17" s="557">
        <f t="shared" si="15"/>
        <v>692</v>
      </c>
      <c r="K17" s="558">
        <f>'Rent Roll'!G23</f>
        <v>0</v>
      </c>
      <c r="L17" s="559">
        <f>'Rent Roll'!L23</f>
        <v>536</v>
      </c>
      <c r="M17" s="559">
        <f>'Rent Roll'!J23</f>
        <v>450</v>
      </c>
      <c r="N17" s="548">
        <f t="shared" si="16"/>
        <v>5400</v>
      </c>
      <c r="P17" s="545" t="str">
        <f t="shared" si="17"/>
        <v>2x2 (TH)</v>
      </c>
      <c r="Q17" s="550" t="str">
        <f t="shared" si="18"/>
        <v>40% AMI</v>
      </c>
      <c r="R17" s="545">
        <f t="shared" si="19"/>
        <v>1</v>
      </c>
      <c r="S17" s="546">
        <f t="shared" si="20"/>
        <v>1058</v>
      </c>
      <c r="T17" s="547">
        <f t="shared" si="21"/>
        <v>86</v>
      </c>
      <c r="U17" s="548">
        <f t="shared" si="6"/>
        <v>5400</v>
      </c>
      <c r="W17" s="545" t="str">
        <f t="shared" si="22"/>
        <v>2x2 (TH)</v>
      </c>
      <c r="X17" s="550" t="str">
        <f t="shared" si="23"/>
        <v>40% AMI</v>
      </c>
      <c r="Y17" s="545">
        <f t="shared" si="24"/>
        <v>1</v>
      </c>
      <c r="Z17" s="546">
        <f t="shared" si="25"/>
        <v>1058</v>
      </c>
      <c r="AA17" s="547">
        <f t="shared" si="26"/>
        <v>86</v>
      </c>
      <c r="AB17" s="549">
        <f t="shared" si="27"/>
        <v>5436</v>
      </c>
      <c r="AD17" s="545" t="str">
        <f t="shared" si="8"/>
        <v>2x2 (TH)</v>
      </c>
      <c r="AE17" s="550" t="str">
        <f t="shared" si="9"/>
        <v>40% AMI</v>
      </c>
      <c r="AF17" s="545">
        <f t="shared" si="10"/>
        <v>1</v>
      </c>
      <c r="AG17" s="546">
        <f t="shared" si="11"/>
        <v>1058</v>
      </c>
      <c r="AH17" s="547">
        <f t="shared" si="12"/>
        <v>86</v>
      </c>
      <c r="AI17" s="548">
        <f t="shared" si="13"/>
        <v>5436</v>
      </c>
    </row>
    <row r="18" spans="2:35" s="120" customFormat="1" ht="15.75" customHeight="1" x14ac:dyDescent="0.2">
      <c r="B18" s="551" t="str">
        <f>'Rent Roll'!C24</f>
        <v>2x2 (TH)</v>
      </c>
      <c r="C18" s="552" t="str">
        <f>'Rent Roll'!D24</f>
        <v>50% AMI</v>
      </c>
      <c r="D18" s="551">
        <f>'Rent Roll'!E24</f>
        <v>1</v>
      </c>
      <c r="E18" s="553">
        <f>'Rent Roll'!F24</f>
        <v>1058</v>
      </c>
      <c r="F18" s="554">
        <f>'Rent Roll'!K24</f>
        <v>86</v>
      </c>
      <c r="G18" s="555">
        <f>'Rent Roll'!M24</f>
        <v>695</v>
      </c>
      <c r="H18" s="549">
        <f t="shared" si="14"/>
        <v>609</v>
      </c>
      <c r="I18" s="556">
        <f>'Rent Roll'!O24</f>
        <v>778</v>
      </c>
      <c r="J18" s="557">
        <f t="shared" si="15"/>
        <v>692</v>
      </c>
      <c r="K18" s="558">
        <f>'Rent Roll'!G24</f>
        <v>0</v>
      </c>
      <c r="L18" s="559">
        <f>'Rent Roll'!L24</f>
        <v>146</v>
      </c>
      <c r="M18" s="559">
        <f>'Rent Roll'!J24</f>
        <v>60</v>
      </c>
      <c r="N18" s="548">
        <f t="shared" si="16"/>
        <v>720</v>
      </c>
      <c r="P18" s="545" t="str">
        <f t="shared" si="17"/>
        <v>2x2 (TH)</v>
      </c>
      <c r="Q18" s="550" t="str">
        <f t="shared" si="18"/>
        <v>50% AMI</v>
      </c>
      <c r="R18" s="545">
        <f t="shared" si="19"/>
        <v>1</v>
      </c>
      <c r="S18" s="546">
        <f t="shared" si="20"/>
        <v>1058</v>
      </c>
      <c r="T18" s="547">
        <f t="shared" si="21"/>
        <v>86</v>
      </c>
      <c r="U18" s="548">
        <f t="shared" si="6"/>
        <v>720</v>
      </c>
      <c r="W18" s="545" t="str">
        <f t="shared" si="22"/>
        <v>2x2 (TH)</v>
      </c>
      <c r="X18" s="550" t="str">
        <f t="shared" si="23"/>
        <v>50% AMI</v>
      </c>
      <c r="Y18" s="545">
        <f t="shared" si="24"/>
        <v>1</v>
      </c>
      <c r="Z18" s="546">
        <f t="shared" si="25"/>
        <v>1058</v>
      </c>
      <c r="AA18" s="547">
        <f t="shared" si="26"/>
        <v>86</v>
      </c>
      <c r="AB18" s="549">
        <f t="shared" si="27"/>
        <v>7308</v>
      </c>
      <c r="AD18" s="545" t="str">
        <f t="shared" si="8"/>
        <v>2x2 (TH)</v>
      </c>
      <c r="AE18" s="550" t="str">
        <f t="shared" si="9"/>
        <v>50% AMI</v>
      </c>
      <c r="AF18" s="545">
        <f t="shared" si="10"/>
        <v>1</v>
      </c>
      <c r="AG18" s="546">
        <f t="shared" si="11"/>
        <v>1058</v>
      </c>
      <c r="AH18" s="547">
        <f t="shared" si="12"/>
        <v>86</v>
      </c>
      <c r="AI18" s="548">
        <f t="shared" si="13"/>
        <v>7308</v>
      </c>
    </row>
    <row r="19" spans="2:35" s="120" customFormat="1" ht="15.75" customHeight="1" x14ac:dyDescent="0.2">
      <c r="B19" s="551" t="str">
        <f>'Rent Roll'!C25</f>
        <v>2x2 (TH)</v>
      </c>
      <c r="C19" s="552" t="str">
        <f>'Rent Roll'!D25</f>
        <v>60% AMI</v>
      </c>
      <c r="D19" s="551">
        <f>'Rent Roll'!E25</f>
        <v>16</v>
      </c>
      <c r="E19" s="553">
        <f>'Rent Roll'!F25</f>
        <v>1058</v>
      </c>
      <c r="F19" s="554">
        <f>'Rent Roll'!K25</f>
        <v>86</v>
      </c>
      <c r="G19" s="555">
        <f>'Rent Roll'!M25</f>
        <v>851</v>
      </c>
      <c r="H19" s="549">
        <f t="shared" si="14"/>
        <v>765</v>
      </c>
      <c r="I19" s="556">
        <f>'Rent Roll'!O25</f>
        <v>778</v>
      </c>
      <c r="J19" s="557">
        <f t="shared" si="15"/>
        <v>692</v>
      </c>
      <c r="K19" s="558">
        <f>'Rent Roll'!G25</f>
        <v>0</v>
      </c>
      <c r="L19" s="559">
        <f>'Rent Roll'!L25</f>
        <v>776</v>
      </c>
      <c r="M19" s="559">
        <f>'Rent Roll'!J25</f>
        <v>690</v>
      </c>
      <c r="N19" s="548">
        <f t="shared" si="16"/>
        <v>132480</v>
      </c>
      <c r="P19" s="545" t="str">
        <f t="shared" si="17"/>
        <v>2x2 (TH)</v>
      </c>
      <c r="Q19" s="550" t="str">
        <f t="shared" si="18"/>
        <v>60% AMI</v>
      </c>
      <c r="R19" s="545">
        <f t="shared" si="19"/>
        <v>16</v>
      </c>
      <c r="S19" s="546">
        <f t="shared" si="20"/>
        <v>1058</v>
      </c>
      <c r="T19" s="547">
        <f t="shared" si="21"/>
        <v>86</v>
      </c>
      <c r="U19" s="548">
        <f t="shared" si="6"/>
        <v>132480</v>
      </c>
      <c r="W19" s="545" t="str">
        <f t="shared" si="22"/>
        <v>2x2 (TH)</v>
      </c>
      <c r="X19" s="550" t="str">
        <f t="shared" si="23"/>
        <v>60% AMI</v>
      </c>
      <c r="Y19" s="545">
        <f t="shared" si="24"/>
        <v>16</v>
      </c>
      <c r="Z19" s="546">
        <f t="shared" si="25"/>
        <v>1058</v>
      </c>
      <c r="AA19" s="547">
        <f t="shared" si="26"/>
        <v>86</v>
      </c>
      <c r="AB19" s="549">
        <f t="shared" si="27"/>
        <v>146880</v>
      </c>
      <c r="AD19" s="545" t="str">
        <f t="shared" si="8"/>
        <v>2x2 (TH)</v>
      </c>
      <c r="AE19" s="550" t="str">
        <f t="shared" si="9"/>
        <v>60% AMI</v>
      </c>
      <c r="AF19" s="545">
        <f t="shared" si="10"/>
        <v>16</v>
      </c>
      <c r="AG19" s="546">
        <f t="shared" si="11"/>
        <v>1058</v>
      </c>
      <c r="AH19" s="547">
        <f t="shared" si="12"/>
        <v>86</v>
      </c>
      <c r="AI19" s="548">
        <f t="shared" si="13"/>
        <v>146880</v>
      </c>
    </row>
    <row r="20" spans="2:35" s="120" customFormat="1" ht="15.75" customHeight="1" x14ac:dyDescent="0.2">
      <c r="B20" s="551" t="str">
        <f>'Rent Roll'!C26</f>
        <v>2x2 (TH)</v>
      </c>
      <c r="C20" s="552" t="str">
        <f>'Rent Roll'!D26</f>
        <v>Market</v>
      </c>
      <c r="D20" s="551">
        <f>'Rent Roll'!E26</f>
        <v>1</v>
      </c>
      <c r="E20" s="553">
        <f>'Rent Roll'!F26</f>
        <v>1058</v>
      </c>
      <c r="F20" s="554">
        <f>'Rent Roll'!K26</f>
        <v>0</v>
      </c>
      <c r="G20" s="555">
        <f>'Rent Roll'!M26</f>
        <v>0</v>
      </c>
      <c r="H20" s="549">
        <f t="shared" si="14"/>
        <v>0</v>
      </c>
      <c r="I20" s="556">
        <f>'Rent Roll'!O26</f>
        <v>778</v>
      </c>
      <c r="J20" s="557">
        <f t="shared" si="15"/>
        <v>778</v>
      </c>
      <c r="K20" s="558">
        <f>'Rent Roll'!G26</f>
        <v>0</v>
      </c>
      <c r="L20" s="559">
        <f>'Rent Roll'!L26</f>
        <v>750</v>
      </c>
      <c r="M20" s="559">
        <f>'Rent Roll'!J26</f>
        <v>750</v>
      </c>
      <c r="N20" s="548">
        <f t="shared" si="16"/>
        <v>9000</v>
      </c>
      <c r="P20" s="545" t="str">
        <f t="shared" si="17"/>
        <v>2x2 (TH)</v>
      </c>
      <c r="Q20" s="550" t="str">
        <f t="shared" si="18"/>
        <v>Market</v>
      </c>
      <c r="R20" s="545">
        <f t="shared" si="19"/>
        <v>1</v>
      </c>
      <c r="S20" s="546">
        <f t="shared" si="20"/>
        <v>1058</v>
      </c>
      <c r="T20" s="547">
        <f t="shared" si="21"/>
        <v>0</v>
      </c>
      <c r="U20" s="548">
        <f t="shared" si="6"/>
        <v>9000</v>
      </c>
      <c r="W20" s="545" t="str">
        <f t="shared" si="22"/>
        <v>2x2 (TH)</v>
      </c>
      <c r="X20" s="550" t="str">
        <f t="shared" si="23"/>
        <v>Market</v>
      </c>
      <c r="Y20" s="545">
        <f t="shared" si="24"/>
        <v>1</v>
      </c>
      <c r="Z20" s="546">
        <f t="shared" si="25"/>
        <v>1058</v>
      </c>
      <c r="AA20" s="547">
        <f t="shared" si="26"/>
        <v>0</v>
      </c>
      <c r="AB20" s="549">
        <f t="shared" si="27"/>
        <v>0</v>
      </c>
      <c r="AD20" s="545" t="str">
        <f t="shared" si="8"/>
        <v>2x2 (TH)</v>
      </c>
      <c r="AE20" s="550" t="str">
        <f t="shared" si="9"/>
        <v>Market</v>
      </c>
      <c r="AF20" s="545">
        <f t="shared" si="10"/>
        <v>1</v>
      </c>
      <c r="AG20" s="546">
        <f t="shared" si="11"/>
        <v>1058</v>
      </c>
      <c r="AH20" s="547">
        <f t="shared" si="12"/>
        <v>0</v>
      </c>
      <c r="AI20" s="548">
        <f t="shared" si="13"/>
        <v>9000</v>
      </c>
    </row>
    <row r="21" spans="2:35" s="120" customFormat="1" ht="15.75" customHeight="1" x14ac:dyDescent="0.2">
      <c r="B21" s="551" t="str">
        <f>'Rent Roll'!C27</f>
        <v xml:space="preserve">2x1.5-2x2 </v>
      </c>
      <c r="C21" s="552" t="str">
        <f>'Rent Roll'!D27</f>
        <v>S8 Voucher</v>
      </c>
      <c r="D21" s="551">
        <f>'Rent Roll'!E27</f>
        <v>18</v>
      </c>
      <c r="E21" s="553">
        <f>'Rent Roll'!F27</f>
        <v>0</v>
      </c>
      <c r="F21" s="554">
        <f>'Rent Roll'!K27</f>
        <v>86</v>
      </c>
      <c r="G21" s="555">
        <f>'Rent Roll'!M27</f>
        <v>851</v>
      </c>
      <c r="H21" s="549">
        <f t="shared" si="14"/>
        <v>765</v>
      </c>
      <c r="I21" s="556">
        <f>'Rent Roll'!O27</f>
        <v>778</v>
      </c>
      <c r="J21" s="557">
        <f t="shared" si="15"/>
        <v>692</v>
      </c>
      <c r="K21" s="558">
        <f>'Rent Roll'!G27</f>
        <v>0</v>
      </c>
      <c r="L21" s="559">
        <f>'Rent Roll'!L27</f>
        <v>822</v>
      </c>
      <c r="M21" s="559">
        <f>'Rent Roll'!J27</f>
        <v>736</v>
      </c>
      <c r="N21" s="548">
        <f t="shared" si="16"/>
        <v>158976</v>
      </c>
      <c r="P21" s="545" t="str">
        <f t="shared" si="17"/>
        <v xml:space="preserve">2x1.5-2x2 </v>
      </c>
      <c r="Q21" s="550" t="str">
        <f t="shared" si="18"/>
        <v>S8 Voucher</v>
      </c>
      <c r="R21" s="545">
        <f t="shared" si="19"/>
        <v>18</v>
      </c>
      <c r="S21" s="546">
        <f t="shared" si="20"/>
        <v>0</v>
      </c>
      <c r="T21" s="547">
        <f t="shared" si="21"/>
        <v>86</v>
      </c>
      <c r="U21" s="548">
        <f t="shared" si="6"/>
        <v>158976</v>
      </c>
      <c r="W21" s="545" t="str">
        <f t="shared" si="22"/>
        <v xml:space="preserve">2x1.5-2x2 </v>
      </c>
      <c r="X21" s="550" t="str">
        <f t="shared" si="23"/>
        <v>S8 Voucher</v>
      </c>
      <c r="Y21" s="545">
        <f t="shared" si="24"/>
        <v>18</v>
      </c>
      <c r="Z21" s="546">
        <f t="shared" si="25"/>
        <v>0</v>
      </c>
      <c r="AA21" s="547">
        <f t="shared" si="26"/>
        <v>86</v>
      </c>
      <c r="AB21" s="549">
        <f t="shared" si="27"/>
        <v>165240</v>
      </c>
      <c r="AD21" s="545" t="str">
        <f t="shared" si="8"/>
        <v xml:space="preserve">2x1.5-2x2 </v>
      </c>
      <c r="AE21" s="550" t="str">
        <f t="shared" si="9"/>
        <v>S8 Voucher</v>
      </c>
      <c r="AF21" s="545">
        <f t="shared" si="10"/>
        <v>18</v>
      </c>
      <c r="AG21" s="546">
        <f t="shared" si="11"/>
        <v>0</v>
      </c>
      <c r="AH21" s="547">
        <f t="shared" si="12"/>
        <v>86</v>
      </c>
      <c r="AI21" s="548">
        <f t="shared" si="13"/>
        <v>165240</v>
      </c>
    </row>
    <row r="22" spans="2:35" s="120" customFormat="1" ht="15.75" customHeight="1" x14ac:dyDescent="0.2">
      <c r="B22" s="551" t="str">
        <f>'Rent Roll'!C28</f>
        <v>3x2 (TH)</v>
      </c>
      <c r="C22" s="552" t="str">
        <f>'Rent Roll'!D28</f>
        <v>50% AMI</v>
      </c>
      <c r="D22" s="551">
        <f>'Rent Roll'!E28</f>
        <v>2</v>
      </c>
      <c r="E22" s="553">
        <f>'Rent Roll'!F28</f>
        <v>1296</v>
      </c>
      <c r="F22" s="554">
        <f>'Rent Roll'!K28</f>
        <v>107</v>
      </c>
      <c r="G22" s="555">
        <f>'Rent Roll'!M28</f>
        <v>795</v>
      </c>
      <c r="H22" s="549">
        <f t="shared" si="14"/>
        <v>688</v>
      </c>
      <c r="I22" s="556">
        <f>'Rent Roll'!O28</f>
        <v>1023</v>
      </c>
      <c r="J22" s="557">
        <f t="shared" si="15"/>
        <v>916</v>
      </c>
      <c r="K22" s="558">
        <f>'Rent Roll'!G28</f>
        <v>0</v>
      </c>
      <c r="L22" s="559">
        <f>'Rent Roll'!L28</f>
        <v>787</v>
      </c>
      <c r="M22" s="559">
        <f>'Rent Roll'!J28</f>
        <v>680</v>
      </c>
      <c r="N22" s="548">
        <f t="shared" si="16"/>
        <v>16320</v>
      </c>
      <c r="P22" s="545" t="str">
        <f t="shared" si="17"/>
        <v>3x2 (TH)</v>
      </c>
      <c r="Q22" s="550" t="str">
        <f t="shared" si="18"/>
        <v>50% AMI</v>
      </c>
      <c r="R22" s="545">
        <f t="shared" si="19"/>
        <v>2</v>
      </c>
      <c r="S22" s="546">
        <f t="shared" si="20"/>
        <v>1296</v>
      </c>
      <c r="T22" s="547">
        <f t="shared" si="21"/>
        <v>107</v>
      </c>
      <c r="U22" s="548">
        <f t="shared" si="6"/>
        <v>16320</v>
      </c>
      <c r="W22" s="545" t="str">
        <f t="shared" si="22"/>
        <v>3x2 (TH)</v>
      </c>
      <c r="X22" s="550" t="str">
        <f t="shared" si="23"/>
        <v>50% AMI</v>
      </c>
      <c r="Y22" s="545">
        <f t="shared" si="24"/>
        <v>2</v>
      </c>
      <c r="Z22" s="546">
        <f t="shared" si="25"/>
        <v>1296</v>
      </c>
      <c r="AA22" s="547">
        <f t="shared" si="26"/>
        <v>107</v>
      </c>
      <c r="AB22" s="549">
        <f t="shared" si="27"/>
        <v>16512</v>
      </c>
      <c r="AD22" s="545" t="str">
        <f t="shared" si="8"/>
        <v>3x2 (TH)</v>
      </c>
      <c r="AE22" s="550" t="str">
        <f t="shared" si="9"/>
        <v>50% AMI</v>
      </c>
      <c r="AF22" s="545">
        <f t="shared" si="10"/>
        <v>2</v>
      </c>
      <c r="AG22" s="546">
        <f t="shared" si="11"/>
        <v>1296</v>
      </c>
      <c r="AH22" s="547">
        <f t="shared" si="12"/>
        <v>107</v>
      </c>
      <c r="AI22" s="548">
        <f t="shared" si="13"/>
        <v>16512</v>
      </c>
    </row>
    <row r="23" spans="2:35" s="120" customFormat="1" ht="15.75" customHeight="1" x14ac:dyDescent="0.2">
      <c r="B23" s="551" t="str">
        <f>'Rent Roll'!C29</f>
        <v>3x2 (TH)</v>
      </c>
      <c r="C23" s="552" t="str">
        <f>'Rent Roll'!D29</f>
        <v>60% AMI</v>
      </c>
      <c r="D23" s="551">
        <f>'Rent Roll'!E29</f>
        <v>7</v>
      </c>
      <c r="E23" s="553">
        <f>'Rent Roll'!F29</f>
        <v>1296</v>
      </c>
      <c r="F23" s="554">
        <f>'Rent Roll'!K29</f>
        <v>107</v>
      </c>
      <c r="G23" s="555">
        <f>'Rent Roll'!M29</f>
        <v>976</v>
      </c>
      <c r="H23" s="549">
        <f t="shared" si="14"/>
        <v>869</v>
      </c>
      <c r="I23" s="556">
        <f>'Rent Roll'!O29</f>
        <v>1023</v>
      </c>
      <c r="J23" s="557">
        <f t="shared" si="15"/>
        <v>916</v>
      </c>
      <c r="K23" s="558">
        <f>'Rent Roll'!G29</f>
        <v>0</v>
      </c>
      <c r="L23" s="559">
        <f>'Rent Roll'!L29</f>
        <v>803</v>
      </c>
      <c r="M23" s="559">
        <f>'Rent Roll'!J29</f>
        <v>696</v>
      </c>
      <c r="N23" s="548">
        <f t="shared" si="16"/>
        <v>58464</v>
      </c>
      <c r="P23" s="545" t="str">
        <f t="shared" si="17"/>
        <v>3x2 (TH)</v>
      </c>
      <c r="Q23" s="550" t="str">
        <f t="shared" si="18"/>
        <v>60% AMI</v>
      </c>
      <c r="R23" s="545">
        <f t="shared" si="19"/>
        <v>7</v>
      </c>
      <c r="S23" s="546">
        <f t="shared" si="20"/>
        <v>1296</v>
      </c>
      <c r="T23" s="547">
        <f t="shared" si="21"/>
        <v>107</v>
      </c>
      <c r="U23" s="548">
        <f t="shared" si="6"/>
        <v>58464</v>
      </c>
      <c r="W23" s="545" t="str">
        <f t="shared" si="22"/>
        <v>3x2 (TH)</v>
      </c>
      <c r="X23" s="550" t="str">
        <f t="shared" si="23"/>
        <v>60% AMI</v>
      </c>
      <c r="Y23" s="545">
        <f t="shared" si="24"/>
        <v>7</v>
      </c>
      <c r="Z23" s="546">
        <f t="shared" si="25"/>
        <v>1296</v>
      </c>
      <c r="AA23" s="547">
        <f t="shared" si="26"/>
        <v>107</v>
      </c>
      <c r="AB23" s="549">
        <f t="shared" si="27"/>
        <v>72996</v>
      </c>
      <c r="AD23" s="545" t="str">
        <f t="shared" si="8"/>
        <v>3x2 (TH)</v>
      </c>
      <c r="AE23" s="550" t="str">
        <f t="shared" si="9"/>
        <v>60% AMI</v>
      </c>
      <c r="AF23" s="545">
        <f t="shared" si="10"/>
        <v>7</v>
      </c>
      <c r="AG23" s="546">
        <f t="shared" si="11"/>
        <v>1296</v>
      </c>
      <c r="AH23" s="547">
        <f t="shared" si="12"/>
        <v>107</v>
      </c>
      <c r="AI23" s="548">
        <f t="shared" si="13"/>
        <v>72996</v>
      </c>
    </row>
    <row r="24" spans="2:35" s="120" customFormat="1" ht="15.75" customHeight="1" x14ac:dyDescent="0.2">
      <c r="B24" s="551" t="str">
        <f>'Rent Roll'!C30</f>
        <v>3x2 (TH)</v>
      </c>
      <c r="C24" s="552" t="str">
        <f>'Rent Roll'!D30</f>
        <v>Market</v>
      </c>
      <c r="D24" s="551">
        <f>'Rent Roll'!E30</f>
        <v>0</v>
      </c>
      <c r="E24" s="553">
        <f>'Rent Roll'!F30</f>
        <v>1296</v>
      </c>
      <c r="F24" s="554">
        <f>'Rent Roll'!K30</f>
        <v>0</v>
      </c>
      <c r="G24" s="555">
        <f>'Rent Roll'!M30</f>
        <v>0</v>
      </c>
      <c r="H24" s="549">
        <f t="shared" si="14"/>
        <v>0</v>
      </c>
      <c r="I24" s="556">
        <f>'Rent Roll'!O30</f>
        <v>1023</v>
      </c>
      <c r="J24" s="557">
        <f t="shared" si="15"/>
        <v>1023</v>
      </c>
      <c r="K24" s="558">
        <f>'Rent Roll'!G30</f>
        <v>0</v>
      </c>
      <c r="L24" s="559">
        <f>'Rent Roll'!L30</f>
        <v>0</v>
      </c>
      <c r="M24" s="559">
        <f>'Rent Roll'!J30</f>
        <v>0</v>
      </c>
      <c r="N24" s="548">
        <f t="shared" si="16"/>
        <v>0</v>
      </c>
      <c r="P24" s="545" t="str">
        <f t="shared" si="17"/>
        <v>3x2 (TH)</v>
      </c>
      <c r="Q24" s="550" t="str">
        <f t="shared" si="18"/>
        <v>Market</v>
      </c>
      <c r="R24" s="545">
        <f t="shared" si="19"/>
        <v>0</v>
      </c>
      <c r="S24" s="546">
        <f t="shared" si="20"/>
        <v>1296</v>
      </c>
      <c r="T24" s="547">
        <f t="shared" si="21"/>
        <v>0</v>
      </c>
      <c r="U24" s="548">
        <f t="shared" si="6"/>
        <v>0</v>
      </c>
      <c r="W24" s="545" t="str">
        <f t="shared" si="22"/>
        <v>3x2 (TH)</v>
      </c>
      <c r="X24" s="550" t="str">
        <f t="shared" si="23"/>
        <v>Market</v>
      </c>
      <c r="Y24" s="545">
        <f t="shared" si="24"/>
        <v>0</v>
      </c>
      <c r="Z24" s="546">
        <f t="shared" si="25"/>
        <v>1296</v>
      </c>
      <c r="AA24" s="547">
        <f t="shared" si="26"/>
        <v>0</v>
      </c>
      <c r="AB24" s="549">
        <f t="shared" si="27"/>
        <v>0</v>
      </c>
      <c r="AD24" s="545" t="str">
        <f t="shared" si="8"/>
        <v>3x2 (TH)</v>
      </c>
      <c r="AE24" s="550" t="str">
        <f t="shared" si="9"/>
        <v>Market</v>
      </c>
      <c r="AF24" s="545">
        <f t="shared" si="10"/>
        <v>0</v>
      </c>
      <c r="AG24" s="546">
        <f t="shared" si="11"/>
        <v>1296</v>
      </c>
      <c r="AH24" s="547">
        <f t="shared" si="12"/>
        <v>0</v>
      </c>
      <c r="AI24" s="548">
        <f t="shared" si="13"/>
        <v>0</v>
      </c>
    </row>
    <row r="25" spans="2:35" s="120" customFormat="1" ht="15.75" customHeight="1" x14ac:dyDescent="0.2">
      <c r="B25" s="551" t="str">
        <f>'Rent Roll'!C31</f>
        <v>3x2 (TH)</v>
      </c>
      <c r="C25" s="552" t="str">
        <f>'Rent Roll'!D31</f>
        <v>S8 Voucher</v>
      </c>
      <c r="D25" s="551">
        <f>'Rent Roll'!E31</f>
        <v>11</v>
      </c>
      <c r="E25" s="553">
        <f>'Rent Roll'!F31</f>
        <v>1296</v>
      </c>
      <c r="F25" s="554">
        <f>'Rent Roll'!K31</f>
        <v>107</v>
      </c>
      <c r="G25" s="555">
        <f>'Rent Roll'!M31</f>
        <v>976</v>
      </c>
      <c r="H25" s="549">
        <f t="shared" si="14"/>
        <v>869</v>
      </c>
      <c r="I25" s="556">
        <f>'Rent Roll'!O31</f>
        <v>1023</v>
      </c>
      <c r="J25" s="557">
        <f t="shared" si="15"/>
        <v>916</v>
      </c>
      <c r="K25" s="558">
        <f>'Rent Roll'!G31</f>
        <v>0</v>
      </c>
      <c r="L25" s="559">
        <f>'Rent Roll'!L31</f>
        <v>935</v>
      </c>
      <c r="M25" s="559">
        <f>'Rent Roll'!J31</f>
        <v>828</v>
      </c>
      <c r="N25" s="548">
        <f t="shared" si="16"/>
        <v>109296</v>
      </c>
      <c r="P25" s="545" t="str">
        <f t="shared" si="17"/>
        <v>3x2 (TH)</v>
      </c>
      <c r="Q25" s="550" t="str">
        <f t="shared" si="18"/>
        <v>S8 Voucher</v>
      </c>
      <c r="R25" s="545">
        <f t="shared" si="19"/>
        <v>11</v>
      </c>
      <c r="S25" s="546">
        <f t="shared" si="20"/>
        <v>1296</v>
      </c>
      <c r="T25" s="547">
        <f t="shared" si="21"/>
        <v>107</v>
      </c>
      <c r="U25" s="548">
        <f t="shared" si="6"/>
        <v>109296</v>
      </c>
      <c r="W25" s="545" t="str">
        <f t="shared" si="22"/>
        <v>3x2 (TH)</v>
      </c>
      <c r="X25" s="550" t="str">
        <f t="shared" si="23"/>
        <v>S8 Voucher</v>
      </c>
      <c r="Y25" s="545">
        <f t="shared" si="24"/>
        <v>11</v>
      </c>
      <c r="Z25" s="546">
        <f t="shared" si="25"/>
        <v>1296</v>
      </c>
      <c r="AA25" s="547">
        <f t="shared" si="26"/>
        <v>107</v>
      </c>
      <c r="AB25" s="549">
        <f t="shared" si="27"/>
        <v>114708</v>
      </c>
      <c r="AD25" s="545" t="str">
        <f t="shared" si="8"/>
        <v>3x2 (TH)</v>
      </c>
      <c r="AE25" s="550" t="str">
        <f t="shared" si="9"/>
        <v>S8 Voucher</v>
      </c>
      <c r="AF25" s="545">
        <f t="shared" si="10"/>
        <v>11</v>
      </c>
      <c r="AG25" s="546">
        <f t="shared" si="11"/>
        <v>1296</v>
      </c>
      <c r="AH25" s="547">
        <f t="shared" si="12"/>
        <v>107</v>
      </c>
      <c r="AI25" s="548">
        <f t="shared" si="13"/>
        <v>114708</v>
      </c>
    </row>
    <row r="26" spans="2:35" s="120" customFormat="1" ht="15.75" customHeight="1" x14ac:dyDescent="0.2">
      <c r="B26" s="198" t="s">
        <v>295</v>
      </c>
      <c r="C26" s="122"/>
      <c r="D26" s="166">
        <f>SUM(D7:D25)</f>
        <v>72</v>
      </c>
      <c r="E26" s="166">
        <f>+SUMPRODUCT(E7:E25,$D7:$D25)</f>
        <v>59002</v>
      </c>
      <c r="F26" s="165">
        <f t="shared" ref="F26:L26" si="28">+SUMPRODUCT(F7:F25,$D7:$D25)</f>
        <v>6335</v>
      </c>
      <c r="G26" s="165">
        <f t="shared" si="28"/>
        <v>59694</v>
      </c>
      <c r="H26" s="165">
        <f t="shared" si="28"/>
        <v>53359</v>
      </c>
      <c r="I26" s="165">
        <f t="shared" si="28"/>
        <v>60346</v>
      </c>
      <c r="J26" s="165">
        <f t="shared" si="28"/>
        <v>54011</v>
      </c>
      <c r="K26" s="165">
        <f t="shared" si="28"/>
        <v>0</v>
      </c>
      <c r="L26" s="165">
        <f t="shared" si="28"/>
        <v>55808</v>
      </c>
      <c r="M26" s="165">
        <f>+SUMPRODUCT(M7:M25,$D7:$D25)</f>
        <v>49473</v>
      </c>
      <c r="N26" s="165">
        <f>SUM(N7:N25)</f>
        <v>593676</v>
      </c>
      <c r="P26" s="198" t="s">
        <v>295</v>
      </c>
      <c r="Q26" s="122"/>
      <c r="R26" s="560">
        <f>SUM(R7:R25)</f>
        <v>72</v>
      </c>
      <c r="S26" s="560">
        <f>+SUMPRODUCT(S7:S25,$R7:$R25)</f>
        <v>59002</v>
      </c>
      <c r="T26" s="165">
        <f>+SUMPRODUCT(T7:T25,$R7:$R25)</f>
        <v>6335</v>
      </c>
      <c r="U26" s="165">
        <f>SUM(U7:U25)</f>
        <v>593676</v>
      </c>
      <c r="W26" s="198" t="s">
        <v>295</v>
      </c>
      <c r="X26" s="122"/>
      <c r="Y26" s="560">
        <f>SUM(Y7:Y25)</f>
        <v>72</v>
      </c>
      <c r="Z26" s="560">
        <f>+SUMPRODUCT(Z7:Z25,$Y7:$Y25)</f>
        <v>59002</v>
      </c>
      <c r="AA26" s="165">
        <f>+SUMPRODUCT(AA7:AA25,$Y7:$Y25)</f>
        <v>6335</v>
      </c>
      <c r="AB26" s="165">
        <f>SUM(AB7:AB25)</f>
        <v>640308</v>
      </c>
      <c r="AC26" s="122"/>
      <c r="AD26" s="198" t="s">
        <v>295</v>
      </c>
      <c r="AE26" s="122"/>
      <c r="AF26" s="560">
        <f>SUM(AF7:AF25)</f>
        <v>72</v>
      </c>
      <c r="AG26" s="560">
        <f>+SUMPRODUCT(AG7:AG25,$AF7:$AF25)</f>
        <v>59002</v>
      </c>
      <c r="AH26" s="165">
        <f>+SUMPRODUCT(AH7:AH25,$AF7:$AF25)</f>
        <v>6335</v>
      </c>
      <c r="AI26" s="165">
        <f>SUM(AI7:AI25)</f>
        <v>656580</v>
      </c>
    </row>
    <row r="27" spans="2:35" s="120" customFormat="1" ht="15.75" customHeight="1" x14ac:dyDescent="0.2">
      <c r="K27" s="132"/>
    </row>
    <row r="28" spans="2:35" s="168" customFormat="1" ht="15.75" customHeight="1" x14ac:dyDescent="0.25">
      <c r="B28" s="170" t="s">
        <v>167</v>
      </c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P28" s="170" t="str">
        <f>+$B28</f>
        <v>Year 2</v>
      </c>
      <c r="Q28" s="170"/>
      <c r="R28" s="170"/>
      <c r="S28" s="170"/>
      <c r="T28" s="170"/>
      <c r="U28" s="170"/>
      <c r="W28" s="170" t="str">
        <f>+$B28</f>
        <v>Year 2</v>
      </c>
      <c r="X28" s="170"/>
      <c r="Y28" s="170"/>
      <c r="Z28" s="170"/>
      <c r="AA28" s="170"/>
      <c r="AB28" s="170"/>
      <c r="AD28" s="170" t="str">
        <f>+$B28</f>
        <v>Year 2</v>
      </c>
      <c r="AE28" s="170"/>
      <c r="AF28" s="170"/>
      <c r="AG28" s="170"/>
      <c r="AH28" s="170"/>
      <c r="AI28" s="170"/>
    </row>
    <row r="29" spans="2:35" s="164" customFormat="1" ht="38.25" x14ac:dyDescent="0.2">
      <c r="B29" s="543" t="s">
        <v>61</v>
      </c>
      <c r="C29" s="543" t="s">
        <v>215</v>
      </c>
      <c r="D29" s="543" t="s">
        <v>64</v>
      </c>
      <c r="E29" s="543" t="s">
        <v>231</v>
      </c>
      <c r="F29" s="543" t="s">
        <v>237</v>
      </c>
      <c r="G29" s="544" t="s">
        <v>232</v>
      </c>
      <c r="H29" s="543" t="s">
        <v>240</v>
      </c>
      <c r="I29" s="543" t="s">
        <v>233</v>
      </c>
      <c r="J29" s="543" t="s">
        <v>63</v>
      </c>
      <c r="K29" s="543" t="str">
        <f>+K6</f>
        <v>CoStar Rent</v>
      </c>
      <c r="L29" s="543" t="s">
        <v>62</v>
      </c>
      <c r="M29" s="543" t="s">
        <v>238</v>
      </c>
      <c r="N29" s="543" t="s">
        <v>241</v>
      </c>
      <c r="P29" s="543" t="s">
        <v>61</v>
      </c>
      <c r="Q29" s="543" t="s">
        <v>215</v>
      </c>
      <c r="R29" s="543" t="s">
        <v>64</v>
      </c>
      <c r="S29" s="543" t="s">
        <v>231</v>
      </c>
      <c r="T29" s="543" t="s">
        <v>237</v>
      </c>
      <c r="U29" s="543" t="s">
        <v>151</v>
      </c>
      <c r="W29" s="543" t="s">
        <v>61</v>
      </c>
      <c r="X29" s="543" t="s">
        <v>215</v>
      </c>
      <c r="Y29" s="543" t="s">
        <v>64</v>
      </c>
      <c r="Z29" s="543" t="s">
        <v>231</v>
      </c>
      <c r="AA29" s="543" t="s">
        <v>237</v>
      </c>
      <c r="AB29" s="543" t="s">
        <v>152</v>
      </c>
      <c r="AD29" s="543" t="s">
        <v>61</v>
      </c>
      <c r="AE29" s="543" t="s">
        <v>215</v>
      </c>
      <c r="AF29" s="543" t="s">
        <v>64</v>
      </c>
      <c r="AG29" s="543" t="s">
        <v>231</v>
      </c>
      <c r="AH29" s="543" t="s">
        <v>237</v>
      </c>
      <c r="AI29" s="543" t="s">
        <v>424</v>
      </c>
    </row>
    <row r="30" spans="2:35" s="120" customFormat="1" ht="15.75" customHeight="1" x14ac:dyDescent="0.2">
      <c r="B30" s="551" t="str">
        <f t="shared" ref="B30:C35" si="29">B7</f>
        <v>1x1</v>
      </c>
      <c r="C30" s="552" t="str">
        <f t="shared" si="29"/>
        <v>50% AMI</v>
      </c>
      <c r="D30" s="551">
        <f t="shared" ref="D30:D35" si="30">$D7</f>
        <v>2</v>
      </c>
      <c r="E30" s="553">
        <f t="shared" ref="E30:E35" si="31">E7</f>
        <v>701</v>
      </c>
      <c r="F30" s="554">
        <f>F7*(1+Dashboard!$P$12)</f>
        <v>66.95</v>
      </c>
      <c r="G30" s="555">
        <f>G7*(1+Dashboard!$P$11)</f>
        <v>670.53</v>
      </c>
      <c r="H30" s="549">
        <f t="shared" ref="H30:H35" si="32">+G30-F30</f>
        <v>603.57999999999993</v>
      </c>
      <c r="I30" s="556">
        <f>I7*(1+Dashboard!$P$11)</f>
        <v>703.49</v>
      </c>
      <c r="J30" s="557">
        <f t="shared" ref="J30:J35" si="33">I30-F30</f>
        <v>636.54</v>
      </c>
      <c r="K30" s="558">
        <f>K7*(1+Dashboard!$P$11)</f>
        <v>0</v>
      </c>
      <c r="L30" s="559">
        <f t="shared" ref="L30:L35" si="34">M30+F30</f>
        <v>609.7600000000001</v>
      </c>
      <c r="M30" s="559">
        <f>M7*(1+Dashboard!$P$11)</f>
        <v>542.81000000000006</v>
      </c>
      <c r="N30" s="548">
        <f t="shared" ref="N30:N35" si="35">((M30*D30)*12)</f>
        <v>13027.440000000002</v>
      </c>
      <c r="P30" s="545" t="str">
        <f t="shared" ref="P30:P48" si="36">B30</f>
        <v>1x1</v>
      </c>
      <c r="Q30" s="545" t="str">
        <f t="shared" ref="Q30:Q48" si="37">C30</f>
        <v>50% AMI</v>
      </c>
      <c r="R30" s="545">
        <f t="shared" ref="R30:R48" si="38">D30</f>
        <v>2</v>
      </c>
      <c r="S30" s="546">
        <f t="shared" ref="S30:S48" si="39">E30</f>
        <v>701</v>
      </c>
      <c r="T30" s="547">
        <f t="shared" ref="T30:T48" si="40">F30</f>
        <v>66.95</v>
      </c>
      <c r="U30" s="548">
        <f>((M30*R30)*12)</f>
        <v>13027.440000000002</v>
      </c>
      <c r="W30" s="545" t="str">
        <f t="shared" ref="W30:W48" si="41">B30</f>
        <v>1x1</v>
      </c>
      <c r="X30" s="545" t="str">
        <f t="shared" ref="X30:X48" si="42">C30</f>
        <v>50% AMI</v>
      </c>
      <c r="Y30" s="545">
        <f t="shared" ref="Y30:Y48" si="43">D30</f>
        <v>2</v>
      </c>
      <c r="Z30" s="546">
        <f t="shared" ref="Z30:Z48" si="44">E30</f>
        <v>701</v>
      </c>
      <c r="AA30" s="547">
        <f t="shared" ref="AA30:AA48" si="45">F30</f>
        <v>66.95</v>
      </c>
      <c r="AB30" s="549">
        <f>((H30*Y30)*12)</f>
        <v>14485.919999999998</v>
      </c>
      <c r="AD30" s="545" t="str">
        <f>B30</f>
        <v>1x1</v>
      </c>
      <c r="AE30" s="545" t="str">
        <f t="shared" ref="AE30:AE48" si="46">C30</f>
        <v>50% AMI</v>
      </c>
      <c r="AF30" s="545">
        <f t="shared" ref="AF30:AF48" si="47">D30</f>
        <v>2</v>
      </c>
      <c r="AG30" s="546">
        <f t="shared" ref="AG30:AG48" si="48">E30</f>
        <v>701</v>
      </c>
      <c r="AH30" s="547">
        <f t="shared" ref="AH30:AH48" si="49">F30</f>
        <v>66.95</v>
      </c>
      <c r="AI30" s="548">
        <f>+MAX(U30,AB30)</f>
        <v>14485.919999999998</v>
      </c>
    </row>
    <row r="31" spans="2:35" s="120" customFormat="1" ht="15.75" customHeight="1" x14ac:dyDescent="0.2">
      <c r="B31" s="551" t="str">
        <f t="shared" si="29"/>
        <v>1x1</v>
      </c>
      <c r="C31" s="552" t="str">
        <f t="shared" si="29"/>
        <v>60% AMI</v>
      </c>
      <c r="D31" s="551">
        <f t="shared" si="30"/>
        <v>0</v>
      </c>
      <c r="E31" s="553">
        <f t="shared" si="31"/>
        <v>701</v>
      </c>
      <c r="F31" s="554">
        <f>F8*(1+Dashboard!$P$12)</f>
        <v>66.95</v>
      </c>
      <c r="G31" s="555">
        <f>G8*(1+Dashboard!$P$11)</f>
        <v>804.43000000000006</v>
      </c>
      <c r="H31" s="549">
        <f t="shared" si="32"/>
        <v>737.48</v>
      </c>
      <c r="I31" s="556">
        <f>I8*(1+Dashboard!$P$11)</f>
        <v>703.49</v>
      </c>
      <c r="J31" s="557">
        <f t="shared" si="33"/>
        <v>636.54</v>
      </c>
      <c r="K31" s="558">
        <f>K8*(1+Dashboard!$P$11)</f>
        <v>0</v>
      </c>
      <c r="L31" s="559">
        <f t="shared" si="34"/>
        <v>66.95</v>
      </c>
      <c r="M31" s="559">
        <f>M8*(1+Dashboard!$P$11)</f>
        <v>0</v>
      </c>
      <c r="N31" s="548">
        <f t="shared" si="35"/>
        <v>0</v>
      </c>
      <c r="P31" s="545" t="str">
        <f t="shared" si="36"/>
        <v>1x1</v>
      </c>
      <c r="Q31" s="550" t="str">
        <f t="shared" si="37"/>
        <v>60% AMI</v>
      </c>
      <c r="R31" s="545">
        <f t="shared" si="38"/>
        <v>0</v>
      </c>
      <c r="S31" s="546">
        <f t="shared" si="39"/>
        <v>701</v>
      </c>
      <c r="T31" s="547">
        <f t="shared" si="40"/>
        <v>66.95</v>
      </c>
      <c r="U31" s="548">
        <f t="shared" ref="U31:U48" si="50">((M31*R31)*12)</f>
        <v>0</v>
      </c>
      <c r="W31" s="545" t="str">
        <f t="shared" si="41"/>
        <v>1x1</v>
      </c>
      <c r="X31" s="550" t="str">
        <f t="shared" si="42"/>
        <v>60% AMI</v>
      </c>
      <c r="Y31" s="545">
        <f t="shared" si="43"/>
        <v>0</v>
      </c>
      <c r="Z31" s="546">
        <f t="shared" si="44"/>
        <v>701</v>
      </c>
      <c r="AA31" s="547">
        <f t="shared" si="45"/>
        <v>66.95</v>
      </c>
      <c r="AB31" s="549">
        <f t="shared" ref="AB31" si="51">((H31*Y31)*12)</f>
        <v>0</v>
      </c>
      <c r="AD31" s="545" t="str">
        <f t="shared" ref="AD31:AD48" si="52">B31</f>
        <v>1x1</v>
      </c>
      <c r="AE31" s="550" t="str">
        <f t="shared" si="46"/>
        <v>60% AMI</v>
      </c>
      <c r="AF31" s="545">
        <f t="shared" si="47"/>
        <v>0</v>
      </c>
      <c r="AG31" s="546">
        <f t="shared" si="48"/>
        <v>701</v>
      </c>
      <c r="AH31" s="547">
        <f t="shared" si="49"/>
        <v>66.95</v>
      </c>
      <c r="AI31" s="548">
        <f t="shared" ref="AI31:AI48" si="53">+MAX(U31,AB31)</f>
        <v>0</v>
      </c>
    </row>
    <row r="32" spans="2:35" s="120" customFormat="1" ht="15.75" customHeight="1" x14ac:dyDescent="0.2">
      <c r="B32" s="551" t="str">
        <f t="shared" si="29"/>
        <v>1x1</v>
      </c>
      <c r="C32" s="552" t="str">
        <f t="shared" si="29"/>
        <v>Market</v>
      </c>
      <c r="D32" s="551">
        <f t="shared" si="30"/>
        <v>1</v>
      </c>
      <c r="E32" s="553">
        <f t="shared" si="31"/>
        <v>701</v>
      </c>
      <c r="F32" s="554">
        <f>F9*(1+Dashboard!$P$12)</f>
        <v>0</v>
      </c>
      <c r="G32" s="555">
        <f>G9*(1+Dashboard!$P$11)</f>
        <v>0</v>
      </c>
      <c r="H32" s="549">
        <f t="shared" si="32"/>
        <v>0</v>
      </c>
      <c r="I32" s="556">
        <f>I9*(1+Dashboard!$P$11)</f>
        <v>703.49</v>
      </c>
      <c r="J32" s="557">
        <f t="shared" si="33"/>
        <v>703.49</v>
      </c>
      <c r="K32" s="558">
        <f>K9*(1+Dashboard!$P$11)</f>
        <v>0</v>
      </c>
      <c r="L32" s="559">
        <f t="shared" si="34"/>
        <v>610.79</v>
      </c>
      <c r="M32" s="559">
        <f>M9*(1+Dashboard!$P$11)</f>
        <v>610.79</v>
      </c>
      <c r="N32" s="548">
        <f t="shared" si="35"/>
        <v>7329.48</v>
      </c>
      <c r="P32" s="545" t="str">
        <f t="shared" si="36"/>
        <v>1x1</v>
      </c>
      <c r="Q32" s="550" t="str">
        <f t="shared" si="37"/>
        <v>Market</v>
      </c>
      <c r="R32" s="545">
        <f t="shared" si="38"/>
        <v>1</v>
      </c>
      <c r="S32" s="546">
        <f t="shared" si="39"/>
        <v>701</v>
      </c>
      <c r="T32" s="547">
        <f t="shared" si="40"/>
        <v>0</v>
      </c>
      <c r="U32" s="548">
        <f t="shared" si="50"/>
        <v>7329.48</v>
      </c>
      <c r="W32" s="545" t="str">
        <f t="shared" si="41"/>
        <v>1x1</v>
      </c>
      <c r="X32" s="550" t="str">
        <f t="shared" si="42"/>
        <v>Market</v>
      </c>
      <c r="Y32" s="545">
        <f t="shared" si="43"/>
        <v>1</v>
      </c>
      <c r="Z32" s="546">
        <f t="shared" si="44"/>
        <v>701</v>
      </c>
      <c r="AA32" s="547">
        <f t="shared" si="45"/>
        <v>0</v>
      </c>
      <c r="AB32" s="549">
        <f>((H32*Y32)*12)</f>
        <v>0</v>
      </c>
      <c r="AD32" s="545" t="str">
        <f t="shared" si="52"/>
        <v>1x1</v>
      </c>
      <c r="AE32" s="550" t="str">
        <f t="shared" si="46"/>
        <v>Market</v>
      </c>
      <c r="AF32" s="545">
        <f t="shared" si="47"/>
        <v>1</v>
      </c>
      <c r="AG32" s="546">
        <f t="shared" si="48"/>
        <v>701</v>
      </c>
      <c r="AH32" s="547">
        <f t="shared" si="49"/>
        <v>0</v>
      </c>
      <c r="AI32" s="548">
        <f t="shared" si="53"/>
        <v>7329.48</v>
      </c>
    </row>
    <row r="33" spans="2:35" s="120" customFormat="1" ht="15.75" customHeight="1" x14ac:dyDescent="0.2">
      <c r="B33" s="551" t="str">
        <f t="shared" si="29"/>
        <v>1x1</v>
      </c>
      <c r="C33" s="552" t="str">
        <f t="shared" si="29"/>
        <v>S8 Voucher</v>
      </c>
      <c r="D33" s="551">
        <f t="shared" si="30"/>
        <v>3</v>
      </c>
      <c r="E33" s="553">
        <f t="shared" si="31"/>
        <v>701</v>
      </c>
      <c r="F33" s="554">
        <f>F10*(1+Dashboard!$P$12)</f>
        <v>66.95</v>
      </c>
      <c r="G33" s="555">
        <f>G10*(1+Dashboard!$P$11)</f>
        <v>804.43000000000006</v>
      </c>
      <c r="H33" s="549">
        <f t="shared" si="32"/>
        <v>737.48</v>
      </c>
      <c r="I33" s="556">
        <f>I10*(1+Dashboard!$P$11)</f>
        <v>703.49</v>
      </c>
      <c r="J33" s="557">
        <f t="shared" si="33"/>
        <v>636.54</v>
      </c>
      <c r="K33" s="558">
        <f>K10*(1+Dashboard!$P$11)</f>
        <v>0</v>
      </c>
      <c r="L33" s="559">
        <f t="shared" si="34"/>
        <v>605.6400000000001</v>
      </c>
      <c r="M33" s="559">
        <f>M10*(1+Dashboard!$P$11)</f>
        <v>538.69000000000005</v>
      </c>
      <c r="N33" s="548">
        <f t="shared" si="35"/>
        <v>19392.840000000004</v>
      </c>
      <c r="P33" s="545" t="str">
        <f t="shared" si="36"/>
        <v>1x1</v>
      </c>
      <c r="Q33" s="550" t="str">
        <f t="shared" si="37"/>
        <v>S8 Voucher</v>
      </c>
      <c r="R33" s="545">
        <f t="shared" si="38"/>
        <v>3</v>
      </c>
      <c r="S33" s="546">
        <f t="shared" si="39"/>
        <v>701</v>
      </c>
      <c r="T33" s="547">
        <f t="shared" si="40"/>
        <v>66.95</v>
      </c>
      <c r="U33" s="548">
        <f t="shared" si="50"/>
        <v>19392.840000000004</v>
      </c>
      <c r="W33" s="545" t="str">
        <f t="shared" si="41"/>
        <v>1x1</v>
      </c>
      <c r="X33" s="550" t="str">
        <f t="shared" si="42"/>
        <v>S8 Voucher</v>
      </c>
      <c r="Y33" s="545">
        <f t="shared" si="43"/>
        <v>3</v>
      </c>
      <c r="Z33" s="546">
        <f t="shared" si="44"/>
        <v>701</v>
      </c>
      <c r="AA33" s="547">
        <f t="shared" si="45"/>
        <v>66.95</v>
      </c>
      <c r="AB33" s="549">
        <f t="shared" ref="AB33:AB34" si="54">((H33*Y33)*12)</f>
        <v>26549.279999999999</v>
      </c>
      <c r="AD33" s="545" t="str">
        <f t="shared" si="52"/>
        <v>1x1</v>
      </c>
      <c r="AE33" s="550" t="str">
        <f t="shared" si="46"/>
        <v>S8 Voucher</v>
      </c>
      <c r="AF33" s="545">
        <f t="shared" si="47"/>
        <v>3</v>
      </c>
      <c r="AG33" s="546">
        <f t="shared" si="48"/>
        <v>701</v>
      </c>
      <c r="AH33" s="547">
        <f t="shared" si="49"/>
        <v>66.95</v>
      </c>
      <c r="AI33" s="548">
        <f t="shared" si="53"/>
        <v>26549.279999999999</v>
      </c>
    </row>
    <row r="34" spans="2:35" s="120" customFormat="1" ht="15.75" customHeight="1" x14ac:dyDescent="0.2">
      <c r="B34" s="551" t="str">
        <f t="shared" si="29"/>
        <v>2x1.5</v>
      </c>
      <c r="C34" s="552" t="str">
        <f t="shared" si="29"/>
        <v>40% AMI</v>
      </c>
      <c r="D34" s="551">
        <f t="shared" si="30"/>
        <v>1</v>
      </c>
      <c r="E34" s="553">
        <f t="shared" si="31"/>
        <v>940</v>
      </c>
      <c r="F34" s="554">
        <f>F11*(1+Dashboard!$P$12)</f>
        <v>88.58</v>
      </c>
      <c r="G34" s="555">
        <f>G11*(1+Dashboard!$P$11)</f>
        <v>555.16999999999996</v>
      </c>
      <c r="H34" s="549">
        <f t="shared" si="32"/>
        <v>466.59</v>
      </c>
      <c r="I34" s="556">
        <f>I11*(1+Dashboard!$P$11)</f>
        <v>801.34</v>
      </c>
      <c r="J34" s="557">
        <f t="shared" si="33"/>
        <v>712.76</v>
      </c>
      <c r="K34" s="558">
        <f>K11*(1+Dashboard!$P$11)</f>
        <v>0</v>
      </c>
      <c r="L34" s="559">
        <f t="shared" si="34"/>
        <v>567.53</v>
      </c>
      <c r="M34" s="559">
        <f>M11*(1+Dashboard!$P$11)</f>
        <v>478.95</v>
      </c>
      <c r="N34" s="548">
        <f t="shared" si="35"/>
        <v>5747.4</v>
      </c>
      <c r="P34" s="545" t="str">
        <f t="shared" si="36"/>
        <v>2x1.5</v>
      </c>
      <c r="Q34" s="550" t="str">
        <f t="shared" si="37"/>
        <v>40% AMI</v>
      </c>
      <c r="R34" s="545">
        <f t="shared" si="38"/>
        <v>1</v>
      </c>
      <c r="S34" s="546">
        <f t="shared" si="39"/>
        <v>940</v>
      </c>
      <c r="T34" s="547">
        <f t="shared" si="40"/>
        <v>88.58</v>
      </c>
      <c r="U34" s="548">
        <f t="shared" si="50"/>
        <v>5747.4</v>
      </c>
      <c r="W34" s="545" t="str">
        <f t="shared" si="41"/>
        <v>2x1.5</v>
      </c>
      <c r="X34" s="550" t="str">
        <f t="shared" si="42"/>
        <v>40% AMI</v>
      </c>
      <c r="Y34" s="545">
        <f t="shared" si="43"/>
        <v>1</v>
      </c>
      <c r="Z34" s="546">
        <f t="shared" si="44"/>
        <v>940</v>
      </c>
      <c r="AA34" s="547">
        <f t="shared" si="45"/>
        <v>88.58</v>
      </c>
      <c r="AB34" s="549">
        <f t="shared" si="54"/>
        <v>5599.08</v>
      </c>
      <c r="AD34" s="545" t="str">
        <f t="shared" si="52"/>
        <v>2x1.5</v>
      </c>
      <c r="AE34" s="550" t="str">
        <f t="shared" si="46"/>
        <v>40% AMI</v>
      </c>
      <c r="AF34" s="545">
        <f t="shared" si="47"/>
        <v>1</v>
      </c>
      <c r="AG34" s="546">
        <f t="shared" si="48"/>
        <v>940</v>
      </c>
      <c r="AH34" s="547">
        <f t="shared" si="49"/>
        <v>88.58</v>
      </c>
      <c r="AI34" s="548">
        <f t="shared" si="53"/>
        <v>5747.4</v>
      </c>
    </row>
    <row r="35" spans="2:35" s="120" customFormat="1" ht="15.75" customHeight="1" x14ac:dyDescent="0.2">
      <c r="B35" s="551" t="str">
        <f t="shared" si="29"/>
        <v>2x1.5</v>
      </c>
      <c r="C35" s="552" t="str">
        <f t="shared" si="29"/>
        <v>50% AMI</v>
      </c>
      <c r="D35" s="551">
        <f t="shared" si="30"/>
        <v>3</v>
      </c>
      <c r="E35" s="553">
        <f t="shared" si="31"/>
        <v>990</v>
      </c>
      <c r="F35" s="554">
        <f>F12*(1+Dashboard!$P$12)</f>
        <v>88.58</v>
      </c>
      <c r="G35" s="555">
        <f>G12*(1+Dashboard!$P$11)</f>
        <v>715.85</v>
      </c>
      <c r="H35" s="549">
        <f t="shared" si="32"/>
        <v>627.27</v>
      </c>
      <c r="I35" s="556">
        <f>I12*(1+Dashboard!$P$11)</f>
        <v>801.34</v>
      </c>
      <c r="J35" s="557">
        <f t="shared" si="33"/>
        <v>712.76</v>
      </c>
      <c r="K35" s="558">
        <f>K12*(1+Dashboard!$P$11)</f>
        <v>0</v>
      </c>
      <c r="L35" s="559">
        <f t="shared" si="34"/>
        <v>685.98</v>
      </c>
      <c r="M35" s="559">
        <f>M12*(1+Dashboard!$P$11)</f>
        <v>597.4</v>
      </c>
      <c r="N35" s="548">
        <f t="shared" si="35"/>
        <v>21506.399999999998</v>
      </c>
      <c r="P35" s="545" t="str">
        <f t="shared" si="36"/>
        <v>2x1.5</v>
      </c>
      <c r="Q35" s="550" t="str">
        <f t="shared" si="37"/>
        <v>50% AMI</v>
      </c>
      <c r="R35" s="545">
        <f t="shared" si="38"/>
        <v>3</v>
      </c>
      <c r="S35" s="546">
        <f t="shared" si="39"/>
        <v>990</v>
      </c>
      <c r="T35" s="547">
        <f t="shared" si="40"/>
        <v>88.58</v>
      </c>
      <c r="U35" s="548">
        <f t="shared" si="50"/>
        <v>21506.399999999998</v>
      </c>
      <c r="W35" s="545" t="str">
        <f t="shared" si="41"/>
        <v>2x1.5</v>
      </c>
      <c r="X35" s="550" t="str">
        <f t="shared" si="42"/>
        <v>50% AMI</v>
      </c>
      <c r="Y35" s="545">
        <f t="shared" si="43"/>
        <v>3</v>
      </c>
      <c r="Z35" s="546">
        <f t="shared" si="44"/>
        <v>990</v>
      </c>
      <c r="AA35" s="547">
        <f t="shared" si="45"/>
        <v>88.58</v>
      </c>
      <c r="AB35" s="549">
        <f>((H35*Y35)*12)</f>
        <v>22581.72</v>
      </c>
      <c r="AD35" s="545" t="str">
        <f t="shared" si="52"/>
        <v>2x1.5</v>
      </c>
      <c r="AE35" s="550" t="str">
        <f t="shared" si="46"/>
        <v>50% AMI</v>
      </c>
      <c r="AF35" s="545">
        <f t="shared" si="47"/>
        <v>3</v>
      </c>
      <c r="AG35" s="546">
        <f t="shared" si="48"/>
        <v>990</v>
      </c>
      <c r="AH35" s="547">
        <f t="shared" si="49"/>
        <v>88.58</v>
      </c>
      <c r="AI35" s="548">
        <f t="shared" si="53"/>
        <v>22581.72</v>
      </c>
    </row>
    <row r="36" spans="2:35" s="120" customFormat="1" ht="15.75" customHeight="1" x14ac:dyDescent="0.2">
      <c r="B36" s="551" t="str">
        <f t="shared" ref="B36:C36" si="55">B13</f>
        <v>2x1.5</v>
      </c>
      <c r="C36" s="552" t="str">
        <f t="shared" si="55"/>
        <v>60% AMI</v>
      </c>
      <c r="D36" s="551">
        <f t="shared" ref="D36:D48" si="56">$D13</f>
        <v>2</v>
      </c>
      <c r="E36" s="553">
        <f t="shared" ref="E36:E48" si="57">E13</f>
        <v>980</v>
      </c>
      <c r="F36" s="554">
        <f>F13*(1+Dashboard!$P$12)</f>
        <v>88.58</v>
      </c>
      <c r="G36" s="555">
        <f>G13*(1+Dashboard!$P$11)</f>
        <v>876.53</v>
      </c>
      <c r="H36" s="549">
        <f t="shared" ref="H36:H48" si="58">+G36-F36</f>
        <v>787.94999999999993</v>
      </c>
      <c r="I36" s="556">
        <f>I13*(1+Dashboard!$P$11)</f>
        <v>801.34</v>
      </c>
      <c r="J36" s="557">
        <f t="shared" ref="J36:J48" si="59">I36-F36</f>
        <v>712.76</v>
      </c>
      <c r="K36" s="558">
        <f>K13*(1+Dashboard!$P$11)</f>
        <v>0</v>
      </c>
      <c r="L36" s="559">
        <f t="shared" ref="L36:L48" si="60">M36+F36</f>
        <v>749.84</v>
      </c>
      <c r="M36" s="559">
        <f>M13*(1+Dashboard!$P$11)</f>
        <v>661.26</v>
      </c>
      <c r="N36" s="548">
        <f t="shared" ref="N36:N48" si="61">((M36*D36)*12)</f>
        <v>15870.24</v>
      </c>
      <c r="P36" s="545" t="str">
        <f t="shared" si="36"/>
        <v>2x1.5</v>
      </c>
      <c r="Q36" s="550" t="str">
        <f t="shared" si="37"/>
        <v>60% AMI</v>
      </c>
      <c r="R36" s="545">
        <f t="shared" si="38"/>
        <v>2</v>
      </c>
      <c r="S36" s="546">
        <f t="shared" si="39"/>
        <v>980</v>
      </c>
      <c r="T36" s="547">
        <f t="shared" si="40"/>
        <v>88.58</v>
      </c>
      <c r="U36" s="548">
        <f t="shared" si="50"/>
        <v>15870.24</v>
      </c>
      <c r="W36" s="545" t="str">
        <f t="shared" si="41"/>
        <v>2x1.5</v>
      </c>
      <c r="X36" s="550" t="str">
        <f t="shared" si="42"/>
        <v>60% AMI</v>
      </c>
      <c r="Y36" s="545">
        <f t="shared" si="43"/>
        <v>2</v>
      </c>
      <c r="Z36" s="546">
        <f t="shared" si="44"/>
        <v>980</v>
      </c>
      <c r="AA36" s="547">
        <f t="shared" si="45"/>
        <v>88.58</v>
      </c>
      <c r="AB36" s="549">
        <f t="shared" ref="AB36:AB48" si="62">((H36*Y36)*12)</f>
        <v>18910.8</v>
      </c>
      <c r="AD36" s="545" t="str">
        <f t="shared" si="52"/>
        <v>2x1.5</v>
      </c>
      <c r="AE36" s="550" t="str">
        <f t="shared" si="46"/>
        <v>60% AMI</v>
      </c>
      <c r="AF36" s="545">
        <f t="shared" si="47"/>
        <v>2</v>
      </c>
      <c r="AG36" s="546">
        <f t="shared" si="48"/>
        <v>980</v>
      </c>
      <c r="AH36" s="547">
        <f t="shared" si="49"/>
        <v>88.58</v>
      </c>
      <c r="AI36" s="548">
        <f t="shared" si="53"/>
        <v>18910.8</v>
      </c>
    </row>
    <row r="37" spans="2:35" s="120" customFormat="1" ht="15.75" customHeight="1" x14ac:dyDescent="0.2">
      <c r="B37" s="551" t="str">
        <f t="shared" ref="B37:C37" si="63">B14</f>
        <v>2x2</v>
      </c>
      <c r="C37" s="552" t="str">
        <f t="shared" si="63"/>
        <v>50% AMI</v>
      </c>
      <c r="D37" s="551">
        <f t="shared" si="56"/>
        <v>1</v>
      </c>
      <c r="E37" s="553">
        <f t="shared" si="57"/>
        <v>968</v>
      </c>
      <c r="F37" s="554">
        <f>F14*(1+Dashboard!$P$12)</f>
        <v>88.58</v>
      </c>
      <c r="G37" s="555">
        <f>G14*(1+Dashboard!$P$11)</f>
        <v>715.85</v>
      </c>
      <c r="H37" s="549">
        <f t="shared" si="58"/>
        <v>627.27</v>
      </c>
      <c r="I37" s="556">
        <f>I14*(1+Dashboard!$P$11)</f>
        <v>801.34</v>
      </c>
      <c r="J37" s="557">
        <f t="shared" si="59"/>
        <v>712.76</v>
      </c>
      <c r="K37" s="558">
        <f>K14*(1+Dashboard!$P$11)</f>
        <v>0</v>
      </c>
      <c r="L37" s="559">
        <f t="shared" si="60"/>
        <v>716.88000000000011</v>
      </c>
      <c r="M37" s="559">
        <f>M14*(1+Dashboard!$P$11)</f>
        <v>628.30000000000007</v>
      </c>
      <c r="N37" s="548">
        <f t="shared" si="61"/>
        <v>7539.6</v>
      </c>
      <c r="P37" s="545" t="str">
        <f t="shared" si="36"/>
        <v>2x2</v>
      </c>
      <c r="Q37" s="550" t="str">
        <f t="shared" si="37"/>
        <v>50% AMI</v>
      </c>
      <c r="R37" s="545">
        <f t="shared" si="38"/>
        <v>1</v>
      </c>
      <c r="S37" s="546">
        <f t="shared" si="39"/>
        <v>968</v>
      </c>
      <c r="T37" s="547">
        <f t="shared" si="40"/>
        <v>88.58</v>
      </c>
      <c r="U37" s="548">
        <f t="shared" si="50"/>
        <v>7539.6</v>
      </c>
      <c r="W37" s="545" t="str">
        <f t="shared" si="41"/>
        <v>2x2</v>
      </c>
      <c r="X37" s="550" t="str">
        <f t="shared" si="42"/>
        <v>50% AMI</v>
      </c>
      <c r="Y37" s="545">
        <f t="shared" si="43"/>
        <v>1</v>
      </c>
      <c r="Z37" s="546">
        <f t="shared" si="44"/>
        <v>968</v>
      </c>
      <c r="AA37" s="547">
        <f t="shared" si="45"/>
        <v>88.58</v>
      </c>
      <c r="AB37" s="549">
        <f t="shared" si="62"/>
        <v>7527.24</v>
      </c>
      <c r="AD37" s="545" t="str">
        <f t="shared" si="52"/>
        <v>2x2</v>
      </c>
      <c r="AE37" s="550" t="str">
        <f t="shared" si="46"/>
        <v>50% AMI</v>
      </c>
      <c r="AF37" s="545">
        <f t="shared" si="47"/>
        <v>1</v>
      </c>
      <c r="AG37" s="546">
        <f t="shared" si="48"/>
        <v>968</v>
      </c>
      <c r="AH37" s="547">
        <f t="shared" si="49"/>
        <v>88.58</v>
      </c>
      <c r="AI37" s="548">
        <f t="shared" si="53"/>
        <v>7539.6</v>
      </c>
    </row>
    <row r="38" spans="2:35" s="120" customFormat="1" ht="15.75" customHeight="1" x14ac:dyDescent="0.2">
      <c r="B38" s="551" t="str">
        <f t="shared" ref="B38:C38" si="64">B15</f>
        <v>2x2</v>
      </c>
      <c r="C38" s="552" t="str">
        <f t="shared" si="64"/>
        <v>60% AMI</v>
      </c>
      <c r="D38" s="551">
        <f t="shared" si="56"/>
        <v>2</v>
      </c>
      <c r="E38" s="553">
        <f t="shared" si="57"/>
        <v>968</v>
      </c>
      <c r="F38" s="554">
        <f>F15*(1+Dashboard!$P$12)</f>
        <v>88.58</v>
      </c>
      <c r="G38" s="555">
        <f>G15*(1+Dashboard!$P$11)</f>
        <v>876.53</v>
      </c>
      <c r="H38" s="549">
        <f t="shared" si="58"/>
        <v>787.94999999999993</v>
      </c>
      <c r="I38" s="556">
        <f>I15*(1+Dashboard!$P$11)</f>
        <v>801.34</v>
      </c>
      <c r="J38" s="557">
        <f t="shared" si="59"/>
        <v>712.76</v>
      </c>
      <c r="K38" s="558">
        <f>K15*(1+Dashboard!$P$11)</f>
        <v>0</v>
      </c>
      <c r="L38" s="559">
        <f t="shared" si="60"/>
        <v>742.63000000000011</v>
      </c>
      <c r="M38" s="559">
        <f>M15*(1+Dashboard!$P$11)</f>
        <v>654.05000000000007</v>
      </c>
      <c r="N38" s="548">
        <f t="shared" si="61"/>
        <v>15697.2</v>
      </c>
      <c r="P38" s="545" t="str">
        <f t="shared" si="36"/>
        <v>2x2</v>
      </c>
      <c r="Q38" s="550" t="str">
        <f t="shared" si="37"/>
        <v>60% AMI</v>
      </c>
      <c r="R38" s="545">
        <f t="shared" si="38"/>
        <v>2</v>
      </c>
      <c r="S38" s="546">
        <f t="shared" si="39"/>
        <v>968</v>
      </c>
      <c r="T38" s="547">
        <f t="shared" si="40"/>
        <v>88.58</v>
      </c>
      <c r="U38" s="548">
        <f t="shared" si="50"/>
        <v>15697.2</v>
      </c>
      <c r="W38" s="545" t="str">
        <f t="shared" si="41"/>
        <v>2x2</v>
      </c>
      <c r="X38" s="550" t="str">
        <f t="shared" si="42"/>
        <v>60% AMI</v>
      </c>
      <c r="Y38" s="545">
        <f t="shared" si="43"/>
        <v>2</v>
      </c>
      <c r="Z38" s="546">
        <f t="shared" si="44"/>
        <v>968</v>
      </c>
      <c r="AA38" s="547">
        <f t="shared" si="45"/>
        <v>88.58</v>
      </c>
      <c r="AB38" s="549">
        <f t="shared" si="62"/>
        <v>18910.8</v>
      </c>
      <c r="AD38" s="545" t="str">
        <f t="shared" si="52"/>
        <v>2x2</v>
      </c>
      <c r="AE38" s="550" t="str">
        <f t="shared" si="46"/>
        <v>60% AMI</v>
      </c>
      <c r="AF38" s="545">
        <f t="shared" si="47"/>
        <v>2</v>
      </c>
      <c r="AG38" s="546">
        <f t="shared" si="48"/>
        <v>968</v>
      </c>
      <c r="AH38" s="547">
        <f t="shared" si="49"/>
        <v>88.58</v>
      </c>
      <c r="AI38" s="548">
        <f t="shared" si="53"/>
        <v>18910.8</v>
      </c>
    </row>
    <row r="39" spans="2:35" s="120" customFormat="1" ht="15.75" customHeight="1" x14ac:dyDescent="0.2">
      <c r="B39" s="551" t="str">
        <f t="shared" ref="B39:C39" si="65">B16</f>
        <v>2x2</v>
      </c>
      <c r="C39" s="552" t="str">
        <f t="shared" si="65"/>
        <v>Market</v>
      </c>
      <c r="D39" s="551">
        <f t="shared" si="56"/>
        <v>0</v>
      </c>
      <c r="E39" s="553">
        <f t="shared" si="57"/>
        <v>968</v>
      </c>
      <c r="F39" s="554">
        <f>F16*(1+Dashboard!$P$12)</f>
        <v>0</v>
      </c>
      <c r="G39" s="555">
        <f>G16*(1+Dashboard!$P$11)</f>
        <v>0</v>
      </c>
      <c r="H39" s="549">
        <f t="shared" si="58"/>
        <v>0</v>
      </c>
      <c r="I39" s="556">
        <f>I16*(1+Dashboard!$P$11)</f>
        <v>801.34</v>
      </c>
      <c r="J39" s="557">
        <f t="shared" si="59"/>
        <v>801.34</v>
      </c>
      <c r="K39" s="558">
        <f>K16*(1+Dashboard!$P$11)</f>
        <v>0</v>
      </c>
      <c r="L39" s="559">
        <f t="shared" si="60"/>
        <v>0</v>
      </c>
      <c r="M39" s="559">
        <f>M16*(1+Dashboard!$P$11)</f>
        <v>0</v>
      </c>
      <c r="N39" s="548">
        <f t="shared" si="61"/>
        <v>0</v>
      </c>
      <c r="P39" s="545" t="str">
        <f t="shared" si="36"/>
        <v>2x2</v>
      </c>
      <c r="Q39" s="550" t="str">
        <f t="shared" si="37"/>
        <v>Market</v>
      </c>
      <c r="R39" s="545">
        <f t="shared" si="38"/>
        <v>0</v>
      </c>
      <c r="S39" s="546">
        <f t="shared" si="39"/>
        <v>968</v>
      </c>
      <c r="T39" s="547">
        <f t="shared" si="40"/>
        <v>0</v>
      </c>
      <c r="U39" s="548">
        <f t="shared" si="50"/>
        <v>0</v>
      </c>
      <c r="W39" s="545" t="str">
        <f t="shared" si="41"/>
        <v>2x2</v>
      </c>
      <c r="X39" s="550" t="str">
        <f t="shared" si="42"/>
        <v>Market</v>
      </c>
      <c r="Y39" s="545">
        <f t="shared" si="43"/>
        <v>0</v>
      </c>
      <c r="Z39" s="546">
        <f t="shared" si="44"/>
        <v>968</v>
      </c>
      <c r="AA39" s="547">
        <f t="shared" si="45"/>
        <v>0</v>
      </c>
      <c r="AB39" s="549">
        <f t="shared" si="62"/>
        <v>0</v>
      </c>
      <c r="AD39" s="545" t="str">
        <f t="shared" si="52"/>
        <v>2x2</v>
      </c>
      <c r="AE39" s="550" t="str">
        <f t="shared" si="46"/>
        <v>Market</v>
      </c>
      <c r="AF39" s="545">
        <f t="shared" si="47"/>
        <v>0</v>
      </c>
      <c r="AG39" s="546">
        <f t="shared" si="48"/>
        <v>968</v>
      </c>
      <c r="AH39" s="547">
        <f t="shared" si="49"/>
        <v>0</v>
      </c>
      <c r="AI39" s="548">
        <f t="shared" si="53"/>
        <v>0</v>
      </c>
    </row>
    <row r="40" spans="2:35" s="120" customFormat="1" ht="15.75" customHeight="1" x14ac:dyDescent="0.2">
      <c r="B40" s="551" t="str">
        <f t="shared" ref="B40:C40" si="66">B17</f>
        <v>2x2 (TH)</v>
      </c>
      <c r="C40" s="552" t="str">
        <f t="shared" si="66"/>
        <v>40% AMI</v>
      </c>
      <c r="D40" s="551">
        <f t="shared" si="56"/>
        <v>1</v>
      </c>
      <c r="E40" s="553">
        <f t="shared" si="57"/>
        <v>1058</v>
      </c>
      <c r="F40" s="554">
        <f>F17*(1+Dashboard!$P$12)</f>
        <v>88.58</v>
      </c>
      <c r="G40" s="555">
        <f>G17*(1+Dashboard!$P$11)</f>
        <v>555.16999999999996</v>
      </c>
      <c r="H40" s="549">
        <f t="shared" si="58"/>
        <v>466.59</v>
      </c>
      <c r="I40" s="556">
        <f>I17*(1+Dashboard!$P$11)</f>
        <v>801.34</v>
      </c>
      <c r="J40" s="557">
        <f t="shared" si="59"/>
        <v>712.76</v>
      </c>
      <c r="K40" s="558">
        <f>K17*(1+Dashboard!$P$11)</f>
        <v>0</v>
      </c>
      <c r="L40" s="559">
        <f t="shared" si="60"/>
        <v>552.08000000000004</v>
      </c>
      <c r="M40" s="559">
        <f>M17*(1+Dashboard!$P$11)</f>
        <v>463.5</v>
      </c>
      <c r="N40" s="548">
        <f t="shared" si="61"/>
        <v>5562</v>
      </c>
      <c r="P40" s="545" t="str">
        <f t="shared" si="36"/>
        <v>2x2 (TH)</v>
      </c>
      <c r="Q40" s="550" t="str">
        <f t="shared" si="37"/>
        <v>40% AMI</v>
      </c>
      <c r="R40" s="545">
        <f t="shared" si="38"/>
        <v>1</v>
      </c>
      <c r="S40" s="546">
        <f t="shared" si="39"/>
        <v>1058</v>
      </c>
      <c r="T40" s="547">
        <f t="shared" si="40"/>
        <v>88.58</v>
      </c>
      <c r="U40" s="548">
        <f t="shared" si="50"/>
        <v>5562</v>
      </c>
      <c r="W40" s="545" t="str">
        <f t="shared" si="41"/>
        <v>2x2 (TH)</v>
      </c>
      <c r="X40" s="550" t="str">
        <f t="shared" si="42"/>
        <v>40% AMI</v>
      </c>
      <c r="Y40" s="545">
        <f t="shared" si="43"/>
        <v>1</v>
      </c>
      <c r="Z40" s="546">
        <f t="shared" si="44"/>
        <v>1058</v>
      </c>
      <c r="AA40" s="547">
        <f t="shared" si="45"/>
        <v>88.58</v>
      </c>
      <c r="AB40" s="549">
        <f t="shared" si="62"/>
        <v>5599.08</v>
      </c>
      <c r="AD40" s="545" t="str">
        <f t="shared" si="52"/>
        <v>2x2 (TH)</v>
      </c>
      <c r="AE40" s="550" t="str">
        <f t="shared" si="46"/>
        <v>40% AMI</v>
      </c>
      <c r="AF40" s="545">
        <f t="shared" si="47"/>
        <v>1</v>
      </c>
      <c r="AG40" s="546">
        <f t="shared" si="48"/>
        <v>1058</v>
      </c>
      <c r="AH40" s="547">
        <f t="shared" si="49"/>
        <v>88.58</v>
      </c>
      <c r="AI40" s="548">
        <f t="shared" si="53"/>
        <v>5599.08</v>
      </c>
    </row>
    <row r="41" spans="2:35" s="120" customFormat="1" ht="15.75" customHeight="1" x14ac:dyDescent="0.2">
      <c r="B41" s="551" t="str">
        <f t="shared" ref="B41:C41" si="67">B18</f>
        <v>2x2 (TH)</v>
      </c>
      <c r="C41" s="552" t="str">
        <f t="shared" si="67"/>
        <v>50% AMI</v>
      </c>
      <c r="D41" s="551">
        <f t="shared" si="56"/>
        <v>1</v>
      </c>
      <c r="E41" s="553">
        <f t="shared" si="57"/>
        <v>1058</v>
      </c>
      <c r="F41" s="554">
        <f>F18*(1+Dashboard!$P$12)</f>
        <v>88.58</v>
      </c>
      <c r="G41" s="555">
        <f>G18*(1+Dashboard!$P$11)</f>
        <v>715.85</v>
      </c>
      <c r="H41" s="549">
        <f t="shared" si="58"/>
        <v>627.27</v>
      </c>
      <c r="I41" s="556">
        <f>I18*(1+Dashboard!$P$11)</f>
        <v>801.34</v>
      </c>
      <c r="J41" s="557">
        <f t="shared" si="59"/>
        <v>712.76</v>
      </c>
      <c r="K41" s="558">
        <f>K18*(1+Dashboard!$P$11)</f>
        <v>0</v>
      </c>
      <c r="L41" s="559">
        <f t="shared" si="60"/>
        <v>150.38</v>
      </c>
      <c r="M41" s="559">
        <f>M18*(1+Dashboard!$P$11)</f>
        <v>61.800000000000004</v>
      </c>
      <c r="N41" s="548">
        <f t="shared" si="61"/>
        <v>741.6</v>
      </c>
      <c r="P41" s="545" t="str">
        <f t="shared" si="36"/>
        <v>2x2 (TH)</v>
      </c>
      <c r="Q41" s="550" t="str">
        <f t="shared" si="37"/>
        <v>50% AMI</v>
      </c>
      <c r="R41" s="545">
        <f t="shared" si="38"/>
        <v>1</v>
      </c>
      <c r="S41" s="546">
        <f t="shared" si="39"/>
        <v>1058</v>
      </c>
      <c r="T41" s="547">
        <f t="shared" si="40"/>
        <v>88.58</v>
      </c>
      <c r="U41" s="548">
        <f t="shared" si="50"/>
        <v>741.6</v>
      </c>
      <c r="W41" s="545" t="str">
        <f t="shared" si="41"/>
        <v>2x2 (TH)</v>
      </c>
      <c r="X41" s="550" t="str">
        <f t="shared" si="42"/>
        <v>50% AMI</v>
      </c>
      <c r="Y41" s="545">
        <f t="shared" si="43"/>
        <v>1</v>
      </c>
      <c r="Z41" s="546">
        <f t="shared" si="44"/>
        <v>1058</v>
      </c>
      <c r="AA41" s="547">
        <f t="shared" si="45"/>
        <v>88.58</v>
      </c>
      <c r="AB41" s="549">
        <f t="shared" si="62"/>
        <v>7527.24</v>
      </c>
      <c r="AD41" s="545" t="str">
        <f t="shared" si="52"/>
        <v>2x2 (TH)</v>
      </c>
      <c r="AE41" s="550" t="str">
        <f t="shared" si="46"/>
        <v>50% AMI</v>
      </c>
      <c r="AF41" s="545">
        <f t="shared" si="47"/>
        <v>1</v>
      </c>
      <c r="AG41" s="546">
        <f t="shared" si="48"/>
        <v>1058</v>
      </c>
      <c r="AH41" s="547">
        <f t="shared" si="49"/>
        <v>88.58</v>
      </c>
      <c r="AI41" s="548">
        <f t="shared" si="53"/>
        <v>7527.24</v>
      </c>
    </row>
    <row r="42" spans="2:35" s="120" customFormat="1" ht="15.75" customHeight="1" x14ac:dyDescent="0.2">
      <c r="B42" s="551" t="str">
        <f t="shared" ref="B42:C42" si="68">B19</f>
        <v>2x2 (TH)</v>
      </c>
      <c r="C42" s="552" t="str">
        <f t="shared" si="68"/>
        <v>60% AMI</v>
      </c>
      <c r="D42" s="551">
        <f t="shared" si="56"/>
        <v>16</v>
      </c>
      <c r="E42" s="553">
        <f t="shared" si="57"/>
        <v>1058</v>
      </c>
      <c r="F42" s="554">
        <f>F19*(1+Dashboard!$P$12)</f>
        <v>88.58</v>
      </c>
      <c r="G42" s="555">
        <f>G19*(1+Dashboard!$P$11)</f>
        <v>876.53</v>
      </c>
      <c r="H42" s="549">
        <f t="shared" si="58"/>
        <v>787.94999999999993</v>
      </c>
      <c r="I42" s="556">
        <f>I19*(1+Dashboard!$P$11)</f>
        <v>801.34</v>
      </c>
      <c r="J42" s="557">
        <f t="shared" si="59"/>
        <v>712.76</v>
      </c>
      <c r="K42" s="558">
        <f>K19*(1+Dashboard!$P$11)</f>
        <v>0</v>
      </c>
      <c r="L42" s="559">
        <f t="shared" si="60"/>
        <v>799.28000000000009</v>
      </c>
      <c r="M42" s="559">
        <f>M19*(1+Dashboard!$P$11)</f>
        <v>710.7</v>
      </c>
      <c r="N42" s="548">
        <f t="shared" si="61"/>
        <v>136454.40000000002</v>
      </c>
      <c r="P42" s="545" t="str">
        <f t="shared" si="36"/>
        <v>2x2 (TH)</v>
      </c>
      <c r="Q42" s="550" t="str">
        <f t="shared" si="37"/>
        <v>60% AMI</v>
      </c>
      <c r="R42" s="545">
        <f t="shared" si="38"/>
        <v>16</v>
      </c>
      <c r="S42" s="546">
        <f t="shared" si="39"/>
        <v>1058</v>
      </c>
      <c r="T42" s="547">
        <f t="shared" si="40"/>
        <v>88.58</v>
      </c>
      <c r="U42" s="548">
        <f t="shared" si="50"/>
        <v>136454.40000000002</v>
      </c>
      <c r="W42" s="545" t="str">
        <f t="shared" si="41"/>
        <v>2x2 (TH)</v>
      </c>
      <c r="X42" s="550" t="str">
        <f t="shared" si="42"/>
        <v>60% AMI</v>
      </c>
      <c r="Y42" s="545">
        <f t="shared" si="43"/>
        <v>16</v>
      </c>
      <c r="Z42" s="546">
        <f t="shared" si="44"/>
        <v>1058</v>
      </c>
      <c r="AA42" s="547">
        <f t="shared" si="45"/>
        <v>88.58</v>
      </c>
      <c r="AB42" s="549">
        <f t="shared" si="62"/>
        <v>151286.39999999999</v>
      </c>
      <c r="AD42" s="545" t="str">
        <f t="shared" si="52"/>
        <v>2x2 (TH)</v>
      </c>
      <c r="AE42" s="550" t="str">
        <f t="shared" si="46"/>
        <v>60% AMI</v>
      </c>
      <c r="AF42" s="545">
        <f t="shared" si="47"/>
        <v>16</v>
      </c>
      <c r="AG42" s="546">
        <f t="shared" si="48"/>
        <v>1058</v>
      </c>
      <c r="AH42" s="547">
        <f t="shared" si="49"/>
        <v>88.58</v>
      </c>
      <c r="AI42" s="548">
        <f t="shared" si="53"/>
        <v>151286.39999999999</v>
      </c>
    </row>
    <row r="43" spans="2:35" s="120" customFormat="1" ht="15.75" customHeight="1" x14ac:dyDescent="0.2">
      <c r="B43" s="551" t="str">
        <f t="shared" ref="B43:C43" si="69">B20</f>
        <v>2x2 (TH)</v>
      </c>
      <c r="C43" s="552" t="str">
        <f t="shared" si="69"/>
        <v>Market</v>
      </c>
      <c r="D43" s="551">
        <f t="shared" si="56"/>
        <v>1</v>
      </c>
      <c r="E43" s="553">
        <f t="shared" si="57"/>
        <v>1058</v>
      </c>
      <c r="F43" s="554">
        <f>F20*(1+Dashboard!$P$12)</f>
        <v>0</v>
      </c>
      <c r="G43" s="555">
        <f>G20*(1+Dashboard!$P$11)</f>
        <v>0</v>
      </c>
      <c r="H43" s="549">
        <f t="shared" si="58"/>
        <v>0</v>
      </c>
      <c r="I43" s="556">
        <f>I20*(1+Dashboard!$P$11)</f>
        <v>801.34</v>
      </c>
      <c r="J43" s="557">
        <f t="shared" si="59"/>
        <v>801.34</v>
      </c>
      <c r="K43" s="558">
        <f>K20*(1+Dashboard!$P$11)</f>
        <v>0</v>
      </c>
      <c r="L43" s="559">
        <f t="shared" si="60"/>
        <v>772.5</v>
      </c>
      <c r="M43" s="559">
        <f>M20*(1+Dashboard!$P$11)</f>
        <v>772.5</v>
      </c>
      <c r="N43" s="548">
        <f t="shared" si="61"/>
        <v>9270</v>
      </c>
      <c r="P43" s="545" t="str">
        <f t="shared" si="36"/>
        <v>2x2 (TH)</v>
      </c>
      <c r="Q43" s="550" t="str">
        <f t="shared" si="37"/>
        <v>Market</v>
      </c>
      <c r="R43" s="545">
        <f t="shared" si="38"/>
        <v>1</v>
      </c>
      <c r="S43" s="546">
        <f t="shared" si="39"/>
        <v>1058</v>
      </c>
      <c r="T43" s="547">
        <f t="shared" si="40"/>
        <v>0</v>
      </c>
      <c r="U43" s="548">
        <f t="shared" si="50"/>
        <v>9270</v>
      </c>
      <c r="W43" s="545" t="str">
        <f t="shared" si="41"/>
        <v>2x2 (TH)</v>
      </c>
      <c r="X43" s="550" t="str">
        <f t="shared" si="42"/>
        <v>Market</v>
      </c>
      <c r="Y43" s="545">
        <f t="shared" si="43"/>
        <v>1</v>
      </c>
      <c r="Z43" s="546">
        <f t="shared" si="44"/>
        <v>1058</v>
      </c>
      <c r="AA43" s="547">
        <f t="shared" si="45"/>
        <v>0</v>
      </c>
      <c r="AB43" s="549">
        <f t="shared" si="62"/>
        <v>0</v>
      </c>
      <c r="AD43" s="545" t="str">
        <f t="shared" si="52"/>
        <v>2x2 (TH)</v>
      </c>
      <c r="AE43" s="550" t="str">
        <f t="shared" si="46"/>
        <v>Market</v>
      </c>
      <c r="AF43" s="545">
        <f t="shared" si="47"/>
        <v>1</v>
      </c>
      <c r="AG43" s="546">
        <f t="shared" si="48"/>
        <v>1058</v>
      </c>
      <c r="AH43" s="547">
        <f t="shared" si="49"/>
        <v>0</v>
      </c>
      <c r="AI43" s="548">
        <f t="shared" si="53"/>
        <v>9270</v>
      </c>
    </row>
    <row r="44" spans="2:35" s="120" customFormat="1" ht="15.75" customHeight="1" x14ac:dyDescent="0.2">
      <c r="B44" s="551" t="str">
        <f t="shared" ref="B44:C44" si="70">B21</f>
        <v xml:space="preserve">2x1.5-2x2 </v>
      </c>
      <c r="C44" s="552" t="str">
        <f t="shared" si="70"/>
        <v>S8 Voucher</v>
      </c>
      <c r="D44" s="551">
        <f t="shared" si="56"/>
        <v>18</v>
      </c>
      <c r="E44" s="553">
        <f t="shared" si="57"/>
        <v>0</v>
      </c>
      <c r="F44" s="554">
        <f>F21*(1+Dashboard!$P$12)</f>
        <v>88.58</v>
      </c>
      <c r="G44" s="555">
        <f>G21*(1+Dashboard!$P$11)</f>
        <v>876.53</v>
      </c>
      <c r="H44" s="549">
        <f t="shared" si="58"/>
        <v>787.94999999999993</v>
      </c>
      <c r="I44" s="556">
        <f>I21*(1+Dashboard!$P$11)</f>
        <v>801.34</v>
      </c>
      <c r="J44" s="557">
        <f t="shared" si="59"/>
        <v>712.76</v>
      </c>
      <c r="K44" s="558">
        <f>K21*(1+Dashboard!$P$11)</f>
        <v>0</v>
      </c>
      <c r="L44" s="559">
        <f t="shared" si="60"/>
        <v>846.66000000000008</v>
      </c>
      <c r="M44" s="559">
        <f>M21*(1+Dashboard!$P$11)</f>
        <v>758.08</v>
      </c>
      <c r="N44" s="548">
        <f t="shared" si="61"/>
        <v>163745.28</v>
      </c>
      <c r="P44" s="545" t="str">
        <f t="shared" si="36"/>
        <v xml:space="preserve">2x1.5-2x2 </v>
      </c>
      <c r="Q44" s="550" t="str">
        <f t="shared" si="37"/>
        <v>S8 Voucher</v>
      </c>
      <c r="R44" s="545">
        <f t="shared" si="38"/>
        <v>18</v>
      </c>
      <c r="S44" s="546">
        <f t="shared" si="39"/>
        <v>0</v>
      </c>
      <c r="T44" s="547">
        <f t="shared" si="40"/>
        <v>88.58</v>
      </c>
      <c r="U44" s="548">
        <f t="shared" si="50"/>
        <v>163745.28</v>
      </c>
      <c r="W44" s="545" t="str">
        <f t="shared" si="41"/>
        <v xml:space="preserve">2x1.5-2x2 </v>
      </c>
      <c r="X44" s="550" t="str">
        <f t="shared" si="42"/>
        <v>S8 Voucher</v>
      </c>
      <c r="Y44" s="545">
        <f t="shared" si="43"/>
        <v>18</v>
      </c>
      <c r="Z44" s="546">
        <f t="shared" si="44"/>
        <v>0</v>
      </c>
      <c r="AA44" s="547">
        <f t="shared" si="45"/>
        <v>88.58</v>
      </c>
      <c r="AB44" s="549">
        <f t="shared" si="62"/>
        <v>170197.19999999998</v>
      </c>
      <c r="AD44" s="545" t="str">
        <f t="shared" si="52"/>
        <v xml:space="preserve">2x1.5-2x2 </v>
      </c>
      <c r="AE44" s="550" t="str">
        <f t="shared" si="46"/>
        <v>S8 Voucher</v>
      </c>
      <c r="AF44" s="545">
        <f t="shared" si="47"/>
        <v>18</v>
      </c>
      <c r="AG44" s="546">
        <f t="shared" si="48"/>
        <v>0</v>
      </c>
      <c r="AH44" s="547">
        <f t="shared" si="49"/>
        <v>88.58</v>
      </c>
      <c r="AI44" s="548">
        <f t="shared" si="53"/>
        <v>170197.19999999998</v>
      </c>
    </row>
    <row r="45" spans="2:35" s="120" customFormat="1" ht="15.75" customHeight="1" x14ac:dyDescent="0.2">
      <c r="B45" s="551" t="str">
        <f t="shared" ref="B45:C45" si="71">B22</f>
        <v>3x2 (TH)</v>
      </c>
      <c r="C45" s="552" t="str">
        <f t="shared" si="71"/>
        <v>50% AMI</v>
      </c>
      <c r="D45" s="551">
        <f t="shared" si="56"/>
        <v>2</v>
      </c>
      <c r="E45" s="553">
        <f t="shared" si="57"/>
        <v>1296</v>
      </c>
      <c r="F45" s="554">
        <f>F22*(1+Dashboard!$P$12)</f>
        <v>110.21000000000001</v>
      </c>
      <c r="G45" s="555">
        <f>G22*(1+Dashboard!$P$11)</f>
        <v>818.85</v>
      </c>
      <c r="H45" s="549">
        <f t="shared" si="58"/>
        <v>708.64</v>
      </c>
      <c r="I45" s="556">
        <f>I22*(1+Dashboard!$P$11)</f>
        <v>1053.69</v>
      </c>
      <c r="J45" s="557">
        <f t="shared" si="59"/>
        <v>943.48</v>
      </c>
      <c r="K45" s="558">
        <f>K22*(1+Dashboard!$P$11)</f>
        <v>0</v>
      </c>
      <c r="L45" s="559">
        <f t="shared" si="60"/>
        <v>810.61</v>
      </c>
      <c r="M45" s="559">
        <f>M22*(1+Dashboard!$P$11)</f>
        <v>700.4</v>
      </c>
      <c r="N45" s="548">
        <f t="shared" si="61"/>
        <v>16809.599999999999</v>
      </c>
      <c r="P45" s="545" t="str">
        <f t="shared" si="36"/>
        <v>3x2 (TH)</v>
      </c>
      <c r="Q45" s="550" t="str">
        <f t="shared" si="37"/>
        <v>50% AMI</v>
      </c>
      <c r="R45" s="545">
        <f t="shared" si="38"/>
        <v>2</v>
      </c>
      <c r="S45" s="546">
        <f t="shared" si="39"/>
        <v>1296</v>
      </c>
      <c r="T45" s="547">
        <f t="shared" si="40"/>
        <v>110.21000000000001</v>
      </c>
      <c r="U45" s="548">
        <f t="shared" si="50"/>
        <v>16809.599999999999</v>
      </c>
      <c r="W45" s="545" t="str">
        <f t="shared" si="41"/>
        <v>3x2 (TH)</v>
      </c>
      <c r="X45" s="550" t="str">
        <f t="shared" si="42"/>
        <v>50% AMI</v>
      </c>
      <c r="Y45" s="545">
        <f t="shared" si="43"/>
        <v>2</v>
      </c>
      <c r="Z45" s="546">
        <f t="shared" si="44"/>
        <v>1296</v>
      </c>
      <c r="AA45" s="547">
        <f t="shared" si="45"/>
        <v>110.21000000000001</v>
      </c>
      <c r="AB45" s="549">
        <f t="shared" si="62"/>
        <v>17007.36</v>
      </c>
      <c r="AD45" s="545" t="str">
        <f t="shared" si="52"/>
        <v>3x2 (TH)</v>
      </c>
      <c r="AE45" s="550" t="str">
        <f t="shared" si="46"/>
        <v>50% AMI</v>
      </c>
      <c r="AF45" s="545">
        <f t="shared" si="47"/>
        <v>2</v>
      </c>
      <c r="AG45" s="546">
        <f t="shared" si="48"/>
        <v>1296</v>
      </c>
      <c r="AH45" s="547">
        <f t="shared" si="49"/>
        <v>110.21000000000001</v>
      </c>
      <c r="AI45" s="548">
        <f t="shared" si="53"/>
        <v>17007.36</v>
      </c>
    </row>
    <row r="46" spans="2:35" s="120" customFormat="1" ht="15.75" customHeight="1" x14ac:dyDescent="0.2">
      <c r="B46" s="551" t="str">
        <f t="shared" ref="B46:C46" si="72">B23</f>
        <v>3x2 (TH)</v>
      </c>
      <c r="C46" s="552" t="str">
        <f t="shared" si="72"/>
        <v>60% AMI</v>
      </c>
      <c r="D46" s="551">
        <f t="shared" si="56"/>
        <v>7</v>
      </c>
      <c r="E46" s="553">
        <f t="shared" si="57"/>
        <v>1296</v>
      </c>
      <c r="F46" s="554">
        <f>F23*(1+Dashboard!$P$12)</f>
        <v>110.21000000000001</v>
      </c>
      <c r="G46" s="555">
        <f>G23*(1+Dashboard!$P$11)</f>
        <v>1005.28</v>
      </c>
      <c r="H46" s="549">
        <f t="shared" si="58"/>
        <v>895.06999999999994</v>
      </c>
      <c r="I46" s="556">
        <f>I23*(1+Dashboard!$P$11)</f>
        <v>1053.69</v>
      </c>
      <c r="J46" s="557">
        <f t="shared" si="59"/>
        <v>943.48</v>
      </c>
      <c r="K46" s="558">
        <f>K23*(1+Dashboard!$P$11)</f>
        <v>0</v>
      </c>
      <c r="L46" s="559">
        <f t="shared" si="60"/>
        <v>827.09</v>
      </c>
      <c r="M46" s="559">
        <f>M23*(1+Dashboard!$P$11)</f>
        <v>716.88</v>
      </c>
      <c r="N46" s="548">
        <f t="shared" si="61"/>
        <v>60217.919999999998</v>
      </c>
      <c r="P46" s="545" t="str">
        <f t="shared" si="36"/>
        <v>3x2 (TH)</v>
      </c>
      <c r="Q46" s="550" t="str">
        <f t="shared" si="37"/>
        <v>60% AMI</v>
      </c>
      <c r="R46" s="545">
        <f t="shared" si="38"/>
        <v>7</v>
      </c>
      <c r="S46" s="546">
        <f t="shared" si="39"/>
        <v>1296</v>
      </c>
      <c r="T46" s="547">
        <f t="shared" si="40"/>
        <v>110.21000000000001</v>
      </c>
      <c r="U46" s="548">
        <f t="shared" si="50"/>
        <v>60217.919999999998</v>
      </c>
      <c r="W46" s="545" t="str">
        <f t="shared" si="41"/>
        <v>3x2 (TH)</v>
      </c>
      <c r="X46" s="550" t="str">
        <f t="shared" si="42"/>
        <v>60% AMI</v>
      </c>
      <c r="Y46" s="545">
        <f t="shared" si="43"/>
        <v>7</v>
      </c>
      <c r="Z46" s="546">
        <f t="shared" si="44"/>
        <v>1296</v>
      </c>
      <c r="AA46" s="547">
        <f t="shared" si="45"/>
        <v>110.21000000000001</v>
      </c>
      <c r="AB46" s="549">
        <f t="shared" si="62"/>
        <v>75185.88</v>
      </c>
      <c r="AD46" s="545" t="str">
        <f t="shared" si="52"/>
        <v>3x2 (TH)</v>
      </c>
      <c r="AE46" s="550" t="str">
        <f t="shared" si="46"/>
        <v>60% AMI</v>
      </c>
      <c r="AF46" s="545">
        <f t="shared" si="47"/>
        <v>7</v>
      </c>
      <c r="AG46" s="546">
        <f t="shared" si="48"/>
        <v>1296</v>
      </c>
      <c r="AH46" s="547">
        <f t="shared" si="49"/>
        <v>110.21000000000001</v>
      </c>
      <c r="AI46" s="548">
        <f t="shared" si="53"/>
        <v>75185.88</v>
      </c>
    </row>
    <row r="47" spans="2:35" s="120" customFormat="1" ht="15.75" customHeight="1" x14ac:dyDescent="0.2">
      <c r="B47" s="551" t="str">
        <f t="shared" ref="B47:C47" si="73">B24</f>
        <v>3x2 (TH)</v>
      </c>
      <c r="C47" s="552" t="str">
        <f t="shared" si="73"/>
        <v>Market</v>
      </c>
      <c r="D47" s="551">
        <f t="shared" si="56"/>
        <v>0</v>
      </c>
      <c r="E47" s="553">
        <f t="shared" si="57"/>
        <v>1296</v>
      </c>
      <c r="F47" s="554">
        <f>F24*(1+Dashboard!$P$12)</f>
        <v>0</v>
      </c>
      <c r="G47" s="555">
        <f>G24*(1+Dashboard!$P$11)</f>
        <v>0</v>
      </c>
      <c r="H47" s="549">
        <f t="shared" si="58"/>
        <v>0</v>
      </c>
      <c r="I47" s="556">
        <f>I24*(1+Dashboard!$P$11)</f>
        <v>1053.69</v>
      </c>
      <c r="J47" s="557">
        <f t="shared" si="59"/>
        <v>1053.69</v>
      </c>
      <c r="K47" s="558">
        <f>K24*(1+Dashboard!$P$11)</f>
        <v>0</v>
      </c>
      <c r="L47" s="559">
        <f t="shared" si="60"/>
        <v>0</v>
      </c>
      <c r="M47" s="559">
        <f>M24*(1+Dashboard!$P$11)</f>
        <v>0</v>
      </c>
      <c r="N47" s="548">
        <f t="shared" si="61"/>
        <v>0</v>
      </c>
      <c r="P47" s="545" t="str">
        <f t="shared" si="36"/>
        <v>3x2 (TH)</v>
      </c>
      <c r="Q47" s="550" t="str">
        <f t="shared" si="37"/>
        <v>Market</v>
      </c>
      <c r="R47" s="545">
        <f t="shared" si="38"/>
        <v>0</v>
      </c>
      <c r="S47" s="546">
        <f t="shared" si="39"/>
        <v>1296</v>
      </c>
      <c r="T47" s="547">
        <f t="shared" si="40"/>
        <v>0</v>
      </c>
      <c r="U47" s="548">
        <f t="shared" si="50"/>
        <v>0</v>
      </c>
      <c r="W47" s="545" t="str">
        <f t="shared" si="41"/>
        <v>3x2 (TH)</v>
      </c>
      <c r="X47" s="550" t="str">
        <f t="shared" si="42"/>
        <v>Market</v>
      </c>
      <c r="Y47" s="545">
        <f t="shared" si="43"/>
        <v>0</v>
      </c>
      <c r="Z47" s="546">
        <f t="shared" si="44"/>
        <v>1296</v>
      </c>
      <c r="AA47" s="547">
        <f t="shared" si="45"/>
        <v>0</v>
      </c>
      <c r="AB47" s="549">
        <f t="shared" si="62"/>
        <v>0</v>
      </c>
      <c r="AD47" s="545" t="str">
        <f t="shared" si="52"/>
        <v>3x2 (TH)</v>
      </c>
      <c r="AE47" s="550" t="str">
        <f t="shared" si="46"/>
        <v>Market</v>
      </c>
      <c r="AF47" s="545">
        <f t="shared" si="47"/>
        <v>0</v>
      </c>
      <c r="AG47" s="546">
        <f t="shared" si="48"/>
        <v>1296</v>
      </c>
      <c r="AH47" s="547">
        <f t="shared" si="49"/>
        <v>0</v>
      </c>
      <c r="AI47" s="548">
        <f t="shared" si="53"/>
        <v>0</v>
      </c>
    </row>
    <row r="48" spans="2:35" s="120" customFormat="1" ht="15.75" customHeight="1" x14ac:dyDescent="0.2">
      <c r="B48" s="551" t="str">
        <f t="shared" ref="B48:C48" si="74">B25</f>
        <v>3x2 (TH)</v>
      </c>
      <c r="C48" s="552" t="str">
        <f t="shared" si="74"/>
        <v>S8 Voucher</v>
      </c>
      <c r="D48" s="551">
        <f t="shared" si="56"/>
        <v>11</v>
      </c>
      <c r="E48" s="553">
        <f t="shared" si="57"/>
        <v>1296</v>
      </c>
      <c r="F48" s="554">
        <f>F25*(1+Dashboard!$P$12)</f>
        <v>110.21000000000001</v>
      </c>
      <c r="G48" s="555">
        <f>G25*(1+Dashboard!$P$11)</f>
        <v>1005.28</v>
      </c>
      <c r="H48" s="549">
        <f t="shared" si="58"/>
        <v>895.06999999999994</v>
      </c>
      <c r="I48" s="556">
        <f>I25*(1+Dashboard!$P$11)</f>
        <v>1053.69</v>
      </c>
      <c r="J48" s="557">
        <f t="shared" si="59"/>
        <v>943.48</v>
      </c>
      <c r="K48" s="558">
        <f>K25*(1+Dashboard!$P$11)</f>
        <v>0</v>
      </c>
      <c r="L48" s="559">
        <f t="shared" si="60"/>
        <v>963.05000000000007</v>
      </c>
      <c r="M48" s="559">
        <f>M25*(1+Dashboard!$P$11)</f>
        <v>852.84</v>
      </c>
      <c r="N48" s="548">
        <f t="shared" si="61"/>
        <v>112574.88</v>
      </c>
      <c r="P48" s="545" t="str">
        <f t="shared" si="36"/>
        <v>3x2 (TH)</v>
      </c>
      <c r="Q48" s="550" t="str">
        <f t="shared" si="37"/>
        <v>S8 Voucher</v>
      </c>
      <c r="R48" s="545">
        <f t="shared" si="38"/>
        <v>11</v>
      </c>
      <c r="S48" s="546">
        <f t="shared" si="39"/>
        <v>1296</v>
      </c>
      <c r="T48" s="547">
        <f t="shared" si="40"/>
        <v>110.21000000000001</v>
      </c>
      <c r="U48" s="548">
        <f t="shared" si="50"/>
        <v>112574.88</v>
      </c>
      <c r="W48" s="545" t="str">
        <f t="shared" si="41"/>
        <v>3x2 (TH)</v>
      </c>
      <c r="X48" s="550" t="str">
        <f t="shared" si="42"/>
        <v>S8 Voucher</v>
      </c>
      <c r="Y48" s="545">
        <f t="shared" si="43"/>
        <v>11</v>
      </c>
      <c r="Z48" s="546">
        <f t="shared" si="44"/>
        <v>1296</v>
      </c>
      <c r="AA48" s="547">
        <f t="shared" si="45"/>
        <v>110.21000000000001</v>
      </c>
      <c r="AB48" s="549">
        <f t="shared" si="62"/>
        <v>118149.23999999999</v>
      </c>
      <c r="AD48" s="545" t="str">
        <f t="shared" si="52"/>
        <v>3x2 (TH)</v>
      </c>
      <c r="AE48" s="550" t="str">
        <f t="shared" si="46"/>
        <v>S8 Voucher</v>
      </c>
      <c r="AF48" s="545">
        <f t="shared" si="47"/>
        <v>11</v>
      </c>
      <c r="AG48" s="546">
        <f t="shared" si="48"/>
        <v>1296</v>
      </c>
      <c r="AH48" s="547">
        <f t="shared" si="49"/>
        <v>110.21000000000001</v>
      </c>
      <c r="AI48" s="548">
        <f t="shared" si="53"/>
        <v>118149.23999999999</v>
      </c>
    </row>
    <row r="49" spans="2:35" s="120" customFormat="1" ht="15.75" customHeight="1" x14ac:dyDescent="0.2">
      <c r="B49" s="198" t="s">
        <v>295</v>
      </c>
      <c r="C49" s="122"/>
      <c r="D49" s="166">
        <f>SUM(D30:D48)</f>
        <v>72</v>
      </c>
      <c r="E49" s="166">
        <f t="shared" ref="E49:M49" si="75">+SUMPRODUCT(E30:E48,$D30:$D48)</f>
        <v>59002</v>
      </c>
      <c r="F49" s="165">
        <f t="shared" si="75"/>
        <v>6525.0500000000011</v>
      </c>
      <c r="G49" s="165">
        <f t="shared" si="75"/>
        <v>61484.82</v>
      </c>
      <c r="H49" s="165">
        <f t="shared" si="75"/>
        <v>54959.76999999999</v>
      </c>
      <c r="I49" s="165">
        <f t="shared" si="75"/>
        <v>62156.380000000005</v>
      </c>
      <c r="J49" s="165">
        <f t="shared" si="75"/>
        <v>55631.329999999994</v>
      </c>
      <c r="K49" s="165">
        <f t="shared" si="75"/>
        <v>0</v>
      </c>
      <c r="L49" s="165">
        <f t="shared" si="75"/>
        <v>57482.240000000005</v>
      </c>
      <c r="M49" s="165">
        <f t="shared" si="75"/>
        <v>50957.189999999995</v>
      </c>
      <c r="N49" s="165">
        <f>SUM(N30:N48)</f>
        <v>611486.28</v>
      </c>
      <c r="P49" s="198" t="s">
        <v>295</v>
      </c>
      <c r="Q49" s="122"/>
      <c r="R49" s="560">
        <f>SUM(R30:R48)</f>
        <v>72</v>
      </c>
      <c r="S49" s="560">
        <f>+SUMPRODUCT(S30:S48,$R30:$R48)</f>
        <v>59002</v>
      </c>
      <c r="T49" s="165">
        <f>+SUMPRODUCT(T30:T48,$R30:$R48)</f>
        <v>6525.0500000000011</v>
      </c>
      <c r="U49" s="165">
        <f>SUM(U30:U48)</f>
        <v>611486.28</v>
      </c>
      <c r="W49" s="198" t="s">
        <v>295</v>
      </c>
      <c r="X49" s="122"/>
      <c r="Y49" s="560">
        <f>SUM(Y30:Y48)</f>
        <v>72</v>
      </c>
      <c r="Z49" s="560">
        <f>+SUMPRODUCT(Z30:Z48,$Y30:$Y48)</f>
        <v>59002</v>
      </c>
      <c r="AA49" s="165">
        <f>+SUMPRODUCT(AA30:AA48,$Y30:$Y48)</f>
        <v>6525.0500000000011</v>
      </c>
      <c r="AB49" s="165">
        <f>SUM(AB30:AB48)</f>
        <v>659517.24</v>
      </c>
      <c r="AC49" s="122"/>
      <c r="AD49" s="198" t="s">
        <v>295</v>
      </c>
      <c r="AE49" s="122"/>
      <c r="AF49" s="560">
        <f>SUM(AF30:AF48)</f>
        <v>72</v>
      </c>
      <c r="AG49" s="560">
        <f>+SUMPRODUCT(AG30:AG48,$AF30:$AF48)</f>
        <v>59002</v>
      </c>
      <c r="AH49" s="165">
        <f>+SUMPRODUCT(AH30:AH48,$AF30:$AF48)</f>
        <v>6525.0500000000011</v>
      </c>
      <c r="AI49" s="165">
        <f>SUM(AI30:AI48)</f>
        <v>676277.39999999991</v>
      </c>
    </row>
    <row r="50" spans="2:35" s="120" customFormat="1" ht="15.75" customHeight="1" x14ac:dyDescent="0.2">
      <c r="K50" s="132"/>
    </row>
    <row r="51" spans="2:35" s="168" customFormat="1" ht="15.75" customHeight="1" x14ac:dyDescent="0.25">
      <c r="B51" s="170" t="s">
        <v>174</v>
      </c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P51" s="170" t="str">
        <f>+$B51</f>
        <v>Year 3</v>
      </c>
      <c r="Q51" s="170"/>
      <c r="R51" s="170"/>
      <c r="S51" s="170"/>
      <c r="T51" s="170"/>
      <c r="U51" s="170"/>
      <c r="W51" s="170" t="str">
        <f>+$B51</f>
        <v>Year 3</v>
      </c>
      <c r="X51" s="170"/>
      <c r="Y51" s="170"/>
      <c r="Z51" s="170"/>
      <c r="AA51" s="170"/>
      <c r="AB51" s="170"/>
      <c r="AD51" s="170" t="str">
        <f>+$B51</f>
        <v>Year 3</v>
      </c>
      <c r="AE51" s="170"/>
      <c r="AF51" s="170"/>
      <c r="AG51" s="170"/>
      <c r="AH51" s="170"/>
      <c r="AI51" s="170"/>
    </row>
    <row r="52" spans="2:35" s="164" customFormat="1" ht="38.25" x14ac:dyDescent="0.2">
      <c r="B52" s="543" t="s">
        <v>61</v>
      </c>
      <c r="C52" s="543" t="s">
        <v>215</v>
      </c>
      <c r="D52" s="543" t="s">
        <v>64</v>
      </c>
      <c r="E52" s="543" t="s">
        <v>231</v>
      </c>
      <c r="F52" s="543" t="s">
        <v>237</v>
      </c>
      <c r="G52" s="544" t="s">
        <v>232</v>
      </c>
      <c r="H52" s="543" t="s">
        <v>240</v>
      </c>
      <c r="I52" s="543" t="s">
        <v>233</v>
      </c>
      <c r="J52" s="543" t="s">
        <v>63</v>
      </c>
      <c r="K52" s="543" t="str">
        <f>+K29</f>
        <v>CoStar Rent</v>
      </c>
      <c r="L52" s="543" t="s">
        <v>62</v>
      </c>
      <c r="M52" s="543" t="s">
        <v>238</v>
      </c>
      <c r="N52" s="543" t="s">
        <v>241</v>
      </c>
      <c r="P52" s="543" t="s">
        <v>61</v>
      </c>
      <c r="Q52" s="543" t="s">
        <v>215</v>
      </c>
      <c r="R52" s="543" t="s">
        <v>64</v>
      </c>
      <c r="S52" s="543" t="s">
        <v>231</v>
      </c>
      <c r="T52" s="543" t="s">
        <v>237</v>
      </c>
      <c r="U52" s="543" t="s">
        <v>151</v>
      </c>
      <c r="W52" s="543" t="s">
        <v>61</v>
      </c>
      <c r="X52" s="543" t="s">
        <v>215</v>
      </c>
      <c r="Y52" s="543" t="s">
        <v>64</v>
      </c>
      <c r="Z52" s="543" t="s">
        <v>231</v>
      </c>
      <c r="AA52" s="543" t="s">
        <v>237</v>
      </c>
      <c r="AB52" s="543" t="s">
        <v>152</v>
      </c>
      <c r="AD52" s="543" t="s">
        <v>61</v>
      </c>
      <c r="AE52" s="543" t="s">
        <v>215</v>
      </c>
      <c r="AF52" s="543" t="s">
        <v>64</v>
      </c>
      <c r="AG52" s="543" t="s">
        <v>231</v>
      </c>
      <c r="AH52" s="543" t="s">
        <v>237</v>
      </c>
      <c r="AI52" s="543" t="s">
        <v>424</v>
      </c>
    </row>
    <row r="53" spans="2:35" s="120" customFormat="1" ht="15.75" customHeight="1" x14ac:dyDescent="0.2">
      <c r="B53" s="551" t="str">
        <f t="shared" ref="B53:C71" si="76">B30</f>
        <v>1x1</v>
      </c>
      <c r="C53" s="552" t="str">
        <f t="shared" si="76"/>
        <v>50% AMI</v>
      </c>
      <c r="D53" s="551">
        <f t="shared" ref="D53:D71" si="77">$D30</f>
        <v>2</v>
      </c>
      <c r="E53" s="553">
        <f t="shared" ref="E53:E71" si="78">E30</f>
        <v>701</v>
      </c>
      <c r="F53" s="554">
        <f>F30*(1+Dashboard!$P$12)</f>
        <v>68.958500000000001</v>
      </c>
      <c r="G53" s="555">
        <f>G30*(1+Dashboard!$P$11)</f>
        <v>690.64589999999998</v>
      </c>
      <c r="H53" s="549">
        <f t="shared" ref="H53:H71" si="79">+G53-F53</f>
        <v>621.68740000000003</v>
      </c>
      <c r="I53" s="556">
        <f>I30*(1+Dashboard!$P$11)</f>
        <v>724.59469999999999</v>
      </c>
      <c r="J53" s="557">
        <f t="shared" ref="J53:J71" si="80">I53-F53</f>
        <v>655.63620000000003</v>
      </c>
      <c r="K53" s="558">
        <f>K30*(1+Dashboard!$P$11)</f>
        <v>0</v>
      </c>
      <c r="L53" s="559">
        <f t="shared" ref="L53:L71" si="81">M53+F53</f>
        <v>628.05280000000005</v>
      </c>
      <c r="M53" s="559">
        <f>M30*(1+Dashboard!$P$11)</f>
        <v>559.09430000000009</v>
      </c>
      <c r="N53" s="548">
        <f t="shared" ref="N53:N71" si="82">((M53*D53)*12)</f>
        <v>13418.263200000001</v>
      </c>
      <c r="P53" s="545" t="str">
        <f t="shared" ref="P53:P71" si="83">B53</f>
        <v>1x1</v>
      </c>
      <c r="Q53" s="545" t="str">
        <f t="shared" ref="Q53:Q71" si="84">C53</f>
        <v>50% AMI</v>
      </c>
      <c r="R53" s="545">
        <f t="shared" ref="R53:R71" si="85">D53</f>
        <v>2</v>
      </c>
      <c r="S53" s="546">
        <f t="shared" ref="S53:S71" si="86">E53</f>
        <v>701</v>
      </c>
      <c r="T53" s="547">
        <f t="shared" ref="T53:T71" si="87">F53</f>
        <v>68.958500000000001</v>
      </c>
      <c r="U53" s="548">
        <f>((M53*R53)*12)</f>
        <v>13418.263200000001</v>
      </c>
      <c r="W53" s="545" t="str">
        <f t="shared" ref="W53:W71" si="88">B53</f>
        <v>1x1</v>
      </c>
      <c r="X53" s="545" t="str">
        <f t="shared" ref="X53:X71" si="89">C53</f>
        <v>50% AMI</v>
      </c>
      <c r="Y53" s="545">
        <f t="shared" ref="Y53:Y71" si="90">D53</f>
        <v>2</v>
      </c>
      <c r="Z53" s="546">
        <f t="shared" ref="Z53:Z71" si="91">E53</f>
        <v>701</v>
      </c>
      <c r="AA53" s="547">
        <f t="shared" ref="AA53:AA71" si="92">F53</f>
        <v>68.958500000000001</v>
      </c>
      <c r="AB53" s="549">
        <f>((H53*Y53)*12)</f>
        <v>14920.497600000001</v>
      </c>
      <c r="AD53" s="545" t="str">
        <f>B53</f>
        <v>1x1</v>
      </c>
      <c r="AE53" s="545" t="str">
        <f t="shared" ref="AE53:AE71" si="93">C53</f>
        <v>50% AMI</v>
      </c>
      <c r="AF53" s="545">
        <f t="shared" ref="AF53:AF71" si="94">D53</f>
        <v>2</v>
      </c>
      <c r="AG53" s="546">
        <f t="shared" ref="AG53:AG71" si="95">E53</f>
        <v>701</v>
      </c>
      <c r="AH53" s="547">
        <f t="shared" ref="AH53:AH71" si="96">F53</f>
        <v>68.958500000000001</v>
      </c>
      <c r="AI53" s="548">
        <f>+MAX(U53,AB53)</f>
        <v>14920.497600000001</v>
      </c>
    </row>
    <row r="54" spans="2:35" s="120" customFormat="1" ht="15.75" customHeight="1" x14ac:dyDescent="0.2">
      <c r="B54" s="551" t="str">
        <f t="shared" si="76"/>
        <v>1x1</v>
      </c>
      <c r="C54" s="552" t="str">
        <f t="shared" si="76"/>
        <v>60% AMI</v>
      </c>
      <c r="D54" s="551">
        <f t="shared" si="77"/>
        <v>0</v>
      </c>
      <c r="E54" s="553">
        <f t="shared" si="78"/>
        <v>701</v>
      </c>
      <c r="F54" s="554">
        <f>F31*(1+Dashboard!$P$12)</f>
        <v>68.958500000000001</v>
      </c>
      <c r="G54" s="555">
        <f>G31*(1+Dashboard!$P$11)</f>
        <v>828.56290000000013</v>
      </c>
      <c r="H54" s="549">
        <f t="shared" si="79"/>
        <v>759.60440000000017</v>
      </c>
      <c r="I54" s="556">
        <f>I31*(1+Dashboard!$P$11)</f>
        <v>724.59469999999999</v>
      </c>
      <c r="J54" s="557">
        <f t="shared" si="80"/>
        <v>655.63620000000003</v>
      </c>
      <c r="K54" s="558">
        <f>K31*(1+Dashboard!$P$11)</f>
        <v>0</v>
      </c>
      <c r="L54" s="559">
        <f t="shared" si="81"/>
        <v>68.958500000000001</v>
      </c>
      <c r="M54" s="559">
        <f>M31*(1+Dashboard!$P$11)</f>
        <v>0</v>
      </c>
      <c r="N54" s="548">
        <f t="shared" si="82"/>
        <v>0</v>
      </c>
      <c r="P54" s="545" t="str">
        <f t="shared" si="83"/>
        <v>1x1</v>
      </c>
      <c r="Q54" s="550" t="str">
        <f t="shared" si="84"/>
        <v>60% AMI</v>
      </c>
      <c r="R54" s="545">
        <f t="shared" si="85"/>
        <v>0</v>
      </c>
      <c r="S54" s="546">
        <f t="shared" si="86"/>
        <v>701</v>
      </c>
      <c r="T54" s="547">
        <f t="shared" si="87"/>
        <v>68.958500000000001</v>
      </c>
      <c r="U54" s="548">
        <f t="shared" ref="U54:U71" si="97">((M54*R54)*12)</f>
        <v>0</v>
      </c>
      <c r="W54" s="545" t="str">
        <f t="shared" si="88"/>
        <v>1x1</v>
      </c>
      <c r="X54" s="550" t="str">
        <f t="shared" si="89"/>
        <v>60% AMI</v>
      </c>
      <c r="Y54" s="545">
        <f t="shared" si="90"/>
        <v>0</v>
      </c>
      <c r="Z54" s="546">
        <f t="shared" si="91"/>
        <v>701</v>
      </c>
      <c r="AA54" s="547">
        <f t="shared" si="92"/>
        <v>68.958500000000001</v>
      </c>
      <c r="AB54" s="549">
        <f t="shared" ref="AB54" si="98">((H54*Y54)*12)</f>
        <v>0</v>
      </c>
      <c r="AD54" s="545" t="str">
        <f t="shared" ref="AD54:AD71" si="99">B54</f>
        <v>1x1</v>
      </c>
      <c r="AE54" s="550" t="str">
        <f t="shared" si="93"/>
        <v>60% AMI</v>
      </c>
      <c r="AF54" s="545">
        <f t="shared" si="94"/>
        <v>0</v>
      </c>
      <c r="AG54" s="546">
        <f t="shared" si="95"/>
        <v>701</v>
      </c>
      <c r="AH54" s="547">
        <f t="shared" si="96"/>
        <v>68.958500000000001</v>
      </c>
      <c r="AI54" s="548">
        <f t="shared" ref="AI54:AI71" si="100">+MAX(U54,AB54)</f>
        <v>0</v>
      </c>
    </row>
    <row r="55" spans="2:35" s="120" customFormat="1" ht="15.75" customHeight="1" x14ac:dyDescent="0.2">
      <c r="B55" s="551" t="str">
        <f t="shared" si="76"/>
        <v>1x1</v>
      </c>
      <c r="C55" s="552" t="str">
        <f t="shared" si="76"/>
        <v>Market</v>
      </c>
      <c r="D55" s="551">
        <f t="shared" si="77"/>
        <v>1</v>
      </c>
      <c r="E55" s="553">
        <f t="shared" si="78"/>
        <v>701</v>
      </c>
      <c r="F55" s="554">
        <f>F32*(1+Dashboard!$P$12)</f>
        <v>0</v>
      </c>
      <c r="G55" s="555">
        <f>G32*(1+Dashboard!$P$11)</f>
        <v>0</v>
      </c>
      <c r="H55" s="549">
        <f t="shared" si="79"/>
        <v>0</v>
      </c>
      <c r="I55" s="556">
        <f>I32*(1+Dashboard!$P$11)</f>
        <v>724.59469999999999</v>
      </c>
      <c r="J55" s="557">
        <f t="shared" si="80"/>
        <v>724.59469999999999</v>
      </c>
      <c r="K55" s="558">
        <f>K32*(1+Dashboard!$P$11)</f>
        <v>0</v>
      </c>
      <c r="L55" s="559">
        <f t="shared" si="81"/>
        <v>629.11369999999999</v>
      </c>
      <c r="M55" s="559">
        <f>M32*(1+Dashboard!$P$11)</f>
        <v>629.11369999999999</v>
      </c>
      <c r="N55" s="548">
        <f t="shared" si="82"/>
        <v>7549.3644000000004</v>
      </c>
      <c r="P55" s="545" t="str">
        <f t="shared" si="83"/>
        <v>1x1</v>
      </c>
      <c r="Q55" s="550" t="str">
        <f t="shared" si="84"/>
        <v>Market</v>
      </c>
      <c r="R55" s="545">
        <f t="shared" si="85"/>
        <v>1</v>
      </c>
      <c r="S55" s="546">
        <f t="shared" si="86"/>
        <v>701</v>
      </c>
      <c r="T55" s="547">
        <f t="shared" si="87"/>
        <v>0</v>
      </c>
      <c r="U55" s="548">
        <f t="shared" si="97"/>
        <v>7549.3644000000004</v>
      </c>
      <c r="W55" s="545" t="str">
        <f t="shared" si="88"/>
        <v>1x1</v>
      </c>
      <c r="X55" s="550" t="str">
        <f t="shared" si="89"/>
        <v>Market</v>
      </c>
      <c r="Y55" s="545">
        <f t="shared" si="90"/>
        <v>1</v>
      </c>
      <c r="Z55" s="546">
        <f t="shared" si="91"/>
        <v>701</v>
      </c>
      <c r="AA55" s="547">
        <f t="shared" si="92"/>
        <v>0</v>
      </c>
      <c r="AB55" s="549">
        <f>((H55*Y55)*12)</f>
        <v>0</v>
      </c>
      <c r="AD55" s="545" t="str">
        <f t="shared" si="99"/>
        <v>1x1</v>
      </c>
      <c r="AE55" s="550" t="str">
        <f t="shared" si="93"/>
        <v>Market</v>
      </c>
      <c r="AF55" s="545">
        <f t="shared" si="94"/>
        <v>1</v>
      </c>
      <c r="AG55" s="546">
        <f t="shared" si="95"/>
        <v>701</v>
      </c>
      <c r="AH55" s="547">
        <f t="shared" si="96"/>
        <v>0</v>
      </c>
      <c r="AI55" s="548">
        <f t="shared" si="100"/>
        <v>7549.3644000000004</v>
      </c>
    </row>
    <row r="56" spans="2:35" s="120" customFormat="1" ht="15.75" customHeight="1" x14ac:dyDescent="0.2">
      <c r="B56" s="551" t="str">
        <f t="shared" si="76"/>
        <v>1x1</v>
      </c>
      <c r="C56" s="552" t="str">
        <f t="shared" si="76"/>
        <v>S8 Voucher</v>
      </c>
      <c r="D56" s="551">
        <f t="shared" si="77"/>
        <v>3</v>
      </c>
      <c r="E56" s="553">
        <f t="shared" si="78"/>
        <v>701</v>
      </c>
      <c r="F56" s="554">
        <f>F33*(1+Dashboard!$P$12)</f>
        <v>68.958500000000001</v>
      </c>
      <c r="G56" s="555">
        <f>G33*(1+Dashboard!$P$11)</f>
        <v>828.56290000000013</v>
      </c>
      <c r="H56" s="549">
        <f t="shared" si="79"/>
        <v>759.60440000000017</v>
      </c>
      <c r="I56" s="556">
        <f>I33*(1+Dashboard!$P$11)</f>
        <v>724.59469999999999</v>
      </c>
      <c r="J56" s="557">
        <f t="shared" si="80"/>
        <v>655.63620000000003</v>
      </c>
      <c r="K56" s="558">
        <f>K33*(1+Dashboard!$P$11)</f>
        <v>0</v>
      </c>
      <c r="L56" s="559">
        <f t="shared" si="81"/>
        <v>623.80920000000003</v>
      </c>
      <c r="M56" s="559">
        <f>M33*(1+Dashboard!$P$11)</f>
        <v>554.85070000000007</v>
      </c>
      <c r="N56" s="548">
        <f t="shared" si="82"/>
        <v>19974.625200000002</v>
      </c>
      <c r="P56" s="545" t="str">
        <f t="shared" si="83"/>
        <v>1x1</v>
      </c>
      <c r="Q56" s="550" t="str">
        <f t="shared" si="84"/>
        <v>S8 Voucher</v>
      </c>
      <c r="R56" s="545">
        <f t="shared" si="85"/>
        <v>3</v>
      </c>
      <c r="S56" s="546">
        <f t="shared" si="86"/>
        <v>701</v>
      </c>
      <c r="T56" s="547">
        <f t="shared" si="87"/>
        <v>68.958500000000001</v>
      </c>
      <c r="U56" s="548">
        <f t="shared" si="97"/>
        <v>19974.625200000002</v>
      </c>
      <c r="W56" s="545" t="str">
        <f t="shared" si="88"/>
        <v>1x1</v>
      </c>
      <c r="X56" s="550" t="str">
        <f t="shared" si="89"/>
        <v>S8 Voucher</v>
      </c>
      <c r="Y56" s="545">
        <f t="shared" si="90"/>
        <v>3</v>
      </c>
      <c r="Z56" s="546">
        <f t="shared" si="91"/>
        <v>701</v>
      </c>
      <c r="AA56" s="547">
        <f t="shared" si="92"/>
        <v>68.958500000000001</v>
      </c>
      <c r="AB56" s="549">
        <f t="shared" ref="AB56:AB57" si="101">((H56*Y56)*12)</f>
        <v>27345.758400000006</v>
      </c>
      <c r="AD56" s="545" t="str">
        <f t="shared" si="99"/>
        <v>1x1</v>
      </c>
      <c r="AE56" s="550" t="str">
        <f t="shared" si="93"/>
        <v>S8 Voucher</v>
      </c>
      <c r="AF56" s="545">
        <f t="shared" si="94"/>
        <v>3</v>
      </c>
      <c r="AG56" s="546">
        <f t="shared" si="95"/>
        <v>701</v>
      </c>
      <c r="AH56" s="547">
        <f t="shared" si="96"/>
        <v>68.958500000000001</v>
      </c>
      <c r="AI56" s="548">
        <f t="shared" si="100"/>
        <v>27345.758400000006</v>
      </c>
    </row>
    <row r="57" spans="2:35" s="120" customFormat="1" ht="15.75" customHeight="1" x14ac:dyDescent="0.2">
      <c r="B57" s="551" t="str">
        <f t="shared" si="76"/>
        <v>2x1.5</v>
      </c>
      <c r="C57" s="552" t="str">
        <f t="shared" si="76"/>
        <v>40% AMI</v>
      </c>
      <c r="D57" s="551">
        <f t="shared" si="77"/>
        <v>1</v>
      </c>
      <c r="E57" s="553">
        <f t="shared" si="78"/>
        <v>940</v>
      </c>
      <c r="F57" s="554">
        <f>F34*(1+Dashboard!$P$12)</f>
        <v>91.237399999999994</v>
      </c>
      <c r="G57" s="555">
        <f>G34*(1+Dashboard!$P$11)</f>
        <v>571.82510000000002</v>
      </c>
      <c r="H57" s="549">
        <f t="shared" si="79"/>
        <v>480.58770000000004</v>
      </c>
      <c r="I57" s="556">
        <f>I34*(1+Dashboard!$P$11)</f>
        <v>825.38020000000006</v>
      </c>
      <c r="J57" s="557">
        <f t="shared" si="80"/>
        <v>734.14280000000008</v>
      </c>
      <c r="K57" s="558">
        <f>K34*(1+Dashboard!$P$11)</f>
        <v>0</v>
      </c>
      <c r="L57" s="559">
        <f t="shared" si="81"/>
        <v>584.55590000000007</v>
      </c>
      <c r="M57" s="559">
        <f>M34*(1+Dashboard!$P$11)</f>
        <v>493.31850000000003</v>
      </c>
      <c r="N57" s="548">
        <f t="shared" si="82"/>
        <v>5919.8220000000001</v>
      </c>
      <c r="P57" s="545" t="str">
        <f t="shared" si="83"/>
        <v>2x1.5</v>
      </c>
      <c r="Q57" s="550" t="str">
        <f t="shared" si="84"/>
        <v>40% AMI</v>
      </c>
      <c r="R57" s="545">
        <f t="shared" si="85"/>
        <v>1</v>
      </c>
      <c r="S57" s="546">
        <f t="shared" si="86"/>
        <v>940</v>
      </c>
      <c r="T57" s="547">
        <f t="shared" si="87"/>
        <v>91.237399999999994</v>
      </c>
      <c r="U57" s="548">
        <f t="shared" si="97"/>
        <v>5919.8220000000001</v>
      </c>
      <c r="W57" s="545" t="str">
        <f t="shared" si="88"/>
        <v>2x1.5</v>
      </c>
      <c r="X57" s="550" t="str">
        <f t="shared" si="89"/>
        <v>40% AMI</v>
      </c>
      <c r="Y57" s="545">
        <f t="shared" si="90"/>
        <v>1</v>
      </c>
      <c r="Z57" s="546">
        <f t="shared" si="91"/>
        <v>940</v>
      </c>
      <c r="AA57" s="547">
        <f t="shared" si="92"/>
        <v>91.237399999999994</v>
      </c>
      <c r="AB57" s="549">
        <f t="shared" si="101"/>
        <v>5767.0524000000005</v>
      </c>
      <c r="AD57" s="545" t="str">
        <f t="shared" si="99"/>
        <v>2x1.5</v>
      </c>
      <c r="AE57" s="550" t="str">
        <f t="shared" si="93"/>
        <v>40% AMI</v>
      </c>
      <c r="AF57" s="545">
        <f t="shared" si="94"/>
        <v>1</v>
      </c>
      <c r="AG57" s="546">
        <f t="shared" si="95"/>
        <v>940</v>
      </c>
      <c r="AH57" s="547">
        <f t="shared" si="96"/>
        <v>91.237399999999994</v>
      </c>
      <c r="AI57" s="548">
        <f t="shared" si="100"/>
        <v>5919.8220000000001</v>
      </c>
    </row>
    <row r="58" spans="2:35" s="120" customFormat="1" ht="15.75" customHeight="1" x14ac:dyDescent="0.2">
      <c r="B58" s="551" t="str">
        <f t="shared" si="76"/>
        <v>2x1.5</v>
      </c>
      <c r="C58" s="552" t="str">
        <f t="shared" si="76"/>
        <v>50% AMI</v>
      </c>
      <c r="D58" s="551">
        <f t="shared" si="77"/>
        <v>3</v>
      </c>
      <c r="E58" s="553">
        <f t="shared" si="78"/>
        <v>990</v>
      </c>
      <c r="F58" s="554">
        <f>F35*(1+Dashboard!$P$12)</f>
        <v>91.237399999999994</v>
      </c>
      <c r="G58" s="555">
        <f>G35*(1+Dashboard!$P$11)</f>
        <v>737.32550000000003</v>
      </c>
      <c r="H58" s="549">
        <f t="shared" si="79"/>
        <v>646.08810000000005</v>
      </c>
      <c r="I58" s="556">
        <f>I35*(1+Dashboard!$P$11)</f>
        <v>825.38020000000006</v>
      </c>
      <c r="J58" s="557">
        <f t="shared" si="80"/>
        <v>734.14280000000008</v>
      </c>
      <c r="K58" s="558">
        <f>K35*(1+Dashboard!$P$11)</f>
        <v>0</v>
      </c>
      <c r="L58" s="559">
        <f t="shared" si="81"/>
        <v>706.55939999999998</v>
      </c>
      <c r="M58" s="559">
        <f>M35*(1+Dashboard!$P$11)</f>
        <v>615.322</v>
      </c>
      <c r="N58" s="548">
        <f t="shared" si="82"/>
        <v>22151.591999999997</v>
      </c>
      <c r="P58" s="545" t="str">
        <f t="shared" si="83"/>
        <v>2x1.5</v>
      </c>
      <c r="Q58" s="550" t="str">
        <f t="shared" si="84"/>
        <v>50% AMI</v>
      </c>
      <c r="R58" s="545">
        <f t="shared" si="85"/>
        <v>3</v>
      </c>
      <c r="S58" s="546">
        <f t="shared" si="86"/>
        <v>990</v>
      </c>
      <c r="T58" s="547">
        <f t="shared" si="87"/>
        <v>91.237399999999994</v>
      </c>
      <c r="U58" s="548">
        <f t="shared" si="97"/>
        <v>22151.591999999997</v>
      </c>
      <c r="W58" s="545" t="str">
        <f t="shared" si="88"/>
        <v>2x1.5</v>
      </c>
      <c r="X58" s="550" t="str">
        <f t="shared" si="89"/>
        <v>50% AMI</v>
      </c>
      <c r="Y58" s="545">
        <f t="shared" si="90"/>
        <v>3</v>
      </c>
      <c r="Z58" s="546">
        <f t="shared" si="91"/>
        <v>990</v>
      </c>
      <c r="AA58" s="547">
        <f t="shared" si="92"/>
        <v>91.237399999999994</v>
      </c>
      <c r="AB58" s="549">
        <f>((H58*Y58)*12)</f>
        <v>23259.171600000001</v>
      </c>
      <c r="AD58" s="545" t="str">
        <f t="shared" si="99"/>
        <v>2x1.5</v>
      </c>
      <c r="AE58" s="550" t="str">
        <f t="shared" si="93"/>
        <v>50% AMI</v>
      </c>
      <c r="AF58" s="545">
        <f t="shared" si="94"/>
        <v>3</v>
      </c>
      <c r="AG58" s="546">
        <f t="shared" si="95"/>
        <v>990</v>
      </c>
      <c r="AH58" s="547">
        <f t="shared" si="96"/>
        <v>91.237399999999994</v>
      </c>
      <c r="AI58" s="548">
        <f t="shared" si="100"/>
        <v>23259.171600000001</v>
      </c>
    </row>
    <row r="59" spans="2:35" s="120" customFormat="1" ht="15.75" customHeight="1" x14ac:dyDescent="0.2">
      <c r="B59" s="551" t="str">
        <f t="shared" si="76"/>
        <v>2x1.5</v>
      </c>
      <c r="C59" s="552" t="str">
        <f t="shared" si="76"/>
        <v>60% AMI</v>
      </c>
      <c r="D59" s="551">
        <f t="shared" si="77"/>
        <v>2</v>
      </c>
      <c r="E59" s="553">
        <f t="shared" si="78"/>
        <v>980</v>
      </c>
      <c r="F59" s="554">
        <f>F36*(1+Dashboard!$P$12)</f>
        <v>91.237399999999994</v>
      </c>
      <c r="G59" s="555">
        <f>G36*(1+Dashboard!$P$11)</f>
        <v>902.82590000000005</v>
      </c>
      <c r="H59" s="549">
        <f t="shared" si="79"/>
        <v>811.58850000000007</v>
      </c>
      <c r="I59" s="556">
        <f>I36*(1+Dashboard!$P$11)</f>
        <v>825.38020000000006</v>
      </c>
      <c r="J59" s="557">
        <f t="shared" si="80"/>
        <v>734.14280000000008</v>
      </c>
      <c r="K59" s="558">
        <f>K36*(1+Dashboard!$P$11)</f>
        <v>0</v>
      </c>
      <c r="L59" s="559">
        <f t="shared" si="81"/>
        <v>772.33519999999999</v>
      </c>
      <c r="M59" s="559">
        <f>M36*(1+Dashboard!$P$11)</f>
        <v>681.09780000000001</v>
      </c>
      <c r="N59" s="548">
        <f t="shared" si="82"/>
        <v>16346.3472</v>
      </c>
      <c r="P59" s="545" t="str">
        <f>B59</f>
        <v>2x1.5</v>
      </c>
      <c r="Q59" s="550" t="str">
        <f t="shared" si="84"/>
        <v>60% AMI</v>
      </c>
      <c r="R59" s="545">
        <f t="shared" si="85"/>
        <v>2</v>
      </c>
      <c r="S59" s="546">
        <f t="shared" si="86"/>
        <v>980</v>
      </c>
      <c r="T59" s="547">
        <f t="shared" si="87"/>
        <v>91.237399999999994</v>
      </c>
      <c r="U59" s="548">
        <f t="shared" si="97"/>
        <v>16346.3472</v>
      </c>
      <c r="W59" s="545" t="str">
        <f t="shared" si="88"/>
        <v>2x1.5</v>
      </c>
      <c r="X59" s="550" t="str">
        <f t="shared" si="89"/>
        <v>60% AMI</v>
      </c>
      <c r="Y59" s="545">
        <f t="shared" si="90"/>
        <v>2</v>
      </c>
      <c r="Z59" s="546">
        <f t="shared" si="91"/>
        <v>980</v>
      </c>
      <c r="AA59" s="547">
        <f t="shared" si="92"/>
        <v>91.237399999999994</v>
      </c>
      <c r="AB59" s="549">
        <f t="shared" ref="AB59:AB71" si="102">((H59*Y59)*12)</f>
        <v>19478.124000000003</v>
      </c>
      <c r="AD59" s="545" t="str">
        <f t="shared" si="99"/>
        <v>2x1.5</v>
      </c>
      <c r="AE59" s="550" t="str">
        <f t="shared" si="93"/>
        <v>60% AMI</v>
      </c>
      <c r="AF59" s="545">
        <f t="shared" si="94"/>
        <v>2</v>
      </c>
      <c r="AG59" s="546">
        <f t="shared" si="95"/>
        <v>980</v>
      </c>
      <c r="AH59" s="547">
        <f t="shared" si="96"/>
        <v>91.237399999999994</v>
      </c>
      <c r="AI59" s="548">
        <f t="shared" si="100"/>
        <v>19478.124000000003</v>
      </c>
    </row>
    <row r="60" spans="2:35" s="120" customFormat="1" ht="15.75" customHeight="1" x14ac:dyDescent="0.2">
      <c r="B60" s="551" t="str">
        <f t="shared" si="76"/>
        <v>2x2</v>
      </c>
      <c r="C60" s="552" t="str">
        <f t="shared" si="76"/>
        <v>50% AMI</v>
      </c>
      <c r="D60" s="551">
        <f t="shared" si="77"/>
        <v>1</v>
      </c>
      <c r="E60" s="553">
        <f t="shared" si="78"/>
        <v>968</v>
      </c>
      <c r="F60" s="554">
        <f>F37*(1+Dashboard!$P$12)</f>
        <v>91.237399999999994</v>
      </c>
      <c r="G60" s="555">
        <f>G37*(1+Dashboard!$P$11)</f>
        <v>737.32550000000003</v>
      </c>
      <c r="H60" s="549">
        <f t="shared" si="79"/>
        <v>646.08810000000005</v>
      </c>
      <c r="I60" s="556">
        <f>I37*(1+Dashboard!$P$11)</f>
        <v>825.38020000000006</v>
      </c>
      <c r="J60" s="557">
        <f t="shared" si="80"/>
        <v>734.14280000000008</v>
      </c>
      <c r="K60" s="558">
        <f>K37*(1+Dashboard!$P$11)</f>
        <v>0</v>
      </c>
      <c r="L60" s="559">
        <f t="shared" si="81"/>
        <v>738.38640000000009</v>
      </c>
      <c r="M60" s="559">
        <f>M37*(1+Dashboard!$P$11)</f>
        <v>647.14900000000011</v>
      </c>
      <c r="N60" s="548">
        <f t="shared" si="82"/>
        <v>7765.7880000000014</v>
      </c>
      <c r="P60" s="545" t="str">
        <f t="shared" si="83"/>
        <v>2x2</v>
      </c>
      <c r="Q60" s="550" t="str">
        <f t="shared" si="84"/>
        <v>50% AMI</v>
      </c>
      <c r="R60" s="545">
        <f t="shared" si="85"/>
        <v>1</v>
      </c>
      <c r="S60" s="546">
        <f t="shared" si="86"/>
        <v>968</v>
      </c>
      <c r="T60" s="547">
        <f t="shared" si="87"/>
        <v>91.237399999999994</v>
      </c>
      <c r="U60" s="548">
        <f t="shared" si="97"/>
        <v>7765.7880000000014</v>
      </c>
      <c r="W60" s="545" t="str">
        <f t="shared" si="88"/>
        <v>2x2</v>
      </c>
      <c r="X60" s="550" t="str">
        <f t="shared" si="89"/>
        <v>50% AMI</v>
      </c>
      <c r="Y60" s="545">
        <f t="shared" si="90"/>
        <v>1</v>
      </c>
      <c r="Z60" s="546">
        <f t="shared" si="91"/>
        <v>968</v>
      </c>
      <c r="AA60" s="547">
        <f t="shared" si="92"/>
        <v>91.237399999999994</v>
      </c>
      <c r="AB60" s="549">
        <f t="shared" si="102"/>
        <v>7753.0572000000011</v>
      </c>
      <c r="AD60" s="545" t="str">
        <f t="shared" si="99"/>
        <v>2x2</v>
      </c>
      <c r="AE60" s="550" t="str">
        <f t="shared" si="93"/>
        <v>50% AMI</v>
      </c>
      <c r="AF60" s="545">
        <f t="shared" si="94"/>
        <v>1</v>
      </c>
      <c r="AG60" s="546">
        <f t="shared" si="95"/>
        <v>968</v>
      </c>
      <c r="AH60" s="547">
        <f t="shared" si="96"/>
        <v>91.237399999999994</v>
      </c>
      <c r="AI60" s="548">
        <f t="shared" si="100"/>
        <v>7765.7880000000014</v>
      </c>
    </row>
    <row r="61" spans="2:35" s="120" customFormat="1" ht="15.75" customHeight="1" x14ac:dyDescent="0.2">
      <c r="B61" s="551" t="str">
        <f t="shared" si="76"/>
        <v>2x2</v>
      </c>
      <c r="C61" s="552" t="str">
        <f t="shared" si="76"/>
        <v>60% AMI</v>
      </c>
      <c r="D61" s="551">
        <f t="shared" si="77"/>
        <v>2</v>
      </c>
      <c r="E61" s="553">
        <f t="shared" si="78"/>
        <v>968</v>
      </c>
      <c r="F61" s="554">
        <f>F38*(1+Dashboard!$P$12)</f>
        <v>91.237399999999994</v>
      </c>
      <c r="G61" s="555">
        <f>G38*(1+Dashboard!$P$11)</f>
        <v>902.82590000000005</v>
      </c>
      <c r="H61" s="549">
        <f t="shared" si="79"/>
        <v>811.58850000000007</v>
      </c>
      <c r="I61" s="556">
        <f>I38*(1+Dashboard!$P$11)</f>
        <v>825.38020000000006</v>
      </c>
      <c r="J61" s="557">
        <f t="shared" si="80"/>
        <v>734.14280000000008</v>
      </c>
      <c r="K61" s="558">
        <f>K38*(1+Dashboard!$P$11)</f>
        <v>0</v>
      </c>
      <c r="L61" s="559">
        <f t="shared" si="81"/>
        <v>764.90890000000002</v>
      </c>
      <c r="M61" s="559">
        <f>M38*(1+Dashboard!$P$11)</f>
        <v>673.67150000000004</v>
      </c>
      <c r="N61" s="548">
        <f t="shared" si="82"/>
        <v>16168.116000000002</v>
      </c>
      <c r="P61" s="545" t="str">
        <f t="shared" si="83"/>
        <v>2x2</v>
      </c>
      <c r="Q61" s="550" t="str">
        <f t="shared" si="84"/>
        <v>60% AMI</v>
      </c>
      <c r="R61" s="545">
        <f t="shared" si="85"/>
        <v>2</v>
      </c>
      <c r="S61" s="546">
        <f t="shared" si="86"/>
        <v>968</v>
      </c>
      <c r="T61" s="547">
        <f t="shared" si="87"/>
        <v>91.237399999999994</v>
      </c>
      <c r="U61" s="548">
        <f t="shared" si="97"/>
        <v>16168.116000000002</v>
      </c>
      <c r="W61" s="545" t="str">
        <f t="shared" si="88"/>
        <v>2x2</v>
      </c>
      <c r="X61" s="550" t="str">
        <f t="shared" si="89"/>
        <v>60% AMI</v>
      </c>
      <c r="Y61" s="545">
        <f t="shared" si="90"/>
        <v>2</v>
      </c>
      <c r="Z61" s="546">
        <f t="shared" si="91"/>
        <v>968</v>
      </c>
      <c r="AA61" s="547">
        <f t="shared" si="92"/>
        <v>91.237399999999994</v>
      </c>
      <c r="AB61" s="549">
        <f t="shared" si="102"/>
        <v>19478.124000000003</v>
      </c>
      <c r="AD61" s="545" t="str">
        <f t="shared" si="99"/>
        <v>2x2</v>
      </c>
      <c r="AE61" s="550" t="str">
        <f t="shared" si="93"/>
        <v>60% AMI</v>
      </c>
      <c r="AF61" s="545">
        <f t="shared" si="94"/>
        <v>2</v>
      </c>
      <c r="AG61" s="546">
        <f t="shared" si="95"/>
        <v>968</v>
      </c>
      <c r="AH61" s="547">
        <f t="shared" si="96"/>
        <v>91.237399999999994</v>
      </c>
      <c r="AI61" s="548">
        <f t="shared" si="100"/>
        <v>19478.124000000003</v>
      </c>
    </row>
    <row r="62" spans="2:35" s="120" customFormat="1" ht="15.75" customHeight="1" x14ac:dyDescent="0.2">
      <c r="B62" s="551" t="str">
        <f t="shared" si="76"/>
        <v>2x2</v>
      </c>
      <c r="C62" s="552" t="str">
        <f t="shared" si="76"/>
        <v>Market</v>
      </c>
      <c r="D62" s="551">
        <f t="shared" si="77"/>
        <v>0</v>
      </c>
      <c r="E62" s="553">
        <f t="shared" si="78"/>
        <v>968</v>
      </c>
      <c r="F62" s="554">
        <f>F39*(1+Dashboard!$P$12)</f>
        <v>0</v>
      </c>
      <c r="G62" s="555">
        <f>G39*(1+Dashboard!$P$11)</f>
        <v>0</v>
      </c>
      <c r="H62" s="549">
        <f t="shared" si="79"/>
        <v>0</v>
      </c>
      <c r="I62" s="556">
        <f>I39*(1+Dashboard!$P$11)</f>
        <v>825.38020000000006</v>
      </c>
      <c r="J62" s="557">
        <f t="shared" si="80"/>
        <v>825.38020000000006</v>
      </c>
      <c r="K62" s="558">
        <f>K39*(1+Dashboard!$P$11)</f>
        <v>0</v>
      </c>
      <c r="L62" s="559">
        <f t="shared" si="81"/>
        <v>0</v>
      </c>
      <c r="M62" s="559">
        <f>M39*(1+Dashboard!$P$11)</f>
        <v>0</v>
      </c>
      <c r="N62" s="548">
        <f t="shared" si="82"/>
        <v>0</v>
      </c>
      <c r="P62" s="545" t="str">
        <f t="shared" si="83"/>
        <v>2x2</v>
      </c>
      <c r="Q62" s="550" t="str">
        <f t="shared" si="84"/>
        <v>Market</v>
      </c>
      <c r="R62" s="545">
        <f t="shared" si="85"/>
        <v>0</v>
      </c>
      <c r="S62" s="546">
        <f t="shared" si="86"/>
        <v>968</v>
      </c>
      <c r="T62" s="547">
        <f t="shared" si="87"/>
        <v>0</v>
      </c>
      <c r="U62" s="548">
        <f t="shared" si="97"/>
        <v>0</v>
      </c>
      <c r="W62" s="545" t="str">
        <f t="shared" si="88"/>
        <v>2x2</v>
      </c>
      <c r="X62" s="550" t="str">
        <f t="shared" si="89"/>
        <v>Market</v>
      </c>
      <c r="Y62" s="545">
        <f t="shared" si="90"/>
        <v>0</v>
      </c>
      <c r="Z62" s="546">
        <f t="shared" si="91"/>
        <v>968</v>
      </c>
      <c r="AA62" s="547">
        <f t="shared" si="92"/>
        <v>0</v>
      </c>
      <c r="AB62" s="549">
        <f t="shared" si="102"/>
        <v>0</v>
      </c>
      <c r="AD62" s="545" t="str">
        <f t="shared" si="99"/>
        <v>2x2</v>
      </c>
      <c r="AE62" s="550" t="str">
        <f t="shared" si="93"/>
        <v>Market</v>
      </c>
      <c r="AF62" s="545">
        <f t="shared" si="94"/>
        <v>0</v>
      </c>
      <c r="AG62" s="546">
        <f t="shared" si="95"/>
        <v>968</v>
      </c>
      <c r="AH62" s="547">
        <f t="shared" si="96"/>
        <v>0</v>
      </c>
      <c r="AI62" s="548">
        <f t="shared" si="100"/>
        <v>0</v>
      </c>
    </row>
    <row r="63" spans="2:35" s="120" customFormat="1" ht="15.75" customHeight="1" x14ac:dyDescent="0.2">
      <c r="B63" s="551" t="str">
        <f t="shared" si="76"/>
        <v>2x2 (TH)</v>
      </c>
      <c r="C63" s="552" t="str">
        <f t="shared" si="76"/>
        <v>40% AMI</v>
      </c>
      <c r="D63" s="551">
        <f t="shared" si="77"/>
        <v>1</v>
      </c>
      <c r="E63" s="553">
        <f t="shared" si="78"/>
        <v>1058</v>
      </c>
      <c r="F63" s="554">
        <f>F40*(1+Dashboard!$P$12)</f>
        <v>91.237399999999994</v>
      </c>
      <c r="G63" s="555">
        <f>G40*(1+Dashboard!$P$11)</f>
        <v>571.82510000000002</v>
      </c>
      <c r="H63" s="549">
        <f t="shared" si="79"/>
        <v>480.58770000000004</v>
      </c>
      <c r="I63" s="556">
        <f>I40*(1+Dashboard!$P$11)</f>
        <v>825.38020000000006</v>
      </c>
      <c r="J63" s="557">
        <f t="shared" si="80"/>
        <v>734.14280000000008</v>
      </c>
      <c r="K63" s="558">
        <f>K40*(1+Dashboard!$P$11)</f>
        <v>0</v>
      </c>
      <c r="L63" s="559">
        <f t="shared" si="81"/>
        <v>568.64240000000007</v>
      </c>
      <c r="M63" s="559">
        <f>M40*(1+Dashboard!$P$11)</f>
        <v>477.40500000000003</v>
      </c>
      <c r="N63" s="548">
        <f t="shared" si="82"/>
        <v>5728.8600000000006</v>
      </c>
      <c r="P63" s="545" t="str">
        <f t="shared" si="83"/>
        <v>2x2 (TH)</v>
      </c>
      <c r="Q63" s="550" t="str">
        <f t="shared" si="84"/>
        <v>40% AMI</v>
      </c>
      <c r="R63" s="545">
        <f t="shared" si="85"/>
        <v>1</v>
      </c>
      <c r="S63" s="546">
        <f t="shared" si="86"/>
        <v>1058</v>
      </c>
      <c r="T63" s="547">
        <f t="shared" si="87"/>
        <v>91.237399999999994</v>
      </c>
      <c r="U63" s="548">
        <f t="shared" si="97"/>
        <v>5728.8600000000006</v>
      </c>
      <c r="W63" s="545" t="str">
        <f t="shared" si="88"/>
        <v>2x2 (TH)</v>
      </c>
      <c r="X63" s="550" t="str">
        <f t="shared" si="89"/>
        <v>40% AMI</v>
      </c>
      <c r="Y63" s="545">
        <f t="shared" si="90"/>
        <v>1</v>
      </c>
      <c r="Z63" s="546">
        <f t="shared" si="91"/>
        <v>1058</v>
      </c>
      <c r="AA63" s="547">
        <f t="shared" si="92"/>
        <v>91.237399999999994</v>
      </c>
      <c r="AB63" s="549">
        <f t="shared" si="102"/>
        <v>5767.0524000000005</v>
      </c>
      <c r="AD63" s="545" t="str">
        <f t="shared" si="99"/>
        <v>2x2 (TH)</v>
      </c>
      <c r="AE63" s="550" t="str">
        <f t="shared" si="93"/>
        <v>40% AMI</v>
      </c>
      <c r="AF63" s="545">
        <f t="shared" si="94"/>
        <v>1</v>
      </c>
      <c r="AG63" s="546">
        <f t="shared" si="95"/>
        <v>1058</v>
      </c>
      <c r="AH63" s="547">
        <f t="shared" si="96"/>
        <v>91.237399999999994</v>
      </c>
      <c r="AI63" s="548">
        <f t="shared" si="100"/>
        <v>5767.0524000000005</v>
      </c>
    </row>
    <row r="64" spans="2:35" s="120" customFormat="1" ht="15.75" customHeight="1" x14ac:dyDescent="0.2">
      <c r="B64" s="551" t="str">
        <f t="shared" si="76"/>
        <v>2x2 (TH)</v>
      </c>
      <c r="C64" s="552" t="str">
        <f t="shared" si="76"/>
        <v>50% AMI</v>
      </c>
      <c r="D64" s="551">
        <f t="shared" si="77"/>
        <v>1</v>
      </c>
      <c r="E64" s="553">
        <f t="shared" si="78"/>
        <v>1058</v>
      </c>
      <c r="F64" s="554">
        <f>F41*(1+Dashboard!$P$12)</f>
        <v>91.237399999999994</v>
      </c>
      <c r="G64" s="555">
        <f>G41*(1+Dashboard!$P$11)</f>
        <v>737.32550000000003</v>
      </c>
      <c r="H64" s="549">
        <f t="shared" si="79"/>
        <v>646.08810000000005</v>
      </c>
      <c r="I64" s="556">
        <f>I41*(1+Dashboard!$P$11)</f>
        <v>825.38020000000006</v>
      </c>
      <c r="J64" s="557">
        <f t="shared" si="80"/>
        <v>734.14280000000008</v>
      </c>
      <c r="K64" s="558">
        <f>K41*(1+Dashboard!$P$11)</f>
        <v>0</v>
      </c>
      <c r="L64" s="559">
        <f t="shared" si="81"/>
        <v>154.8914</v>
      </c>
      <c r="M64" s="559">
        <f>M41*(1+Dashboard!$P$11)</f>
        <v>63.654000000000003</v>
      </c>
      <c r="N64" s="548">
        <f t="shared" si="82"/>
        <v>763.84800000000007</v>
      </c>
      <c r="P64" s="545" t="str">
        <f t="shared" si="83"/>
        <v>2x2 (TH)</v>
      </c>
      <c r="Q64" s="550" t="str">
        <f t="shared" si="84"/>
        <v>50% AMI</v>
      </c>
      <c r="R64" s="545">
        <f t="shared" si="85"/>
        <v>1</v>
      </c>
      <c r="S64" s="546">
        <f t="shared" si="86"/>
        <v>1058</v>
      </c>
      <c r="T64" s="547">
        <f t="shared" si="87"/>
        <v>91.237399999999994</v>
      </c>
      <c r="U64" s="548">
        <f t="shared" si="97"/>
        <v>763.84800000000007</v>
      </c>
      <c r="W64" s="545" t="str">
        <f t="shared" si="88"/>
        <v>2x2 (TH)</v>
      </c>
      <c r="X64" s="550" t="str">
        <f t="shared" si="89"/>
        <v>50% AMI</v>
      </c>
      <c r="Y64" s="545">
        <f t="shared" si="90"/>
        <v>1</v>
      </c>
      <c r="Z64" s="546">
        <f t="shared" si="91"/>
        <v>1058</v>
      </c>
      <c r="AA64" s="547">
        <f t="shared" si="92"/>
        <v>91.237399999999994</v>
      </c>
      <c r="AB64" s="549">
        <f t="shared" si="102"/>
        <v>7753.0572000000011</v>
      </c>
      <c r="AD64" s="545" t="str">
        <f t="shared" si="99"/>
        <v>2x2 (TH)</v>
      </c>
      <c r="AE64" s="550" t="str">
        <f t="shared" si="93"/>
        <v>50% AMI</v>
      </c>
      <c r="AF64" s="545">
        <f t="shared" si="94"/>
        <v>1</v>
      </c>
      <c r="AG64" s="546">
        <f t="shared" si="95"/>
        <v>1058</v>
      </c>
      <c r="AH64" s="547">
        <f t="shared" si="96"/>
        <v>91.237399999999994</v>
      </c>
      <c r="AI64" s="548">
        <f t="shared" si="100"/>
        <v>7753.0572000000011</v>
      </c>
    </row>
    <row r="65" spans="2:35" s="120" customFormat="1" ht="15.75" customHeight="1" x14ac:dyDescent="0.2">
      <c r="B65" s="551" t="str">
        <f t="shared" si="76"/>
        <v>2x2 (TH)</v>
      </c>
      <c r="C65" s="552" t="str">
        <f t="shared" si="76"/>
        <v>60% AMI</v>
      </c>
      <c r="D65" s="551">
        <f t="shared" si="77"/>
        <v>16</v>
      </c>
      <c r="E65" s="553">
        <f t="shared" si="78"/>
        <v>1058</v>
      </c>
      <c r="F65" s="554">
        <f>F42*(1+Dashboard!$P$12)</f>
        <v>91.237399999999994</v>
      </c>
      <c r="G65" s="555">
        <f>G42*(1+Dashboard!$P$11)</f>
        <v>902.82590000000005</v>
      </c>
      <c r="H65" s="549">
        <f t="shared" si="79"/>
        <v>811.58850000000007</v>
      </c>
      <c r="I65" s="556">
        <f>I42*(1+Dashboard!$P$11)</f>
        <v>825.38020000000006</v>
      </c>
      <c r="J65" s="557">
        <f t="shared" si="80"/>
        <v>734.14280000000008</v>
      </c>
      <c r="K65" s="558">
        <f>K42*(1+Dashboard!$P$11)</f>
        <v>0</v>
      </c>
      <c r="L65" s="559">
        <f t="shared" si="81"/>
        <v>823.25840000000005</v>
      </c>
      <c r="M65" s="559">
        <f>M42*(1+Dashboard!$P$11)</f>
        <v>732.02100000000007</v>
      </c>
      <c r="N65" s="548">
        <f t="shared" si="82"/>
        <v>140548.03200000001</v>
      </c>
      <c r="P65" s="545" t="str">
        <f t="shared" si="83"/>
        <v>2x2 (TH)</v>
      </c>
      <c r="Q65" s="550" t="str">
        <f t="shared" si="84"/>
        <v>60% AMI</v>
      </c>
      <c r="R65" s="545">
        <f t="shared" si="85"/>
        <v>16</v>
      </c>
      <c r="S65" s="546">
        <f t="shared" si="86"/>
        <v>1058</v>
      </c>
      <c r="T65" s="547">
        <f t="shared" si="87"/>
        <v>91.237399999999994</v>
      </c>
      <c r="U65" s="548">
        <f t="shared" si="97"/>
        <v>140548.03200000001</v>
      </c>
      <c r="W65" s="545" t="str">
        <f t="shared" si="88"/>
        <v>2x2 (TH)</v>
      </c>
      <c r="X65" s="550" t="str">
        <f t="shared" si="89"/>
        <v>60% AMI</v>
      </c>
      <c r="Y65" s="545">
        <f t="shared" si="90"/>
        <v>16</v>
      </c>
      <c r="Z65" s="546">
        <f t="shared" si="91"/>
        <v>1058</v>
      </c>
      <c r="AA65" s="547">
        <f t="shared" si="92"/>
        <v>91.237399999999994</v>
      </c>
      <c r="AB65" s="549">
        <f t="shared" si="102"/>
        <v>155824.99200000003</v>
      </c>
      <c r="AD65" s="545" t="str">
        <f t="shared" si="99"/>
        <v>2x2 (TH)</v>
      </c>
      <c r="AE65" s="550" t="str">
        <f t="shared" si="93"/>
        <v>60% AMI</v>
      </c>
      <c r="AF65" s="545">
        <f t="shared" si="94"/>
        <v>16</v>
      </c>
      <c r="AG65" s="546">
        <f t="shared" si="95"/>
        <v>1058</v>
      </c>
      <c r="AH65" s="547">
        <f t="shared" si="96"/>
        <v>91.237399999999994</v>
      </c>
      <c r="AI65" s="548">
        <f t="shared" si="100"/>
        <v>155824.99200000003</v>
      </c>
    </row>
    <row r="66" spans="2:35" s="120" customFormat="1" ht="15.75" customHeight="1" x14ac:dyDescent="0.2">
      <c r="B66" s="551" t="str">
        <f t="shared" si="76"/>
        <v>2x2 (TH)</v>
      </c>
      <c r="C66" s="552" t="str">
        <f t="shared" si="76"/>
        <v>Market</v>
      </c>
      <c r="D66" s="551">
        <f t="shared" si="77"/>
        <v>1</v>
      </c>
      <c r="E66" s="553">
        <f t="shared" si="78"/>
        <v>1058</v>
      </c>
      <c r="F66" s="554">
        <f>F43*(1+Dashboard!$P$12)</f>
        <v>0</v>
      </c>
      <c r="G66" s="555">
        <f>G43*(1+Dashboard!$P$11)</f>
        <v>0</v>
      </c>
      <c r="H66" s="549">
        <f t="shared" si="79"/>
        <v>0</v>
      </c>
      <c r="I66" s="556">
        <f>I43*(1+Dashboard!$P$11)</f>
        <v>825.38020000000006</v>
      </c>
      <c r="J66" s="557">
        <f t="shared" si="80"/>
        <v>825.38020000000006</v>
      </c>
      <c r="K66" s="558">
        <f>K43*(1+Dashboard!$P$11)</f>
        <v>0</v>
      </c>
      <c r="L66" s="559">
        <f t="shared" si="81"/>
        <v>795.67500000000007</v>
      </c>
      <c r="M66" s="559">
        <f>M43*(1+Dashboard!$P$11)</f>
        <v>795.67500000000007</v>
      </c>
      <c r="N66" s="548">
        <f t="shared" si="82"/>
        <v>9548.1</v>
      </c>
      <c r="P66" s="545" t="str">
        <f t="shared" si="83"/>
        <v>2x2 (TH)</v>
      </c>
      <c r="Q66" s="550" t="str">
        <f t="shared" si="84"/>
        <v>Market</v>
      </c>
      <c r="R66" s="545">
        <f t="shared" si="85"/>
        <v>1</v>
      </c>
      <c r="S66" s="546">
        <f t="shared" si="86"/>
        <v>1058</v>
      </c>
      <c r="T66" s="547">
        <f t="shared" si="87"/>
        <v>0</v>
      </c>
      <c r="U66" s="548">
        <f t="shared" si="97"/>
        <v>9548.1</v>
      </c>
      <c r="W66" s="545" t="str">
        <f t="shared" si="88"/>
        <v>2x2 (TH)</v>
      </c>
      <c r="X66" s="550" t="str">
        <f t="shared" si="89"/>
        <v>Market</v>
      </c>
      <c r="Y66" s="545">
        <f t="shared" si="90"/>
        <v>1</v>
      </c>
      <c r="Z66" s="546">
        <f t="shared" si="91"/>
        <v>1058</v>
      </c>
      <c r="AA66" s="547">
        <f t="shared" si="92"/>
        <v>0</v>
      </c>
      <c r="AB66" s="549">
        <f t="shared" si="102"/>
        <v>0</v>
      </c>
      <c r="AD66" s="545" t="str">
        <f t="shared" si="99"/>
        <v>2x2 (TH)</v>
      </c>
      <c r="AE66" s="550" t="str">
        <f t="shared" si="93"/>
        <v>Market</v>
      </c>
      <c r="AF66" s="545">
        <f t="shared" si="94"/>
        <v>1</v>
      </c>
      <c r="AG66" s="546">
        <f t="shared" si="95"/>
        <v>1058</v>
      </c>
      <c r="AH66" s="547">
        <f t="shared" si="96"/>
        <v>0</v>
      </c>
      <c r="AI66" s="548">
        <f t="shared" si="100"/>
        <v>9548.1</v>
      </c>
    </row>
    <row r="67" spans="2:35" s="120" customFormat="1" ht="15.75" customHeight="1" x14ac:dyDescent="0.2">
      <c r="B67" s="551" t="str">
        <f t="shared" si="76"/>
        <v xml:space="preserve">2x1.5-2x2 </v>
      </c>
      <c r="C67" s="552" t="str">
        <f t="shared" si="76"/>
        <v>S8 Voucher</v>
      </c>
      <c r="D67" s="551">
        <f t="shared" si="77"/>
        <v>18</v>
      </c>
      <c r="E67" s="553">
        <f t="shared" si="78"/>
        <v>0</v>
      </c>
      <c r="F67" s="554">
        <f>F44*(1+Dashboard!$P$12)</f>
        <v>91.237399999999994</v>
      </c>
      <c r="G67" s="555">
        <f>G44*(1+Dashboard!$P$11)</f>
        <v>902.82590000000005</v>
      </c>
      <c r="H67" s="549">
        <f t="shared" si="79"/>
        <v>811.58850000000007</v>
      </c>
      <c r="I67" s="556">
        <f>I44*(1+Dashboard!$P$11)</f>
        <v>825.38020000000006</v>
      </c>
      <c r="J67" s="557">
        <f t="shared" si="80"/>
        <v>734.14280000000008</v>
      </c>
      <c r="K67" s="558">
        <f>K44*(1+Dashboard!$P$11)</f>
        <v>0</v>
      </c>
      <c r="L67" s="559">
        <f t="shared" si="81"/>
        <v>872.0598</v>
      </c>
      <c r="M67" s="559">
        <f>M44*(1+Dashboard!$P$11)</f>
        <v>780.82240000000002</v>
      </c>
      <c r="N67" s="548">
        <f t="shared" si="82"/>
        <v>168657.6384</v>
      </c>
      <c r="P67" s="545" t="str">
        <f t="shared" si="83"/>
        <v xml:space="preserve">2x1.5-2x2 </v>
      </c>
      <c r="Q67" s="550" t="str">
        <f t="shared" si="84"/>
        <v>S8 Voucher</v>
      </c>
      <c r="R67" s="545">
        <f t="shared" si="85"/>
        <v>18</v>
      </c>
      <c r="S67" s="546">
        <f t="shared" si="86"/>
        <v>0</v>
      </c>
      <c r="T67" s="547">
        <f t="shared" si="87"/>
        <v>91.237399999999994</v>
      </c>
      <c r="U67" s="548">
        <f t="shared" si="97"/>
        <v>168657.6384</v>
      </c>
      <c r="W67" s="545" t="str">
        <f t="shared" si="88"/>
        <v xml:space="preserve">2x1.5-2x2 </v>
      </c>
      <c r="X67" s="550" t="str">
        <f t="shared" si="89"/>
        <v>S8 Voucher</v>
      </c>
      <c r="Y67" s="545">
        <f t="shared" si="90"/>
        <v>18</v>
      </c>
      <c r="Z67" s="546">
        <f t="shared" si="91"/>
        <v>0</v>
      </c>
      <c r="AA67" s="547">
        <f t="shared" si="92"/>
        <v>91.237399999999994</v>
      </c>
      <c r="AB67" s="549">
        <f t="shared" si="102"/>
        <v>175303.11600000001</v>
      </c>
      <c r="AD67" s="545" t="str">
        <f t="shared" si="99"/>
        <v xml:space="preserve">2x1.5-2x2 </v>
      </c>
      <c r="AE67" s="550" t="str">
        <f t="shared" si="93"/>
        <v>S8 Voucher</v>
      </c>
      <c r="AF67" s="545">
        <f t="shared" si="94"/>
        <v>18</v>
      </c>
      <c r="AG67" s="546">
        <f t="shared" si="95"/>
        <v>0</v>
      </c>
      <c r="AH67" s="547">
        <f t="shared" si="96"/>
        <v>91.237399999999994</v>
      </c>
      <c r="AI67" s="548">
        <f t="shared" si="100"/>
        <v>175303.11600000001</v>
      </c>
    </row>
    <row r="68" spans="2:35" s="120" customFormat="1" ht="15.75" customHeight="1" x14ac:dyDescent="0.2">
      <c r="B68" s="551" t="str">
        <f t="shared" si="76"/>
        <v>3x2 (TH)</v>
      </c>
      <c r="C68" s="552" t="str">
        <f t="shared" si="76"/>
        <v>50% AMI</v>
      </c>
      <c r="D68" s="551">
        <f t="shared" si="77"/>
        <v>2</v>
      </c>
      <c r="E68" s="553">
        <f t="shared" si="78"/>
        <v>1296</v>
      </c>
      <c r="F68" s="554">
        <f>F45*(1+Dashboard!$P$12)</f>
        <v>113.51630000000002</v>
      </c>
      <c r="G68" s="555">
        <f>G45*(1+Dashboard!$P$11)</f>
        <v>843.41550000000007</v>
      </c>
      <c r="H68" s="549">
        <f t="shared" si="79"/>
        <v>729.89920000000006</v>
      </c>
      <c r="I68" s="556">
        <f>I45*(1+Dashboard!$P$11)</f>
        <v>1085.3007</v>
      </c>
      <c r="J68" s="557">
        <f t="shared" si="80"/>
        <v>971.78440000000001</v>
      </c>
      <c r="K68" s="558">
        <f>K45*(1+Dashboard!$P$11)</f>
        <v>0</v>
      </c>
      <c r="L68" s="559">
        <f t="shared" si="81"/>
        <v>834.92830000000004</v>
      </c>
      <c r="M68" s="559">
        <f>M45*(1+Dashboard!$P$11)</f>
        <v>721.41200000000003</v>
      </c>
      <c r="N68" s="548">
        <f t="shared" si="82"/>
        <v>17313.887999999999</v>
      </c>
      <c r="P68" s="545" t="str">
        <f t="shared" si="83"/>
        <v>3x2 (TH)</v>
      </c>
      <c r="Q68" s="550" t="str">
        <f t="shared" si="84"/>
        <v>50% AMI</v>
      </c>
      <c r="R68" s="545">
        <f t="shared" si="85"/>
        <v>2</v>
      </c>
      <c r="S68" s="546">
        <f t="shared" si="86"/>
        <v>1296</v>
      </c>
      <c r="T68" s="547">
        <f t="shared" si="87"/>
        <v>113.51630000000002</v>
      </c>
      <c r="U68" s="548">
        <f t="shared" si="97"/>
        <v>17313.887999999999</v>
      </c>
      <c r="W68" s="545" t="str">
        <f t="shared" si="88"/>
        <v>3x2 (TH)</v>
      </c>
      <c r="X68" s="550" t="str">
        <f t="shared" si="89"/>
        <v>50% AMI</v>
      </c>
      <c r="Y68" s="545">
        <f t="shared" si="90"/>
        <v>2</v>
      </c>
      <c r="Z68" s="546">
        <f t="shared" si="91"/>
        <v>1296</v>
      </c>
      <c r="AA68" s="547">
        <f t="shared" si="92"/>
        <v>113.51630000000002</v>
      </c>
      <c r="AB68" s="549">
        <f t="shared" si="102"/>
        <v>17517.580800000003</v>
      </c>
      <c r="AD68" s="545" t="str">
        <f t="shared" si="99"/>
        <v>3x2 (TH)</v>
      </c>
      <c r="AE68" s="550" t="str">
        <f t="shared" si="93"/>
        <v>50% AMI</v>
      </c>
      <c r="AF68" s="545">
        <f t="shared" si="94"/>
        <v>2</v>
      </c>
      <c r="AG68" s="546">
        <f t="shared" si="95"/>
        <v>1296</v>
      </c>
      <c r="AH68" s="547">
        <f t="shared" si="96"/>
        <v>113.51630000000002</v>
      </c>
      <c r="AI68" s="548">
        <f t="shared" si="100"/>
        <v>17517.580800000003</v>
      </c>
    </row>
    <row r="69" spans="2:35" s="120" customFormat="1" ht="15.75" customHeight="1" x14ac:dyDescent="0.2">
      <c r="B69" s="551" t="str">
        <f t="shared" si="76"/>
        <v>3x2 (TH)</v>
      </c>
      <c r="C69" s="552" t="str">
        <f t="shared" si="76"/>
        <v>60% AMI</v>
      </c>
      <c r="D69" s="551">
        <f t="shared" si="77"/>
        <v>7</v>
      </c>
      <c r="E69" s="553">
        <f t="shared" si="78"/>
        <v>1296</v>
      </c>
      <c r="F69" s="554">
        <f>F46*(1+Dashboard!$P$12)</f>
        <v>113.51630000000002</v>
      </c>
      <c r="G69" s="555">
        <f>G46*(1+Dashboard!$P$11)</f>
        <v>1035.4384</v>
      </c>
      <c r="H69" s="549">
        <f t="shared" si="79"/>
        <v>921.9221</v>
      </c>
      <c r="I69" s="556">
        <f>I46*(1+Dashboard!$P$11)</f>
        <v>1085.3007</v>
      </c>
      <c r="J69" s="557">
        <f t="shared" si="80"/>
        <v>971.78440000000001</v>
      </c>
      <c r="K69" s="558">
        <f>K46*(1+Dashboard!$P$11)</f>
        <v>0</v>
      </c>
      <c r="L69" s="559">
        <f t="shared" si="81"/>
        <v>851.90269999999998</v>
      </c>
      <c r="M69" s="559">
        <f>M46*(1+Dashboard!$P$11)</f>
        <v>738.38639999999998</v>
      </c>
      <c r="N69" s="548">
        <f t="shared" si="82"/>
        <v>62024.457599999994</v>
      </c>
      <c r="P69" s="545" t="str">
        <f t="shared" si="83"/>
        <v>3x2 (TH)</v>
      </c>
      <c r="Q69" s="550" t="str">
        <f t="shared" si="84"/>
        <v>60% AMI</v>
      </c>
      <c r="R69" s="545">
        <f t="shared" si="85"/>
        <v>7</v>
      </c>
      <c r="S69" s="546">
        <f t="shared" si="86"/>
        <v>1296</v>
      </c>
      <c r="T69" s="547">
        <f t="shared" si="87"/>
        <v>113.51630000000002</v>
      </c>
      <c r="U69" s="548">
        <f t="shared" si="97"/>
        <v>62024.457599999994</v>
      </c>
      <c r="W69" s="545" t="str">
        <f t="shared" si="88"/>
        <v>3x2 (TH)</v>
      </c>
      <c r="X69" s="550" t="str">
        <f t="shared" si="89"/>
        <v>60% AMI</v>
      </c>
      <c r="Y69" s="545">
        <f t="shared" si="90"/>
        <v>7</v>
      </c>
      <c r="Z69" s="546">
        <f t="shared" si="91"/>
        <v>1296</v>
      </c>
      <c r="AA69" s="547">
        <f t="shared" si="92"/>
        <v>113.51630000000002</v>
      </c>
      <c r="AB69" s="549">
        <f t="shared" si="102"/>
        <v>77441.456399999995</v>
      </c>
      <c r="AD69" s="545" t="str">
        <f t="shared" si="99"/>
        <v>3x2 (TH)</v>
      </c>
      <c r="AE69" s="550" t="str">
        <f t="shared" si="93"/>
        <v>60% AMI</v>
      </c>
      <c r="AF69" s="545">
        <f t="shared" si="94"/>
        <v>7</v>
      </c>
      <c r="AG69" s="546">
        <f t="shared" si="95"/>
        <v>1296</v>
      </c>
      <c r="AH69" s="547">
        <f t="shared" si="96"/>
        <v>113.51630000000002</v>
      </c>
      <c r="AI69" s="548">
        <f t="shared" si="100"/>
        <v>77441.456399999995</v>
      </c>
    </row>
    <row r="70" spans="2:35" s="120" customFormat="1" ht="15.75" customHeight="1" x14ac:dyDescent="0.2">
      <c r="B70" s="551" t="str">
        <f t="shared" si="76"/>
        <v>3x2 (TH)</v>
      </c>
      <c r="C70" s="552" t="str">
        <f t="shared" si="76"/>
        <v>Market</v>
      </c>
      <c r="D70" s="551">
        <f t="shared" si="77"/>
        <v>0</v>
      </c>
      <c r="E70" s="553">
        <f t="shared" si="78"/>
        <v>1296</v>
      </c>
      <c r="F70" s="554">
        <f>F47*(1+Dashboard!$P$12)</f>
        <v>0</v>
      </c>
      <c r="G70" s="555">
        <f>G47*(1+Dashboard!$P$11)</f>
        <v>0</v>
      </c>
      <c r="H70" s="549">
        <f t="shared" si="79"/>
        <v>0</v>
      </c>
      <c r="I70" s="556">
        <f>I47*(1+Dashboard!$P$11)</f>
        <v>1085.3007</v>
      </c>
      <c r="J70" s="557">
        <f t="shared" si="80"/>
        <v>1085.3007</v>
      </c>
      <c r="K70" s="558">
        <f>K47*(1+Dashboard!$P$11)</f>
        <v>0</v>
      </c>
      <c r="L70" s="559">
        <f t="shared" si="81"/>
        <v>0</v>
      </c>
      <c r="M70" s="559">
        <f>M47*(1+Dashboard!$P$11)</f>
        <v>0</v>
      </c>
      <c r="N70" s="548">
        <f t="shared" si="82"/>
        <v>0</v>
      </c>
      <c r="P70" s="545" t="str">
        <f t="shared" si="83"/>
        <v>3x2 (TH)</v>
      </c>
      <c r="Q70" s="550" t="str">
        <f t="shared" si="84"/>
        <v>Market</v>
      </c>
      <c r="R70" s="545">
        <f t="shared" si="85"/>
        <v>0</v>
      </c>
      <c r="S70" s="546">
        <f t="shared" si="86"/>
        <v>1296</v>
      </c>
      <c r="T70" s="547">
        <f t="shared" si="87"/>
        <v>0</v>
      </c>
      <c r="U70" s="548">
        <f t="shared" si="97"/>
        <v>0</v>
      </c>
      <c r="W70" s="545" t="str">
        <f t="shared" si="88"/>
        <v>3x2 (TH)</v>
      </c>
      <c r="X70" s="550" t="str">
        <f t="shared" si="89"/>
        <v>Market</v>
      </c>
      <c r="Y70" s="545">
        <f t="shared" si="90"/>
        <v>0</v>
      </c>
      <c r="Z70" s="546">
        <f t="shared" si="91"/>
        <v>1296</v>
      </c>
      <c r="AA70" s="547">
        <f t="shared" si="92"/>
        <v>0</v>
      </c>
      <c r="AB70" s="549">
        <f t="shared" si="102"/>
        <v>0</v>
      </c>
      <c r="AD70" s="545" t="str">
        <f t="shared" si="99"/>
        <v>3x2 (TH)</v>
      </c>
      <c r="AE70" s="550" t="str">
        <f t="shared" si="93"/>
        <v>Market</v>
      </c>
      <c r="AF70" s="545">
        <f t="shared" si="94"/>
        <v>0</v>
      </c>
      <c r="AG70" s="546">
        <f t="shared" si="95"/>
        <v>1296</v>
      </c>
      <c r="AH70" s="547">
        <f t="shared" si="96"/>
        <v>0</v>
      </c>
      <c r="AI70" s="548">
        <f t="shared" si="100"/>
        <v>0</v>
      </c>
    </row>
    <row r="71" spans="2:35" s="120" customFormat="1" ht="15.75" customHeight="1" x14ac:dyDescent="0.2">
      <c r="B71" s="551" t="str">
        <f t="shared" si="76"/>
        <v>3x2 (TH)</v>
      </c>
      <c r="C71" s="552" t="str">
        <f t="shared" si="76"/>
        <v>S8 Voucher</v>
      </c>
      <c r="D71" s="551">
        <f t="shared" si="77"/>
        <v>11</v>
      </c>
      <c r="E71" s="553">
        <f t="shared" si="78"/>
        <v>1296</v>
      </c>
      <c r="F71" s="554">
        <f>F48*(1+Dashboard!$P$12)</f>
        <v>113.51630000000002</v>
      </c>
      <c r="G71" s="555">
        <f>G48*(1+Dashboard!$P$11)</f>
        <v>1035.4384</v>
      </c>
      <c r="H71" s="549">
        <f t="shared" si="79"/>
        <v>921.9221</v>
      </c>
      <c r="I71" s="556">
        <f>I48*(1+Dashboard!$P$11)</f>
        <v>1085.3007</v>
      </c>
      <c r="J71" s="557">
        <f t="shared" si="80"/>
        <v>971.78440000000001</v>
      </c>
      <c r="K71" s="558">
        <f>K48*(1+Dashboard!$P$11)</f>
        <v>0</v>
      </c>
      <c r="L71" s="559">
        <f t="shared" si="81"/>
        <v>991.94150000000002</v>
      </c>
      <c r="M71" s="559">
        <f>M48*(1+Dashboard!$P$11)</f>
        <v>878.42520000000002</v>
      </c>
      <c r="N71" s="548">
        <f t="shared" si="82"/>
        <v>115952.12640000001</v>
      </c>
      <c r="P71" s="545" t="str">
        <f t="shared" si="83"/>
        <v>3x2 (TH)</v>
      </c>
      <c r="Q71" s="550" t="str">
        <f t="shared" si="84"/>
        <v>S8 Voucher</v>
      </c>
      <c r="R71" s="545">
        <f t="shared" si="85"/>
        <v>11</v>
      </c>
      <c r="S71" s="546">
        <f t="shared" si="86"/>
        <v>1296</v>
      </c>
      <c r="T71" s="547">
        <f t="shared" si="87"/>
        <v>113.51630000000002</v>
      </c>
      <c r="U71" s="548">
        <f t="shared" si="97"/>
        <v>115952.12640000001</v>
      </c>
      <c r="W71" s="545" t="str">
        <f t="shared" si="88"/>
        <v>3x2 (TH)</v>
      </c>
      <c r="X71" s="550" t="str">
        <f t="shared" si="89"/>
        <v>S8 Voucher</v>
      </c>
      <c r="Y71" s="545">
        <f t="shared" si="90"/>
        <v>11</v>
      </c>
      <c r="Z71" s="546">
        <f t="shared" si="91"/>
        <v>1296</v>
      </c>
      <c r="AA71" s="547">
        <f t="shared" si="92"/>
        <v>113.51630000000002</v>
      </c>
      <c r="AB71" s="549">
        <f t="shared" si="102"/>
        <v>121693.71719999998</v>
      </c>
      <c r="AD71" s="545" t="str">
        <f t="shared" si="99"/>
        <v>3x2 (TH)</v>
      </c>
      <c r="AE71" s="550" t="str">
        <f t="shared" si="93"/>
        <v>S8 Voucher</v>
      </c>
      <c r="AF71" s="545">
        <f t="shared" si="94"/>
        <v>11</v>
      </c>
      <c r="AG71" s="546">
        <f t="shared" si="95"/>
        <v>1296</v>
      </c>
      <c r="AH71" s="547">
        <f t="shared" si="96"/>
        <v>113.51630000000002</v>
      </c>
      <c r="AI71" s="548">
        <f t="shared" si="100"/>
        <v>121693.71719999998</v>
      </c>
    </row>
    <row r="72" spans="2:35" s="120" customFormat="1" ht="15.75" customHeight="1" x14ac:dyDescent="0.2">
      <c r="B72" s="198" t="s">
        <v>295</v>
      </c>
      <c r="C72" s="122"/>
      <c r="D72" s="166">
        <f>SUM(D53:D71)</f>
        <v>72</v>
      </c>
      <c r="E72" s="166">
        <f t="shared" ref="E72:K72" si="103">+SUMPRODUCT(E53:E71,$D53:$D71)</f>
        <v>59002</v>
      </c>
      <c r="F72" s="165">
        <f t="shared" si="103"/>
        <v>6720.8014999999996</v>
      </c>
      <c r="G72" s="165">
        <f t="shared" si="103"/>
        <v>63329.364600000001</v>
      </c>
      <c r="H72" s="165">
        <f t="shared" si="103"/>
        <v>56608.563100000007</v>
      </c>
      <c r="I72" s="165">
        <f t="shared" si="103"/>
        <v>64021.071399999993</v>
      </c>
      <c r="J72" s="165">
        <f t="shared" si="103"/>
        <v>57300.269900000007</v>
      </c>
      <c r="K72" s="165">
        <f t="shared" si="103"/>
        <v>0</v>
      </c>
      <c r="L72" s="165">
        <f t="shared" ref="L72" si="104">+SUMPRODUCT(L53:L71,$D53:$D71)</f>
        <v>59206.707200000004</v>
      </c>
      <c r="M72" s="165">
        <f t="shared" ref="M72" si="105">+SUMPRODUCT(M53:M71,$D53:$D71)</f>
        <v>52485.905700000003</v>
      </c>
      <c r="N72" s="165">
        <f>SUM(N53:N71)</f>
        <v>629830.86840000004</v>
      </c>
      <c r="P72" s="198" t="s">
        <v>295</v>
      </c>
      <c r="Q72" s="122"/>
      <c r="R72" s="560">
        <f>SUM(R53:R71)</f>
        <v>72</v>
      </c>
      <c r="S72" s="560">
        <f>+SUMPRODUCT(S53:S71,$R53:$R71)</f>
        <v>59002</v>
      </c>
      <c r="T72" s="165">
        <f>+SUMPRODUCT(T53:T71,$R53:$R71)</f>
        <v>6720.8014999999996</v>
      </c>
      <c r="U72" s="165">
        <f>SUM(U53:U71)</f>
        <v>629830.86840000004</v>
      </c>
      <c r="W72" s="198" t="s">
        <v>295</v>
      </c>
      <c r="X72" s="122"/>
      <c r="Y72" s="560">
        <f>SUM(Y53:Y71)</f>
        <v>72</v>
      </c>
      <c r="Z72" s="560">
        <f>+SUMPRODUCT(Z53:Z71,$Y53:$Y71)</f>
        <v>59002</v>
      </c>
      <c r="AA72" s="165">
        <f>+SUMPRODUCT(AA53:AA71,$Y53:$Y71)</f>
        <v>6720.8014999999996</v>
      </c>
      <c r="AB72" s="165">
        <f>SUM(AB53:AB71)</f>
        <v>679302.75719999999</v>
      </c>
      <c r="AC72" s="122"/>
      <c r="AD72" s="198" t="s">
        <v>295</v>
      </c>
      <c r="AE72" s="122"/>
      <c r="AF72" s="560">
        <f>SUM(AF53:AF71)</f>
        <v>72</v>
      </c>
      <c r="AG72" s="560">
        <f>+SUMPRODUCT(AG53:AG71,$AF53:$AF71)</f>
        <v>59002</v>
      </c>
      <c r="AH72" s="165">
        <f>+SUMPRODUCT(AH53:AH71,$AF53:$AF71)</f>
        <v>6720.8014999999996</v>
      </c>
      <c r="AI72" s="165">
        <f>SUM(AI53:AI71)</f>
        <v>696565.72200000007</v>
      </c>
    </row>
    <row r="73" spans="2:35" s="120" customFormat="1" ht="15.75" customHeight="1" x14ac:dyDescent="0.2">
      <c r="K73" s="132"/>
    </row>
    <row r="74" spans="2:35" s="168" customFormat="1" ht="15.75" customHeight="1" x14ac:dyDescent="0.25">
      <c r="B74" s="170" t="s">
        <v>175</v>
      </c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P74" s="170" t="str">
        <f>+$B74</f>
        <v>Year 4</v>
      </c>
      <c r="Q74" s="170"/>
      <c r="R74" s="170"/>
      <c r="S74" s="170"/>
      <c r="T74" s="170"/>
      <c r="U74" s="170"/>
      <c r="W74" s="170" t="str">
        <f>+$B74</f>
        <v>Year 4</v>
      </c>
      <c r="X74" s="170"/>
      <c r="Y74" s="170"/>
      <c r="Z74" s="170"/>
      <c r="AA74" s="170"/>
      <c r="AB74" s="170"/>
      <c r="AD74" s="170" t="str">
        <f>+$B74</f>
        <v>Year 4</v>
      </c>
      <c r="AE74" s="170"/>
      <c r="AF74" s="170"/>
      <c r="AG74" s="170"/>
      <c r="AH74" s="170"/>
      <c r="AI74" s="170"/>
    </row>
    <row r="75" spans="2:35" s="164" customFormat="1" ht="38.25" x14ac:dyDescent="0.2">
      <c r="B75" s="543" t="s">
        <v>61</v>
      </c>
      <c r="C75" s="543" t="s">
        <v>215</v>
      </c>
      <c r="D75" s="543" t="s">
        <v>64</v>
      </c>
      <c r="E75" s="543" t="s">
        <v>231</v>
      </c>
      <c r="F75" s="543" t="s">
        <v>237</v>
      </c>
      <c r="G75" s="544" t="s">
        <v>232</v>
      </c>
      <c r="H75" s="543" t="s">
        <v>240</v>
      </c>
      <c r="I75" s="543" t="s">
        <v>233</v>
      </c>
      <c r="J75" s="543" t="s">
        <v>63</v>
      </c>
      <c r="K75" s="543" t="str">
        <f>+K52</f>
        <v>CoStar Rent</v>
      </c>
      <c r="L75" s="543" t="s">
        <v>62</v>
      </c>
      <c r="M75" s="543" t="s">
        <v>238</v>
      </c>
      <c r="N75" s="543" t="s">
        <v>241</v>
      </c>
      <c r="P75" s="543" t="s">
        <v>61</v>
      </c>
      <c r="Q75" s="543" t="s">
        <v>215</v>
      </c>
      <c r="R75" s="543" t="s">
        <v>64</v>
      </c>
      <c r="S75" s="543" t="s">
        <v>231</v>
      </c>
      <c r="T75" s="543" t="s">
        <v>237</v>
      </c>
      <c r="U75" s="543" t="s">
        <v>151</v>
      </c>
      <c r="W75" s="543" t="s">
        <v>61</v>
      </c>
      <c r="X75" s="543" t="s">
        <v>215</v>
      </c>
      <c r="Y75" s="543" t="s">
        <v>64</v>
      </c>
      <c r="Z75" s="543" t="s">
        <v>231</v>
      </c>
      <c r="AA75" s="543" t="s">
        <v>237</v>
      </c>
      <c r="AB75" s="543" t="s">
        <v>152</v>
      </c>
      <c r="AD75" s="543" t="s">
        <v>61</v>
      </c>
      <c r="AE75" s="543" t="s">
        <v>215</v>
      </c>
      <c r="AF75" s="543" t="s">
        <v>64</v>
      </c>
      <c r="AG75" s="543" t="s">
        <v>231</v>
      </c>
      <c r="AH75" s="543" t="s">
        <v>237</v>
      </c>
      <c r="AI75" s="543" t="s">
        <v>424</v>
      </c>
    </row>
    <row r="76" spans="2:35" s="120" customFormat="1" ht="15.75" customHeight="1" x14ac:dyDescent="0.2">
      <c r="B76" s="551" t="str">
        <f t="shared" ref="B76:C81" si="106">B53</f>
        <v>1x1</v>
      </c>
      <c r="C76" s="552" t="str">
        <f t="shared" si="106"/>
        <v>50% AMI</v>
      </c>
      <c r="D76" s="551">
        <f t="shared" ref="D76:D81" si="107">$D53</f>
        <v>2</v>
      </c>
      <c r="E76" s="553">
        <f t="shared" ref="E76:E81" si="108">E53</f>
        <v>701</v>
      </c>
      <c r="F76" s="554">
        <f>F53*(1+Dashboard!$P$12)</f>
        <v>71.027254999999997</v>
      </c>
      <c r="G76" s="555">
        <f>G53*(1+Dashboard!$P$11)</f>
        <v>711.36527699999999</v>
      </c>
      <c r="H76" s="549">
        <f t="shared" ref="H76:H94" si="109">+G76-F76</f>
        <v>640.33802200000002</v>
      </c>
      <c r="I76" s="556">
        <f>I53*(1+Dashboard!$P$11)</f>
        <v>746.33254099999999</v>
      </c>
      <c r="J76" s="557">
        <f t="shared" ref="J76:J94" si="110">I76-F76</f>
        <v>675.30528600000002</v>
      </c>
      <c r="K76" s="558">
        <f>K53*(1+Dashboard!$P$11)</f>
        <v>0</v>
      </c>
      <c r="L76" s="559">
        <f t="shared" ref="L76:L94" si="111">M76+F76</f>
        <v>646.89438400000006</v>
      </c>
      <c r="M76" s="559">
        <f>M53*(1+Dashboard!$P$11)</f>
        <v>575.86712900000009</v>
      </c>
      <c r="N76" s="548">
        <f t="shared" ref="N76:N94" si="112">((M76*D76)*12)</f>
        <v>13820.811096000001</v>
      </c>
      <c r="P76" s="545" t="str">
        <f t="shared" ref="P76:P81" si="113">B76</f>
        <v>1x1</v>
      </c>
      <c r="Q76" s="545" t="str">
        <f t="shared" ref="Q76:Q94" si="114">C76</f>
        <v>50% AMI</v>
      </c>
      <c r="R76" s="545">
        <f t="shared" ref="R76:R94" si="115">D76</f>
        <v>2</v>
      </c>
      <c r="S76" s="546">
        <f t="shared" ref="S76:S94" si="116">E76</f>
        <v>701</v>
      </c>
      <c r="T76" s="547">
        <f t="shared" ref="T76:T94" si="117">F76</f>
        <v>71.027254999999997</v>
      </c>
      <c r="U76" s="548">
        <f>((M76*R76)*12)</f>
        <v>13820.811096000001</v>
      </c>
      <c r="W76" s="545" t="str">
        <f t="shared" ref="W76:W94" si="118">B76</f>
        <v>1x1</v>
      </c>
      <c r="X76" s="545" t="str">
        <f t="shared" ref="X76:X94" si="119">C76</f>
        <v>50% AMI</v>
      </c>
      <c r="Y76" s="545">
        <f t="shared" ref="Y76:Y94" si="120">D76</f>
        <v>2</v>
      </c>
      <c r="Z76" s="546">
        <f t="shared" ref="Z76:Z94" si="121">E76</f>
        <v>701</v>
      </c>
      <c r="AA76" s="547">
        <f t="shared" ref="AA76:AA94" si="122">F76</f>
        <v>71.027254999999997</v>
      </c>
      <c r="AB76" s="549">
        <f>((H76*Y76)*12)</f>
        <v>15368.112528000001</v>
      </c>
      <c r="AD76" s="545" t="str">
        <f>B76</f>
        <v>1x1</v>
      </c>
      <c r="AE76" s="545" t="str">
        <f t="shared" ref="AE76:AE94" si="123">C76</f>
        <v>50% AMI</v>
      </c>
      <c r="AF76" s="545">
        <f t="shared" ref="AF76:AF94" si="124">D76</f>
        <v>2</v>
      </c>
      <c r="AG76" s="546">
        <f t="shared" ref="AG76:AG94" si="125">E76</f>
        <v>701</v>
      </c>
      <c r="AH76" s="547">
        <f t="shared" ref="AH76:AH94" si="126">F76</f>
        <v>71.027254999999997</v>
      </c>
      <c r="AI76" s="548">
        <f>+MAX(U76,AB76)</f>
        <v>15368.112528000001</v>
      </c>
    </row>
    <row r="77" spans="2:35" s="120" customFormat="1" ht="15.75" customHeight="1" x14ac:dyDescent="0.2">
      <c r="B77" s="551" t="str">
        <f t="shared" si="106"/>
        <v>1x1</v>
      </c>
      <c r="C77" s="552" t="str">
        <f t="shared" si="106"/>
        <v>60% AMI</v>
      </c>
      <c r="D77" s="551">
        <f t="shared" si="107"/>
        <v>0</v>
      </c>
      <c r="E77" s="553">
        <f t="shared" si="108"/>
        <v>701</v>
      </c>
      <c r="F77" s="554">
        <f>F54*(1+Dashboard!$P$12)</f>
        <v>71.027254999999997</v>
      </c>
      <c r="G77" s="555">
        <f>G54*(1+Dashboard!$P$11)</f>
        <v>853.41978700000016</v>
      </c>
      <c r="H77" s="549">
        <f t="shared" si="109"/>
        <v>782.39253200000019</v>
      </c>
      <c r="I77" s="556">
        <f>I54*(1+Dashboard!$P$11)</f>
        <v>746.33254099999999</v>
      </c>
      <c r="J77" s="557">
        <f t="shared" si="110"/>
        <v>675.30528600000002</v>
      </c>
      <c r="K77" s="558">
        <f>K54*(1+Dashboard!$P$11)</f>
        <v>0</v>
      </c>
      <c r="L77" s="559">
        <f t="shared" si="111"/>
        <v>71.027254999999997</v>
      </c>
      <c r="M77" s="559">
        <f>M54*(1+Dashboard!$P$11)</f>
        <v>0</v>
      </c>
      <c r="N77" s="548">
        <f t="shared" si="112"/>
        <v>0</v>
      </c>
      <c r="P77" s="545" t="str">
        <f t="shared" si="113"/>
        <v>1x1</v>
      </c>
      <c r="Q77" s="550" t="str">
        <f t="shared" si="114"/>
        <v>60% AMI</v>
      </c>
      <c r="R77" s="545">
        <f t="shared" si="115"/>
        <v>0</v>
      </c>
      <c r="S77" s="546">
        <f t="shared" si="116"/>
        <v>701</v>
      </c>
      <c r="T77" s="547">
        <f t="shared" si="117"/>
        <v>71.027254999999997</v>
      </c>
      <c r="U77" s="548">
        <f t="shared" ref="U77:U94" si="127">((M77*R77)*12)</f>
        <v>0</v>
      </c>
      <c r="W77" s="545" t="str">
        <f t="shared" si="118"/>
        <v>1x1</v>
      </c>
      <c r="X77" s="550" t="str">
        <f t="shared" si="119"/>
        <v>60% AMI</v>
      </c>
      <c r="Y77" s="545">
        <f t="shared" si="120"/>
        <v>0</v>
      </c>
      <c r="Z77" s="546">
        <f t="shared" si="121"/>
        <v>701</v>
      </c>
      <c r="AA77" s="547">
        <f t="shared" si="122"/>
        <v>71.027254999999997</v>
      </c>
      <c r="AB77" s="549">
        <f t="shared" ref="AB77" si="128">((H77*Y77)*12)</f>
        <v>0</v>
      </c>
      <c r="AD77" s="545" t="str">
        <f t="shared" ref="AD77:AD94" si="129">B77</f>
        <v>1x1</v>
      </c>
      <c r="AE77" s="550" t="str">
        <f t="shared" si="123"/>
        <v>60% AMI</v>
      </c>
      <c r="AF77" s="545">
        <f t="shared" si="124"/>
        <v>0</v>
      </c>
      <c r="AG77" s="546">
        <f t="shared" si="125"/>
        <v>701</v>
      </c>
      <c r="AH77" s="547">
        <f t="shared" si="126"/>
        <v>71.027254999999997</v>
      </c>
      <c r="AI77" s="548">
        <f t="shared" ref="AI77:AI94" si="130">+MAX(U77,AB77)</f>
        <v>0</v>
      </c>
    </row>
    <row r="78" spans="2:35" s="120" customFormat="1" ht="15.75" customHeight="1" x14ac:dyDescent="0.2">
      <c r="B78" s="551" t="str">
        <f t="shared" si="106"/>
        <v>1x1</v>
      </c>
      <c r="C78" s="552" t="str">
        <f t="shared" si="106"/>
        <v>Market</v>
      </c>
      <c r="D78" s="551">
        <f t="shared" si="107"/>
        <v>1</v>
      </c>
      <c r="E78" s="553">
        <f t="shared" si="108"/>
        <v>701</v>
      </c>
      <c r="F78" s="554">
        <f>F55*(1+Dashboard!$P$12)</f>
        <v>0</v>
      </c>
      <c r="G78" s="555">
        <f>G55*(1+Dashboard!$P$11)</f>
        <v>0</v>
      </c>
      <c r="H78" s="549">
        <f t="shared" si="109"/>
        <v>0</v>
      </c>
      <c r="I78" s="556">
        <f>I55*(1+Dashboard!$P$11)</f>
        <v>746.33254099999999</v>
      </c>
      <c r="J78" s="557">
        <f t="shared" si="110"/>
        <v>746.33254099999999</v>
      </c>
      <c r="K78" s="558">
        <f>K55*(1+Dashboard!$P$11)</f>
        <v>0</v>
      </c>
      <c r="L78" s="559">
        <f t="shared" si="111"/>
        <v>647.98711100000003</v>
      </c>
      <c r="M78" s="559">
        <f>M55*(1+Dashboard!$P$11)</f>
        <v>647.98711100000003</v>
      </c>
      <c r="N78" s="548">
        <f t="shared" si="112"/>
        <v>7775.8453320000008</v>
      </c>
      <c r="P78" s="545" t="str">
        <f t="shared" si="113"/>
        <v>1x1</v>
      </c>
      <c r="Q78" s="550" t="str">
        <f t="shared" si="114"/>
        <v>Market</v>
      </c>
      <c r="R78" s="545">
        <f t="shared" si="115"/>
        <v>1</v>
      </c>
      <c r="S78" s="546">
        <f t="shared" si="116"/>
        <v>701</v>
      </c>
      <c r="T78" s="547">
        <f t="shared" si="117"/>
        <v>0</v>
      </c>
      <c r="U78" s="548">
        <f t="shared" si="127"/>
        <v>7775.8453320000008</v>
      </c>
      <c r="W78" s="545" t="str">
        <f t="shared" si="118"/>
        <v>1x1</v>
      </c>
      <c r="X78" s="550" t="str">
        <f t="shared" si="119"/>
        <v>Market</v>
      </c>
      <c r="Y78" s="545">
        <f t="shared" si="120"/>
        <v>1</v>
      </c>
      <c r="Z78" s="546">
        <f t="shared" si="121"/>
        <v>701</v>
      </c>
      <c r="AA78" s="547">
        <f t="shared" si="122"/>
        <v>0</v>
      </c>
      <c r="AB78" s="549">
        <f>((H78*Y78)*12)</f>
        <v>0</v>
      </c>
      <c r="AD78" s="545" t="str">
        <f t="shared" si="129"/>
        <v>1x1</v>
      </c>
      <c r="AE78" s="550" t="str">
        <f t="shared" si="123"/>
        <v>Market</v>
      </c>
      <c r="AF78" s="545">
        <f t="shared" si="124"/>
        <v>1</v>
      </c>
      <c r="AG78" s="546">
        <f t="shared" si="125"/>
        <v>701</v>
      </c>
      <c r="AH78" s="547">
        <f t="shared" si="126"/>
        <v>0</v>
      </c>
      <c r="AI78" s="548">
        <f t="shared" si="130"/>
        <v>7775.8453320000008</v>
      </c>
    </row>
    <row r="79" spans="2:35" s="120" customFormat="1" ht="15.75" customHeight="1" x14ac:dyDescent="0.2">
      <c r="B79" s="551" t="str">
        <f t="shared" si="106"/>
        <v>1x1</v>
      </c>
      <c r="C79" s="552" t="str">
        <f t="shared" si="106"/>
        <v>S8 Voucher</v>
      </c>
      <c r="D79" s="551">
        <f t="shared" si="107"/>
        <v>3</v>
      </c>
      <c r="E79" s="553">
        <f t="shared" si="108"/>
        <v>701</v>
      </c>
      <c r="F79" s="554">
        <f>F56*(1+Dashboard!$P$12)</f>
        <v>71.027254999999997</v>
      </c>
      <c r="G79" s="555">
        <f>G56*(1+Dashboard!$P$11)</f>
        <v>853.41978700000016</v>
      </c>
      <c r="H79" s="549">
        <f t="shared" si="109"/>
        <v>782.39253200000019</v>
      </c>
      <c r="I79" s="556">
        <f>I56*(1+Dashboard!$P$11)</f>
        <v>746.33254099999999</v>
      </c>
      <c r="J79" s="557">
        <f t="shared" si="110"/>
        <v>675.30528600000002</v>
      </c>
      <c r="K79" s="558">
        <f>K56*(1+Dashboard!$P$11)</f>
        <v>0</v>
      </c>
      <c r="L79" s="559">
        <f t="shared" si="111"/>
        <v>642.52347600000007</v>
      </c>
      <c r="M79" s="559">
        <f>M56*(1+Dashboard!$P$11)</f>
        <v>571.49622100000011</v>
      </c>
      <c r="N79" s="548">
        <f t="shared" si="112"/>
        <v>20573.863956000005</v>
      </c>
      <c r="P79" s="545" t="str">
        <f t="shared" si="113"/>
        <v>1x1</v>
      </c>
      <c r="Q79" s="550" t="str">
        <f t="shared" si="114"/>
        <v>S8 Voucher</v>
      </c>
      <c r="R79" s="545">
        <f t="shared" si="115"/>
        <v>3</v>
      </c>
      <c r="S79" s="546">
        <f t="shared" si="116"/>
        <v>701</v>
      </c>
      <c r="T79" s="547">
        <f t="shared" si="117"/>
        <v>71.027254999999997</v>
      </c>
      <c r="U79" s="548">
        <f t="shared" si="127"/>
        <v>20573.863956000005</v>
      </c>
      <c r="W79" s="545" t="str">
        <f t="shared" si="118"/>
        <v>1x1</v>
      </c>
      <c r="X79" s="550" t="str">
        <f t="shared" si="119"/>
        <v>S8 Voucher</v>
      </c>
      <c r="Y79" s="545">
        <f t="shared" si="120"/>
        <v>3</v>
      </c>
      <c r="Z79" s="546">
        <f t="shared" si="121"/>
        <v>701</v>
      </c>
      <c r="AA79" s="547">
        <f t="shared" si="122"/>
        <v>71.027254999999997</v>
      </c>
      <c r="AB79" s="549">
        <f t="shared" ref="AB79:AB80" si="131">((H79*Y79)*12)</f>
        <v>28166.131152000005</v>
      </c>
      <c r="AD79" s="545" t="str">
        <f t="shared" si="129"/>
        <v>1x1</v>
      </c>
      <c r="AE79" s="550" t="str">
        <f t="shared" si="123"/>
        <v>S8 Voucher</v>
      </c>
      <c r="AF79" s="545">
        <f t="shared" si="124"/>
        <v>3</v>
      </c>
      <c r="AG79" s="546">
        <f t="shared" si="125"/>
        <v>701</v>
      </c>
      <c r="AH79" s="547">
        <f t="shared" si="126"/>
        <v>71.027254999999997</v>
      </c>
      <c r="AI79" s="548">
        <f t="shared" si="130"/>
        <v>28166.131152000005</v>
      </c>
    </row>
    <row r="80" spans="2:35" s="120" customFormat="1" ht="15.75" customHeight="1" x14ac:dyDescent="0.2">
      <c r="B80" s="551" t="str">
        <f t="shared" si="106"/>
        <v>2x1.5</v>
      </c>
      <c r="C80" s="552" t="str">
        <f t="shared" si="106"/>
        <v>40% AMI</v>
      </c>
      <c r="D80" s="551">
        <f t="shared" si="107"/>
        <v>1</v>
      </c>
      <c r="E80" s="553">
        <f t="shared" si="108"/>
        <v>940</v>
      </c>
      <c r="F80" s="554">
        <f>F57*(1+Dashboard!$P$12)</f>
        <v>93.974521999999993</v>
      </c>
      <c r="G80" s="555">
        <f>G57*(1+Dashboard!$P$11)</f>
        <v>588.97985300000005</v>
      </c>
      <c r="H80" s="549">
        <f t="shared" si="109"/>
        <v>495.00533100000007</v>
      </c>
      <c r="I80" s="556">
        <f>I57*(1+Dashboard!$P$11)</f>
        <v>850.14160600000014</v>
      </c>
      <c r="J80" s="557">
        <f t="shared" si="110"/>
        <v>756.16708400000016</v>
      </c>
      <c r="K80" s="558">
        <f>K57*(1+Dashboard!$P$11)</f>
        <v>0</v>
      </c>
      <c r="L80" s="559">
        <f t="shared" si="111"/>
        <v>602.09257700000001</v>
      </c>
      <c r="M80" s="559">
        <f>M57*(1+Dashboard!$P$11)</f>
        <v>508.11805500000003</v>
      </c>
      <c r="N80" s="548">
        <f t="shared" si="112"/>
        <v>6097.4166600000008</v>
      </c>
      <c r="P80" s="545" t="str">
        <f t="shared" si="113"/>
        <v>2x1.5</v>
      </c>
      <c r="Q80" s="550" t="str">
        <f t="shared" si="114"/>
        <v>40% AMI</v>
      </c>
      <c r="R80" s="545">
        <f t="shared" si="115"/>
        <v>1</v>
      </c>
      <c r="S80" s="546">
        <f t="shared" si="116"/>
        <v>940</v>
      </c>
      <c r="T80" s="547">
        <f t="shared" si="117"/>
        <v>93.974521999999993</v>
      </c>
      <c r="U80" s="548">
        <f t="shared" si="127"/>
        <v>6097.4166600000008</v>
      </c>
      <c r="W80" s="545" t="str">
        <f t="shared" si="118"/>
        <v>2x1.5</v>
      </c>
      <c r="X80" s="550" t="str">
        <f t="shared" si="119"/>
        <v>40% AMI</v>
      </c>
      <c r="Y80" s="545">
        <f t="shared" si="120"/>
        <v>1</v>
      </c>
      <c r="Z80" s="546">
        <f t="shared" si="121"/>
        <v>940</v>
      </c>
      <c r="AA80" s="547">
        <f t="shared" si="122"/>
        <v>93.974521999999993</v>
      </c>
      <c r="AB80" s="549">
        <f t="shared" si="131"/>
        <v>5940.0639720000008</v>
      </c>
      <c r="AD80" s="545" t="str">
        <f t="shared" si="129"/>
        <v>2x1.5</v>
      </c>
      <c r="AE80" s="550" t="str">
        <f t="shared" si="123"/>
        <v>40% AMI</v>
      </c>
      <c r="AF80" s="545">
        <f t="shared" si="124"/>
        <v>1</v>
      </c>
      <c r="AG80" s="546">
        <f t="shared" si="125"/>
        <v>940</v>
      </c>
      <c r="AH80" s="547">
        <f t="shared" si="126"/>
        <v>93.974521999999993</v>
      </c>
      <c r="AI80" s="548">
        <f t="shared" si="130"/>
        <v>6097.4166600000008</v>
      </c>
    </row>
    <row r="81" spans="2:35" s="120" customFormat="1" ht="15.75" customHeight="1" x14ac:dyDescent="0.2">
      <c r="B81" s="551" t="str">
        <f t="shared" si="106"/>
        <v>2x1.5</v>
      </c>
      <c r="C81" s="552" t="str">
        <f t="shared" si="106"/>
        <v>50% AMI</v>
      </c>
      <c r="D81" s="551">
        <f t="shared" si="107"/>
        <v>3</v>
      </c>
      <c r="E81" s="553">
        <f t="shared" si="108"/>
        <v>990</v>
      </c>
      <c r="F81" s="554">
        <f>F58*(1+Dashboard!$P$12)</f>
        <v>93.974521999999993</v>
      </c>
      <c r="G81" s="555">
        <f>G58*(1+Dashboard!$P$11)</f>
        <v>759.44526500000006</v>
      </c>
      <c r="H81" s="549">
        <f t="shared" si="109"/>
        <v>665.47074300000008</v>
      </c>
      <c r="I81" s="556">
        <f>I58*(1+Dashboard!$P$11)</f>
        <v>850.14160600000014</v>
      </c>
      <c r="J81" s="557">
        <f t="shared" si="110"/>
        <v>756.16708400000016</v>
      </c>
      <c r="K81" s="558">
        <f>K58*(1+Dashboard!$P$11)</f>
        <v>0</v>
      </c>
      <c r="L81" s="559">
        <f t="shared" si="111"/>
        <v>727.75618199999997</v>
      </c>
      <c r="M81" s="559">
        <f>M58*(1+Dashboard!$P$11)</f>
        <v>633.78165999999999</v>
      </c>
      <c r="N81" s="548">
        <f t="shared" si="112"/>
        <v>22816.139759999998</v>
      </c>
      <c r="P81" s="545" t="str">
        <f t="shared" si="113"/>
        <v>2x1.5</v>
      </c>
      <c r="Q81" s="550" t="str">
        <f t="shared" si="114"/>
        <v>50% AMI</v>
      </c>
      <c r="R81" s="545">
        <f t="shared" si="115"/>
        <v>3</v>
      </c>
      <c r="S81" s="546">
        <f t="shared" si="116"/>
        <v>990</v>
      </c>
      <c r="T81" s="547">
        <f t="shared" si="117"/>
        <v>93.974521999999993</v>
      </c>
      <c r="U81" s="548">
        <f t="shared" si="127"/>
        <v>22816.139759999998</v>
      </c>
      <c r="W81" s="545" t="str">
        <f t="shared" si="118"/>
        <v>2x1.5</v>
      </c>
      <c r="X81" s="550" t="str">
        <f t="shared" si="119"/>
        <v>50% AMI</v>
      </c>
      <c r="Y81" s="545">
        <f t="shared" si="120"/>
        <v>3</v>
      </c>
      <c r="Z81" s="546">
        <f t="shared" si="121"/>
        <v>990</v>
      </c>
      <c r="AA81" s="547">
        <f t="shared" si="122"/>
        <v>93.974521999999993</v>
      </c>
      <c r="AB81" s="549">
        <f>((H81*Y81)*12)</f>
        <v>23956.946748000002</v>
      </c>
      <c r="AD81" s="545" t="str">
        <f t="shared" si="129"/>
        <v>2x1.5</v>
      </c>
      <c r="AE81" s="550" t="str">
        <f t="shared" si="123"/>
        <v>50% AMI</v>
      </c>
      <c r="AF81" s="545">
        <f t="shared" si="124"/>
        <v>3</v>
      </c>
      <c r="AG81" s="546">
        <f t="shared" si="125"/>
        <v>990</v>
      </c>
      <c r="AH81" s="547">
        <f t="shared" si="126"/>
        <v>93.974521999999993</v>
      </c>
      <c r="AI81" s="548">
        <f t="shared" si="130"/>
        <v>23956.946748000002</v>
      </c>
    </row>
    <row r="82" spans="2:35" s="120" customFormat="1" ht="15.75" customHeight="1" x14ac:dyDescent="0.2">
      <c r="B82" s="551" t="str">
        <f t="shared" ref="B82:C82" si="132">B59</f>
        <v>2x1.5</v>
      </c>
      <c r="C82" s="552" t="str">
        <f t="shared" si="132"/>
        <v>60% AMI</v>
      </c>
      <c r="D82" s="551">
        <f t="shared" ref="D82:D94" si="133">$D59</f>
        <v>2</v>
      </c>
      <c r="E82" s="553">
        <f t="shared" ref="E82:E94" si="134">E59</f>
        <v>980</v>
      </c>
      <c r="F82" s="554">
        <f>F59*(1+Dashboard!$P$12)</f>
        <v>93.974521999999993</v>
      </c>
      <c r="G82" s="555">
        <f>G59*(1+Dashboard!$P$11)</f>
        <v>929.91067700000008</v>
      </c>
      <c r="H82" s="549">
        <f t="shared" si="109"/>
        <v>835.9361550000001</v>
      </c>
      <c r="I82" s="556">
        <f>I59*(1+Dashboard!$P$11)</f>
        <v>850.14160600000014</v>
      </c>
      <c r="J82" s="557">
        <f t="shared" si="110"/>
        <v>756.16708400000016</v>
      </c>
      <c r="K82" s="558">
        <f>K59*(1+Dashboard!$P$11)</f>
        <v>0</v>
      </c>
      <c r="L82" s="559">
        <f t="shared" si="111"/>
        <v>795.50525600000003</v>
      </c>
      <c r="M82" s="559">
        <f>M59*(1+Dashboard!$P$11)</f>
        <v>701.53073400000005</v>
      </c>
      <c r="N82" s="548">
        <f t="shared" si="112"/>
        <v>16836.737616000002</v>
      </c>
      <c r="P82" s="545" t="str">
        <f>B82</f>
        <v>2x1.5</v>
      </c>
      <c r="Q82" s="550" t="str">
        <f t="shared" si="114"/>
        <v>60% AMI</v>
      </c>
      <c r="R82" s="545">
        <f t="shared" si="115"/>
        <v>2</v>
      </c>
      <c r="S82" s="546">
        <f t="shared" si="116"/>
        <v>980</v>
      </c>
      <c r="T82" s="547">
        <f t="shared" si="117"/>
        <v>93.974521999999993</v>
      </c>
      <c r="U82" s="548">
        <f t="shared" si="127"/>
        <v>16836.737616000002</v>
      </c>
      <c r="W82" s="545" t="str">
        <f t="shared" si="118"/>
        <v>2x1.5</v>
      </c>
      <c r="X82" s="550" t="str">
        <f t="shared" si="119"/>
        <v>60% AMI</v>
      </c>
      <c r="Y82" s="545">
        <f t="shared" si="120"/>
        <v>2</v>
      </c>
      <c r="Z82" s="546">
        <f t="shared" si="121"/>
        <v>980</v>
      </c>
      <c r="AA82" s="547">
        <f t="shared" si="122"/>
        <v>93.974521999999993</v>
      </c>
      <c r="AB82" s="549">
        <f t="shared" ref="AB82:AB94" si="135">((H82*Y82)*12)</f>
        <v>20062.467720000001</v>
      </c>
      <c r="AD82" s="545" t="str">
        <f t="shared" si="129"/>
        <v>2x1.5</v>
      </c>
      <c r="AE82" s="550" t="str">
        <f t="shared" si="123"/>
        <v>60% AMI</v>
      </c>
      <c r="AF82" s="545">
        <f t="shared" si="124"/>
        <v>2</v>
      </c>
      <c r="AG82" s="546">
        <f t="shared" si="125"/>
        <v>980</v>
      </c>
      <c r="AH82" s="547">
        <f t="shared" si="126"/>
        <v>93.974521999999993</v>
      </c>
      <c r="AI82" s="548">
        <f t="shared" si="130"/>
        <v>20062.467720000001</v>
      </c>
    </row>
    <row r="83" spans="2:35" s="120" customFormat="1" ht="15.75" customHeight="1" x14ac:dyDescent="0.2">
      <c r="B83" s="551" t="str">
        <f t="shared" ref="B83:C83" si="136">B60</f>
        <v>2x2</v>
      </c>
      <c r="C83" s="552" t="str">
        <f t="shared" si="136"/>
        <v>50% AMI</v>
      </c>
      <c r="D83" s="551">
        <f t="shared" si="133"/>
        <v>1</v>
      </c>
      <c r="E83" s="553">
        <f t="shared" si="134"/>
        <v>968</v>
      </c>
      <c r="F83" s="554">
        <f>F60*(1+Dashboard!$P$12)</f>
        <v>93.974521999999993</v>
      </c>
      <c r="G83" s="555">
        <f>G60*(1+Dashboard!$P$11)</f>
        <v>759.44526500000006</v>
      </c>
      <c r="H83" s="549">
        <f t="shared" si="109"/>
        <v>665.47074300000008</v>
      </c>
      <c r="I83" s="556">
        <f>I60*(1+Dashboard!$P$11)</f>
        <v>850.14160600000014</v>
      </c>
      <c r="J83" s="557">
        <f t="shared" si="110"/>
        <v>756.16708400000016</v>
      </c>
      <c r="K83" s="558">
        <f>K60*(1+Dashboard!$P$11)</f>
        <v>0</v>
      </c>
      <c r="L83" s="559">
        <f t="shared" si="111"/>
        <v>760.53799200000014</v>
      </c>
      <c r="M83" s="559">
        <f>M60*(1+Dashboard!$P$11)</f>
        <v>666.56347000000017</v>
      </c>
      <c r="N83" s="548">
        <f t="shared" si="112"/>
        <v>7998.7616400000024</v>
      </c>
      <c r="P83" s="545" t="str">
        <f t="shared" ref="P83:P94" si="137">B83</f>
        <v>2x2</v>
      </c>
      <c r="Q83" s="550" t="str">
        <f t="shared" si="114"/>
        <v>50% AMI</v>
      </c>
      <c r="R83" s="545">
        <f t="shared" si="115"/>
        <v>1</v>
      </c>
      <c r="S83" s="546">
        <f t="shared" si="116"/>
        <v>968</v>
      </c>
      <c r="T83" s="547">
        <f t="shared" si="117"/>
        <v>93.974521999999993</v>
      </c>
      <c r="U83" s="548">
        <f t="shared" si="127"/>
        <v>7998.7616400000024</v>
      </c>
      <c r="W83" s="545" t="str">
        <f t="shared" si="118"/>
        <v>2x2</v>
      </c>
      <c r="X83" s="550" t="str">
        <f t="shared" si="119"/>
        <v>50% AMI</v>
      </c>
      <c r="Y83" s="545">
        <f t="shared" si="120"/>
        <v>1</v>
      </c>
      <c r="Z83" s="546">
        <f t="shared" si="121"/>
        <v>968</v>
      </c>
      <c r="AA83" s="547">
        <f t="shared" si="122"/>
        <v>93.974521999999993</v>
      </c>
      <c r="AB83" s="549">
        <f t="shared" si="135"/>
        <v>7985.648916000001</v>
      </c>
      <c r="AD83" s="545" t="str">
        <f t="shared" si="129"/>
        <v>2x2</v>
      </c>
      <c r="AE83" s="550" t="str">
        <f t="shared" si="123"/>
        <v>50% AMI</v>
      </c>
      <c r="AF83" s="545">
        <f t="shared" si="124"/>
        <v>1</v>
      </c>
      <c r="AG83" s="546">
        <f t="shared" si="125"/>
        <v>968</v>
      </c>
      <c r="AH83" s="547">
        <f t="shared" si="126"/>
        <v>93.974521999999993</v>
      </c>
      <c r="AI83" s="548">
        <f t="shared" si="130"/>
        <v>7998.7616400000024</v>
      </c>
    </row>
    <row r="84" spans="2:35" s="120" customFormat="1" ht="15.75" customHeight="1" x14ac:dyDescent="0.2">
      <c r="B84" s="551" t="str">
        <f t="shared" ref="B84:C84" si="138">B61</f>
        <v>2x2</v>
      </c>
      <c r="C84" s="552" t="str">
        <f t="shared" si="138"/>
        <v>60% AMI</v>
      </c>
      <c r="D84" s="551">
        <f t="shared" si="133"/>
        <v>2</v>
      </c>
      <c r="E84" s="553">
        <f t="shared" si="134"/>
        <v>968</v>
      </c>
      <c r="F84" s="554">
        <f>F61*(1+Dashboard!$P$12)</f>
        <v>93.974521999999993</v>
      </c>
      <c r="G84" s="555">
        <f>G61*(1+Dashboard!$P$11)</f>
        <v>929.91067700000008</v>
      </c>
      <c r="H84" s="549">
        <f t="shared" si="109"/>
        <v>835.9361550000001</v>
      </c>
      <c r="I84" s="556">
        <f>I61*(1+Dashboard!$P$11)</f>
        <v>850.14160600000014</v>
      </c>
      <c r="J84" s="557">
        <f t="shared" si="110"/>
        <v>756.16708400000016</v>
      </c>
      <c r="K84" s="558">
        <f>K61*(1+Dashboard!$P$11)</f>
        <v>0</v>
      </c>
      <c r="L84" s="559">
        <f t="shared" si="111"/>
        <v>787.85616700000003</v>
      </c>
      <c r="M84" s="559">
        <f>M61*(1+Dashboard!$P$11)</f>
        <v>693.88164500000005</v>
      </c>
      <c r="N84" s="548">
        <f t="shared" si="112"/>
        <v>16653.159480000002</v>
      </c>
      <c r="P84" s="545" t="str">
        <f t="shared" si="137"/>
        <v>2x2</v>
      </c>
      <c r="Q84" s="550" t="str">
        <f t="shared" si="114"/>
        <v>60% AMI</v>
      </c>
      <c r="R84" s="545">
        <f t="shared" si="115"/>
        <v>2</v>
      </c>
      <c r="S84" s="546">
        <f t="shared" si="116"/>
        <v>968</v>
      </c>
      <c r="T84" s="547">
        <f t="shared" si="117"/>
        <v>93.974521999999993</v>
      </c>
      <c r="U84" s="548">
        <f t="shared" si="127"/>
        <v>16653.159480000002</v>
      </c>
      <c r="W84" s="545" t="str">
        <f t="shared" si="118"/>
        <v>2x2</v>
      </c>
      <c r="X84" s="550" t="str">
        <f t="shared" si="119"/>
        <v>60% AMI</v>
      </c>
      <c r="Y84" s="545">
        <f t="shared" si="120"/>
        <v>2</v>
      </c>
      <c r="Z84" s="546">
        <f t="shared" si="121"/>
        <v>968</v>
      </c>
      <c r="AA84" s="547">
        <f t="shared" si="122"/>
        <v>93.974521999999993</v>
      </c>
      <c r="AB84" s="549">
        <f t="shared" si="135"/>
        <v>20062.467720000001</v>
      </c>
      <c r="AD84" s="545" t="str">
        <f t="shared" si="129"/>
        <v>2x2</v>
      </c>
      <c r="AE84" s="550" t="str">
        <f t="shared" si="123"/>
        <v>60% AMI</v>
      </c>
      <c r="AF84" s="545">
        <f t="shared" si="124"/>
        <v>2</v>
      </c>
      <c r="AG84" s="546">
        <f t="shared" si="125"/>
        <v>968</v>
      </c>
      <c r="AH84" s="547">
        <f t="shared" si="126"/>
        <v>93.974521999999993</v>
      </c>
      <c r="AI84" s="548">
        <f t="shared" si="130"/>
        <v>20062.467720000001</v>
      </c>
    </row>
    <row r="85" spans="2:35" s="120" customFormat="1" ht="15.75" customHeight="1" x14ac:dyDescent="0.2">
      <c r="B85" s="551" t="str">
        <f t="shared" ref="B85:C85" si="139">B62</f>
        <v>2x2</v>
      </c>
      <c r="C85" s="552" t="str">
        <f t="shared" si="139"/>
        <v>Market</v>
      </c>
      <c r="D85" s="551">
        <f t="shared" si="133"/>
        <v>0</v>
      </c>
      <c r="E85" s="553">
        <f t="shared" si="134"/>
        <v>968</v>
      </c>
      <c r="F85" s="554">
        <f>F62*(1+Dashboard!$P$12)</f>
        <v>0</v>
      </c>
      <c r="G85" s="555">
        <f>G62*(1+Dashboard!$P$11)</f>
        <v>0</v>
      </c>
      <c r="H85" s="549">
        <f t="shared" si="109"/>
        <v>0</v>
      </c>
      <c r="I85" s="556">
        <f>I62*(1+Dashboard!$P$11)</f>
        <v>850.14160600000014</v>
      </c>
      <c r="J85" s="557">
        <f t="shared" si="110"/>
        <v>850.14160600000014</v>
      </c>
      <c r="K85" s="558">
        <f>K62*(1+Dashboard!$P$11)</f>
        <v>0</v>
      </c>
      <c r="L85" s="559">
        <f t="shared" si="111"/>
        <v>0</v>
      </c>
      <c r="M85" s="559">
        <f>M62*(1+Dashboard!$P$11)</f>
        <v>0</v>
      </c>
      <c r="N85" s="548">
        <f t="shared" si="112"/>
        <v>0</v>
      </c>
      <c r="P85" s="545" t="str">
        <f t="shared" si="137"/>
        <v>2x2</v>
      </c>
      <c r="Q85" s="550" t="str">
        <f t="shared" si="114"/>
        <v>Market</v>
      </c>
      <c r="R85" s="545">
        <f t="shared" si="115"/>
        <v>0</v>
      </c>
      <c r="S85" s="546">
        <f t="shared" si="116"/>
        <v>968</v>
      </c>
      <c r="T85" s="547">
        <f t="shared" si="117"/>
        <v>0</v>
      </c>
      <c r="U85" s="548">
        <f t="shared" si="127"/>
        <v>0</v>
      </c>
      <c r="W85" s="545" t="str">
        <f t="shared" si="118"/>
        <v>2x2</v>
      </c>
      <c r="X85" s="550" t="str">
        <f t="shared" si="119"/>
        <v>Market</v>
      </c>
      <c r="Y85" s="545">
        <f t="shared" si="120"/>
        <v>0</v>
      </c>
      <c r="Z85" s="546">
        <f t="shared" si="121"/>
        <v>968</v>
      </c>
      <c r="AA85" s="547">
        <f t="shared" si="122"/>
        <v>0</v>
      </c>
      <c r="AB85" s="549">
        <f t="shared" si="135"/>
        <v>0</v>
      </c>
      <c r="AD85" s="545" t="str">
        <f t="shared" si="129"/>
        <v>2x2</v>
      </c>
      <c r="AE85" s="550" t="str">
        <f t="shared" si="123"/>
        <v>Market</v>
      </c>
      <c r="AF85" s="545">
        <f t="shared" si="124"/>
        <v>0</v>
      </c>
      <c r="AG85" s="546">
        <f t="shared" si="125"/>
        <v>968</v>
      </c>
      <c r="AH85" s="547">
        <f t="shared" si="126"/>
        <v>0</v>
      </c>
      <c r="AI85" s="548">
        <f t="shared" si="130"/>
        <v>0</v>
      </c>
    </row>
    <row r="86" spans="2:35" s="120" customFormat="1" ht="15.75" customHeight="1" x14ac:dyDescent="0.2">
      <c r="B86" s="551" t="str">
        <f t="shared" ref="B86:C86" si="140">B63</f>
        <v>2x2 (TH)</v>
      </c>
      <c r="C86" s="552" t="str">
        <f t="shared" si="140"/>
        <v>40% AMI</v>
      </c>
      <c r="D86" s="551">
        <f t="shared" si="133"/>
        <v>1</v>
      </c>
      <c r="E86" s="553">
        <f t="shared" si="134"/>
        <v>1058</v>
      </c>
      <c r="F86" s="554">
        <f>F63*(1+Dashboard!$P$12)</f>
        <v>93.974521999999993</v>
      </c>
      <c r="G86" s="555">
        <f>G63*(1+Dashboard!$P$11)</f>
        <v>588.97985300000005</v>
      </c>
      <c r="H86" s="549">
        <f t="shared" si="109"/>
        <v>495.00533100000007</v>
      </c>
      <c r="I86" s="556">
        <f>I63*(1+Dashboard!$P$11)</f>
        <v>850.14160600000014</v>
      </c>
      <c r="J86" s="557">
        <f t="shared" si="110"/>
        <v>756.16708400000016</v>
      </c>
      <c r="K86" s="558">
        <f>K63*(1+Dashboard!$P$11)</f>
        <v>0</v>
      </c>
      <c r="L86" s="559">
        <f t="shared" si="111"/>
        <v>585.70167200000003</v>
      </c>
      <c r="M86" s="559">
        <f>M63*(1+Dashboard!$P$11)</f>
        <v>491.72715000000005</v>
      </c>
      <c r="N86" s="548">
        <f t="shared" si="112"/>
        <v>5900.7258000000002</v>
      </c>
      <c r="P86" s="545" t="str">
        <f t="shared" si="137"/>
        <v>2x2 (TH)</v>
      </c>
      <c r="Q86" s="550" t="str">
        <f t="shared" si="114"/>
        <v>40% AMI</v>
      </c>
      <c r="R86" s="545">
        <f t="shared" si="115"/>
        <v>1</v>
      </c>
      <c r="S86" s="546">
        <f t="shared" si="116"/>
        <v>1058</v>
      </c>
      <c r="T86" s="547">
        <f t="shared" si="117"/>
        <v>93.974521999999993</v>
      </c>
      <c r="U86" s="548">
        <f t="shared" si="127"/>
        <v>5900.7258000000002</v>
      </c>
      <c r="W86" s="545" t="str">
        <f t="shared" si="118"/>
        <v>2x2 (TH)</v>
      </c>
      <c r="X86" s="550" t="str">
        <f t="shared" si="119"/>
        <v>40% AMI</v>
      </c>
      <c r="Y86" s="545">
        <f t="shared" si="120"/>
        <v>1</v>
      </c>
      <c r="Z86" s="546">
        <f t="shared" si="121"/>
        <v>1058</v>
      </c>
      <c r="AA86" s="547">
        <f t="shared" si="122"/>
        <v>93.974521999999993</v>
      </c>
      <c r="AB86" s="549">
        <f t="shared" si="135"/>
        <v>5940.0639720000008</v>
      </c>
      <c r="AD86" s="545" t="str">
        <f t="shared" si="129"/>
        <v>2x2 (TH)</v>
      </c>
      <c r="AE86" s="550" t="str">
        <f t="shared" si="123"/>
        <v>40% AMI</v>
      </c>
      <c r="AF86" s="545">
        <f t="shared" si="124"/>
        <v>1</v>
      </c>
      <c r="AG86" s="546">
        <f t="shared" si="125"/>
        <v>1058</v>
      </c>
      <c r="AH86" s="547">
        <f t="shared" si="126"/>
        <v>93.974521999999993</v>
      </c>
      <c r="AI86" s="548">
        <f t="shared" si="130"/>
        <v>5940.0639720000008</v>
      </c>
    </row>
    <row r="87" spans="2:35" s="120" customFormat="1" ht="15.75" customHeight="1" x14ac:dyDescent="0.2">
      <c r="B87" s="551" t="str">
        <f t="shared" ref="B87:C87" si="141">B64</f>
        <v>2x2 (TH)</v>
      </c>
      <c r="C87" s="552" t="str">
        <f t="shared" si="141"/>
        <v>50% AMI</v>
      </c>
      <c r="D87" s="551">
        <f t="shared" si="133"/>
        <v>1</v>
      </c>
      <c r="E87" s="553">
        <f t="shared" si="134"/>
        <v>1058</v>
      </c>
      <c r="F87" s="554">
        <f>F64*(1+Dashboard!$P$12)</f>
        <v>93.974521999999993</v>
      </c>
      <c r="G87" s="555">
        <f>G64*(1+Dashboard!$P$11)</f>
        <v>759.44526500000006</v>
      </c>
      <c r="H87" s="549">
        <f t="shared" si="109"/>
        <v>665.47074300000008</v>
      </c>
      <c r="I87" s="556">
        <f>I64*(1+Dashboard!$P$11)</f>
        <v>850.14160600000014</v>
      </c>
      <c r="J87" s="557">
        <f t="shared" si="110"/>
        <v>756.16708400000016</v>
      </c>
      <c r="K87" s="558">
        <f>K64*(1+Dashboard!$P$11)</f>
        <v>0</v>
      </c>
      <c r="L87" s="559">
        <f t="shared" si="111"/>
        <v>159.53814199999999</v>
      </c>
      <c r="M87" s="559">
        <f>M64*(1+Dashboard!$P$11)</f>
        <v>65.56362</v>
      </c>
      <c r="N87" s="548">
        <f t="shared" si="112"/>
        <v>786.76343999999995</v>
      </c>
      <c r="P87" s="545" t="str">
        <f t="shared" si="137"/>
        <v>2x2 (TH)</v>
      </c>
      <c r="Q87" s="550" t="str">
        <f t="shared" si="114"/>
        <v>50% AMI</v>
      </c>
      <c r="R87" s="545">
        <f t="shared" si="115"/>
        <v>1</v>
      </c>
      <c r="S87" s="546">
        <f t="shared" si="116"/>
        <v>1058</v>
      </c>
      <c r="T87" s="547">
        <f t="shared" si="117"/>
        <v>93.974521999999993</v>
      </c>
      <c r="U87" s="548">
        <f t="shared" si="127"/>
        <v>786.76343999999995</v>
      </c>
      <c r="W87" s="545" t="str">
        <f t="shared" si="118"/>
        <v>2x2 (TH)</v>
      </c>
      <c r="X87" s="550" t="str">
        <f t="shared" si="119"/>
        <v>50% AMI</v>
      </c>
      <c r="Y87" s="545">
        <f t="shared" si="120"/>
        <v>1</v>
      </c>
      <c r="Z87" s="546">
        <f t="shared" si="121"/>
        <v>1058</v>
      </c>
      <c r="AA87" s="547">
        <f t="shared" si="122"/>
        <v>93.974521999999993</v>
      </c>
      <c r="AB87" s="549">
        <f t="shared" si="135"/>
        <v>7985.648916000001</v>
      </c>
      <c r="AD87" s="545" t="str">
        <f t="shared" si="129"/>
        <v>2x2 (TH)</v>
      </c>
      <c r="AE87" s="550" t="str">
        <f t="shared" si="123"/>
        <v>50% AMI</v>
      </c>
      <c r="AF87" s="545">
        <f t="shared" si="124"/>
        <v>1</v>
      </c>
      <c r="AG87" s="546">
        <f t="shared" si="125"/>
        <v>1058</v>
      </c>
      <c r="AH87" s="547">
        <f t="shared" si="126"/>
        <v>93.974521999999993</v>
      </c>
      <c r="AI87" s="548">
        <f t="shared" si="130"/>
        <v>7985.648916000001</v>
      </c>
    </row>
    <row r="88" spans="2:35" s="120" customFormat="1" ht="15.75" customHeight="1" x14ac:dyDescent="0.2">
      <c r="B88" s="551" t="str">
        <f t="shared" ref="B88:C88" si="142">B65</f>
        <v>2x2 (TH)</v>
      </c>
      <c r="C88" s="552" t="str">
        <f t="shared" si="142"/>
        <v>60% AMI</v>
      </c>
      <c r="D88" s="551">
        <f t="shared" si="133"/>
        <v>16</v>
      </c>
      <c r="E88" s="553">
        <f t="shared" si="134"/>
        <v>1058</v>
      </c>
      <c r="F88" s="554">
        <f>F65*(1+Dashboard!$P$12)</f>
        <v>93.974521999999993</v>
      </c>
      <c r="G88" s="555">
        <f>G65*(1+Dashboard!$P$11)</f>
        <v>929.91067700000008</v>
      </c>
      <c r="H88" s="549">
        <f t="shared" si="109"/>
        <v>835.9361550000001</v>
      </c>
      <c r="I88" s="556">
        <f>I65*(1+Dashboard!$P$11)</f>
        <v>850.14160600000014</v>
      </c>
      <c r="J88" s="557">
        <f t="shared" si="110"/>
        <v>756.16708400000016</v>
      </c>
      <c r="K88" s="558">
        <f>K65*(1+Dashboard!$P$11)</f>
        <v>0</v>
      </c>
      <c r="L88" s="559">
        <f t="shared" si="111"/>
        <v>847.95615200000009</v>
      </c>
      <c r="M88" s="559">
        <f>M65*(1+Dashboard!$P$11)</f>
        <v>753.98163000000011</v>
      </c>
      <c r="N88" s="548">
        <f t="shared" si="112"/>
        <v>144764.47296000001</v>
      </c>
      <c r="P88" s="545" t="str">
        <f t="shared" si="137"/>
        <v>2x2 (TH)</v>
      </c>
      <c r="Q88" s="550" t="str">
        <f t="shared" si="114"/>
        <v>60% AMI</v>
      </c>
      <c r="R88" s="545">
        <f t="shared" si="115"/>
        <v>16</v>
      </c>
      <c r="S88" s="546">
        <f t="shared" si="116"/>
        <v>1058</v>
      </c>
      <c r="T88" s="547">
        <f t="shared" si="117"/>
        <v>93.974521999999993</v>
      </c>
      <c r="U88" s="548">
        <f t="shared" si="127"/>
        <v>144764.47296000001</v>
      </c>
      <c r="W88" s="545" t="str">
        <f t="shared" si="118"/>
        <v>2x2 (TH)</v>
      </c>
      <c r="X88" s="550" t="str">
        <f t="shared" si="119"/>
        <v>60% AMI</v>
      </c>
      <c r="Y88" s="545">
        <f t="shared" si="120"/>
        <v>16</v>
      </c>
      <c r="Z88" s="546">
        <f t="shared" si="121"/>
        <v>1058</v>
      </c>
      <c r="AA88" s="547">
        <f t="shared" si="122"/>
        <v>93.974521999999993</v>
      </c>
      <c r="AB88" s="549">
        <f t="shared" si="135"/>
        <v>160499.74176</v>
      </c>
      <c r="AD88" s="545" t="str">
        <f t="shared" si="129"/>
        <v>2x2 (TH)</v>
      </c>
      <c r="AE88" s="550" t="str">
        <f t="shared" si="123"/>
        <v>60% AMI</v>
      </c>
      <c r="AF88" s="545">
        <f t="shared" si="124"/>
        <v>16</v>
      </c>
      <c r="AG88" s="546">
        <f t="shared" si="125"/>
        <v>1058</v>
      </c>
      <c r="AH88" s="547">
        <f t="shared" si="126"/>
        <v>93.974521999999993</v>
      </c>
      <c r="AI88" s="548">
        <f t="shared" si="130"/>
        <v>160499.74176</v>
      </c>
    </row>
    <row r="89" spans="2:35" s="120" customFormat="1" ht="15.75" customHeight="1" x14ac:dyDescent="0.2">
      <c r="B89" s="551" t="str">
        <f t="shared" ref="B89:C89" si="143">B66</f>
        <v>2x2 (TH)</v>
      </c>
      <c r="C89" s="552" t="str">
        <f t="shared" si="143"/>
        <v>Market</v>
      </c>
      <c r="D89" s="551">
        <f t="shared" si="133"/>
        <v>1</v>
      </c>
      <c r="E89" s="553">
        <f t="shared" si="134"/>
        <v>1058</v>
      </c>
      <c r="F89" s="554">
        <f>F66*(1+Dashboard!$P$12)</f>
        <v>0</v>
      </c>
      <c r="G89" s="555">
        <f>G66*(1+Dashboard!$P$11)</f>
        <v>0</v>
      </c>
      <c r="H89" s="549">
        <f t="shared" si="109"/>
        <v>0</v>
      </c>
      <c r="I89" s="556">
        <f>I66*(1+Dashboard!$P$11)</f>
        <v>850.14160600000014</v>
      </c>
      <c r="J89" s="557">
        <f t="shared" si="110"/>
        <v>850.14160600000014</v>
      </c>
      <c r="K89" s="558">
        <f>K66*(1+Dashboard!$P$11)</f>
        <v>0</v>
      </c>
      <c r="L89" s="559">
        <f t="shared" si="111"/>
        <v>819.54525000000012</v>
      </c>
      <c r="M89" s="559">
        <f>M66*(1+Dashboard!$P$11)</f>
        <v>819.54525000000012</v>
      </c>
      <c r="N89" s="548">
        <f t="shared" si="112"/>
        <v>9834.5430000000015</v>
      </c>
      <c r="P89" s="545" t="str">
        <f t="shared" si="137"/>
        <v>2x2 (TH)</v>
      </c>
      <c r="Q89" s="550" t="str">
        <f t="shared" si="114"/>
        <v>Market</v>
      </c>
      <c r="R89" s="545">
        <f t="shared" si="115"/>
        <v>1</v>
      </c>
      <c r="S89" s="546">
        <f t="shared" si="116"/>
        <v>1058</v>
      </c>
      <c r="T89" s="547">
        <f t="shared" si="117"/>
        <v>0</v>
      </c>
      <c r="U89" s="548">
        <f t="shared" si="127"/>
        <v>9834.5430000000015</v>
      </c>
      <c r="W89" s="545" t="str">
        <f t="shared" si="118"/>
        <v>2x2 (TH)</v>
      </c>
      <c r="X89" s="550" t="str">
        <f t="shared" si="119"/>
        <v>Market</v>
      </c>
      <c r="Y89" s="545">
        <f t="shared" si="120"/>
        <v>1</v>
      </c>
      <c r="Z89" s="546">
        <f t="shared" si="121"/>
        <v>1058</v>
      </c>
      <c r="AA89" s="547">
        <f t="shared" si="122"/>
        <v>0</v>
      </c>
      <c r="AB89" s="549">
        <f t="shared" si="135"/>
        <v>0</v>
      </c>
      <c r="AD89" s="545" t="str">
        <f t="shared" si="129"/>
        <v>2x2 (TH)</v>
      </c>
      <c r="AE89" s="550" t="str">
        <f t="shared" si="123"/>
        <v>Market</v>
      </c>
      <c r="AF89" s="545">
        <f t="shared" si="124"/>
        <v>1</v>
      </c>
      <c r="AG89" s="546">
        <f t="shared" si="125"/>
        <v>1058</v>
      </c>
      <c r="AH89" s="547">
        <f t="shared" si="126"/>
        <v>0</v>
      </c>
      <c r="AI89" s="548">
        <f t="shared" si="130"/>
        <v>9834.5430000000015</v>
      </c>
    </row>
    <row r="90" spans="2:35" s="120" customFormat="1" ht="15.75" customHeight="1" x14ac:dyDescent="0.2">
      <c r="B90" s="551" t="str">
        <f t="shared" ref="B90:C90" si="144">B67</f>
        <v xml:space="preserve">2x1.5-2x2 </v>
      </c>
      <c r="C90" s="552" t="str">
        <f t="shared" si="144"/>
        <v>S8 Voucher</v>
      </c>
      <c r="D90" s="551">
        <f t="shared" si="133"/>
        <v>18</v>
      </c>
      <c r="E90" s="553">
        <f t="shared" si="134"/>
        <v>0</v>
      </c>
      <c r="F90" s="554">
        <f>F67*(1+Dashboard!$P$12)</f>
        <v>93.974521999999993</v>
      </c>
      <c r="G90" s="555">
        <f>G67*(1+Dashboard!$P$11)</f>
        <v>929.91067700000008</v>
      </c>
      <c r="H90" s="549">
        <f t="shared" si="109"/>
        <v>835.9361550000001</v>
      </c>
      <c r="I90" s="556">
        <f>I67*(1+Dashboard!$P$11)</f>
        <v>850.14160600000014</v>
      </c>
      <c r="J90" s="557">
        <f t="shared" si="110"/>
        <v>756.16708400000016</v>
      </c>
      <c r="K90" s="558">
        <f>K67*(1+Dashboard!$P$11)</f>
        <v>0</v>
      </c>
      <c r="L90" s="559">
        <f t="shared" si="111"/>
        <v>898.22159399999998</v>
      </c>
      <c r="M90" s="559">
        <f>M67*(1+Dashboard!$P$11)</f>
        <v>804.247072</v>
      </c>
      <c r="N90" s="548">
        <f t="shared" si="112"/>
        <v>173717.36755200001</v>
      </c>
      <c r="P90" s="545" t="str">
        <f t="shared" si="137"/>
        <v xml:space="preserve">2x1.5-2x2 </v>
      </c>
      <c r="Q90" s="550" t="str">
        <f t="shared" si="114"/>
        <v>S8 Voucher</v>
      </c>
      <c r="R90" s="545">
        <f t="shared" si="115"/>
        <v>18</v>
      </c>
      <c r="S90" s="546">
        <f t="shared" si="116"/>
        <v>0</v>
      </c>
      <c r="T90" s="547">
        <f t="shared" si="117"/>
        <v>93.974521999999993</v>
      </c>
      <c r="U90" s="548">
        <f t="shared" si="127"/>
        <v>173717.36755200001</v>
      </c>
      <c r="W90" s="545" t="str">
        <f t="shared" si="118"/>
        <v xml:space="preserve">2x1.5-2x2 </v>
      </c>
      <c r="X90" s="550" t="str">
        <f t="shared" si="119"/>
        <v>S8 Voucher</v>
      </c>
      <c r="Y90" s="545">
        <f t="shared" si="120"/>
        <v>18</v>
      </c>
      <c r="Z90" s="546">
        <f t="shared" si="121"/>
        <v>0</v>
      </c>
      <c r="AA90" s="547">
        <f t="shared" si="122"/>
        <v>93.974521999999993</v>
      </c>
      <c r="AB90" s="549">
        <f t="shared" si="135"/>
        <v>180562.20948000002</v>
      </c>
      <c r="AD90" s="545" t="str">
        <f t="shared" si="129"/>
        <v xml:space="preserve">2x1.5-2x2 </v>
      </c>
      <c r="AE90" s="550" t="str">
        <f t="shared" si="123"/>
        <v>S8 Voucher</v>
      </c>
      <c r="AF90" s="545">
        <f t="shared" si="124"/>
        <v>18</v>
      </c>
      <c r="AG90" s="546">
        <f t="shared" si="125"/>
        <v>0</v>
      </c>
      <c r="AH90" s="547">
        <f t="shared" si="126"/>
        <v>93.974521999999993</v>
      </c>
      <c r="AI90" s="548">
        <f t="shared" si="130"/>
        <v>180562.20948000002</v>
      </c>
    </row>
    <row r="91" spans="2:35" s="120" customFormat="1" ht="15.75" customHeight="1" x14ac:dyDescent="0.2">
      <c r="B91" s="551" t="str">
        <f t="shared" ref="B91:C91" si="145">B68</f>
        <v>3x2 (TH)</v>
      </c>
      <c r="C91" s="552" t="str">
        <f t="shared" si="145"/>
        <v>50% AMI</v>
      </c>
      <c r="D91" s="551">
        <f t="shared" si="133"/>
        <v>2</v>
      </c>
      <c r="E91" s="553">
        <f t="shared" si="134"/>
        <v>1296</v>
      </c>
      <c r="F91" s="554">
        <f>F68*(1+Dashboard!$P$12)</f>
        <v>116.92178900000002</v>
      </c>
      <c r="G91" s="555">
        <f>G68*(1+Dashboard!$P$11)</f>
        <v>868.71796500000005</v>
      </c>
      <c r="H91" s="549">
        <f t="shared" si="109"/>
        <v>751.79617600000006</v>
      </c>
      <c r="I91" s="556">
        <f>I68*(1+Dashboard!$P$11)</f>
        <v>1117.859721</v>
      </c>
      <c r="J91" s="557">
        <f t="shared" si="110"/>
        <v>1000.937932</v>
      </c>
      <c r="K91" s="558">
        <f>K68*(1+Dashboard!$P$11)</f>
        <v>0</v>
      </c>
      <c r="L91" s="559">
        <f t="shared" si="111"/>
        <v>859.97614900000008</v>
      </c>
      <c r="M91" s="559">
        <f>M68*(1+Dashboard!$P$11)</f>
        <v>743.05436000000009</v>
      </c>
      <c r="N91" s="548">
        <f t="shared" si="112"/>
        <v>17833.304640000002</v>
      </c>
      <c r="P91" s="545" t="str">
        <f t="shared" si="137"/>
        <v>3x2 (TH)</v>
      </c>
      <c r="Q91" s="550" t="str">
        <f t="shared" si="114"/>
        <v>50% AMI</v>
      </c>
      <c r="R91" s="545">
        <f t="shared" si="115"/>
        <v>2</v>
      </c>
      <c r="S91" s="546">
        <f t="shared" si="116"/>
        <v>1296</v>
      </c>
      <c r="T91" s="547">
        <f t="shared" si="117"/>
        <v>116.92178900000002</v>
      </c>
      <c r="U91" s="548">
        <f t="shared" si="127"/>
        <v>17833.304640000002</v>
      </c>
      <c r="W91" s="545" t="str">
        <f t="shared" si="118"/>
        <v>3x2 (TH)</v>
      </c>
      <c r="X91" s="550" t="str">
        <f t="shared" si="119"/>
        <v>50% AMI</v>
      </c>
      <c r="Y91" s="545">
        <f t="shared" si="120"/>
        <v>2</v>
      </c>
      <c r="Z91" s="546">
        <f t="shared" si="121"/>
        <v>1296</v>
      </c>
      <c r="AA91" s="547">
        <f t="shared" si="122"/>
        <v>116.92178900000002</v>
      </c>
      <c r="AB91" s="549">
        <f t="shared" si="135"/>
        <v>18043.108224000003</v>
      </c>
      <c r="AD91" s="545" t="str">
        <f t="shared" si="129"/>
        <v>3x2 (TH)</v>
      </c>
      <c r="AE91" s="550" t="str">
        <f t="shared" si="123"/>
        <v>50% AMI</v>
      </c>
      <c r="AF91" s="545">
        <f t="shared" si="124"/>
        <v>2</v>
      </c>
      <c r="AG91" s="546">
        <f t="shared" si="125"/>
        <v>1296</v>
      </c>
      <c r="AH91" s="547">
        <f t="shared" si="126"/>
        <v>116.92178900000002</v>
      </c>
      <c r="AI91" s="548">
        <f t="shared" si="130"/>
        <v>18043.108224000003</v>
      </c>
    </row>
    <row r="92" spans="2:35" s="120" customFormat="1" ht="15.75" customHeight="1" x14ac:dyDescent="0.2">
      <c r="B92" s="551" t="str">
        <f t="shared" ref="B92:C92" si="146">B69</f>
        <v>3x2 (TH)</v>
      </c>
      <c r="C92" s="552" t="str">
        <f t="shared" si="146"/>
        <v>60% AMI</v>
      </c>
      <c r="D92" s="551">
        <f t="shared" si="133"/>
        <v>7</v>
      </c>
      <c r="E92" s="553">
        <f t="shared" si="134"/>
        <v>1296</v>
      </c>
      <c r="F92" s="554">
        <f>F69*(1+Dashboard!$P$12)</f>
        <v>116.92178900000002</v>
      </c>
      <c r="G92" s="555">
        <f>G69*(1+Dashboard!$P$11)</f>
        <v>1066.5015519999999</v>
      </c>
      <c r="H92" s="549">
        <f t="shared" si="109"/>
        <v>949.57976299999996</v>
      </c>
      <c r="I92" s="556">
        <f>I69*(1+Dashboard!$P$11)</f>
        <v>1117.859721</v>
      </c>
      <c r="J92" s="557">
        <f t="shared" si="110"/>
        <v>1000.937932</v>
      </c>
      <c r="K92" s="558">
        <f>K69*(1+Dashboard!$P$11)</f>
        <v>0</v>
      </c>
      <c r="L92" s="559">
        <f t="shared" si="111"/>
        <v>877.45978100000002</v>
      </c>
      <c r="M92" s="559">
        <f>M69*(1+Dashboard!$P$11)</f>
        <v>760.53799200000003</v>
      </c>
      <c r="N92" s="548">
        <f t="shared" si="112"/>
        <v>63885.191328000008</v>
      </c>
      <c r="P92" s="545" t="str">
        <f t="shared" si="137"/>
        <v>3x2 (TH)</v>
      </c>
      <c r="Q92" s="550" t="str">
        <f t="shared" si="114"/>
        <v>60% AMI</v>
      </c>
      <c r="R92" s="545">
        <f t="shared" si="115"/>
        <v>7</v>
      </c>
      <c r="S92" s="546">
        <f t="shared" si="116"/>
        <v>1296</v>
      </c>
      <c r="T92" s="547">
        <f t="shared" si="117"/>
        <v>116.92178900000002</v>
      </c>
      <c r="U92" s="548">
        <f t="shared" si="127"/>
        <v>63885.191328000008</v>
      </c>
      <c r="W92" s="545" t="str">
        <f t="shared" si="118"/>
        <v>3x2 (TH)</v>
      </c>
      <c r="X92" s="550" t="str">
        <f t="shared" si="119"/>
        <v>60% AMI</v>
      </c>
      <c r="Y92" s="545">
        <f t="shared" si="120"/>
        <v>7</v>
      </c>
      <c r="Z92" s="546">
        <f t="shared" si="121"/>
        <v>1296</v>
      </c>
      <c r="AA92" s="547">
        <f t="shared" si="122"/>
        <v>116.92178900000002</v>
      </c>
      <c r="AB92" s="549">
        <f t="shared" si="135"/>
        <v>79764.700091999999</v>
      </c>
      <c r="AD92" s="545" t="str">
        <f t="shared" si="129"/>
        <v>3x2 (TH)</v>
      </c>
      <c r="AE92" s="550" t="str">
        <f t="shared" si="123"/>
        <v>60% AMI</v>
      </c>
      <c r="AF92" s="545">
        <f t="shared" si="124"/>
        <v>7</v>
      </c>
      <c r="AG92" s="546">
        <f t="shared" si="125"/>
        <v>1296</v>
      </c>
      <c r="AH92" s="547">
        <f t="shared" si="126"/>
        <v>116.92178900000002</v>
      </c>
      <c r="AI92" s="548">
        <f t="shared" si="130"/>
        <v>79764.700091999999</v>
      </c>
    </row>
    <row r="93" spans="2:35" s="120" customFormat="1" ht="15.75" customHeight="1" x14ac:dyDescent="0.2">
      <c r="B93" s="551" t="str">
        <f t="shared" ref="B93:C93" si="147">B70</f>
        <v>3x2 (TH)</v>
      </c>
      <c r="C93" s="552" t="str">
        <f t="shared" si="147"/>
        <v>Market</v>
      </c>
      <c r="D93" s="551">
        <f t="shared" si="133"/>
        <v>0</v>
      </c>
      <c r="E93" s="553">
        <f t="shared" si="134"/>
        <v>1296</v>
      </c>
      <c r="F93" s="554">
        <f>F70*(1+Dashboard!$P$12)</f>
        <v>0</v>
      </c>
      <c r="G93" s="555">
        <f>G70*(1+Dashboard!$P$11)</f>
        <v>0</v>
      </c>
      <c r="H93" s="549">
        <f t="shared" si="109"/>
        <v>0</v>
      </c>
      <c r="I93" s="556">
        <f>I70*(1+Dashboard!$P$11)</f>
        <v>1117.859721</v>
      </c>
      <c r="J93" s="557">
        <f t="shared" si="110"/>
        <v>1117.859721</v>
      </c>
      <c r="K93" s="558">
        <f>K70*(1+Dashboard!$P$11)</f>
        <v>0</v>
      </c>
      <c r="L93" s="559">
        <f t="shared" si="111"/>
        <v>0</v>
      </c>
      <c r="M93" s="559">
        <f>M70*(1+Dashboard!$P$11)</f>
        <v>0</v>
      </c>
      <c r="N93" s="548">
        <f t="shared" si="112"/>
        <v>0</v>
      </c>
      <c r="P93" s="545" t="str">
        <f t="shared" si="137"/>
        <v>3x2 (TH)</v>
      </c>
      <c r="Q93" s="550" t="str">
        <f t="shared" si="114"/>
        <v>Market</v>
      </c>
      <c r="R93" s="545">
        <f t="shared" si="115"/>
        <v>0</v>
      </c>
      <c r="S93" s="546">
        <f t="shared" si="116"/>
        <v>1296</v>
      </c>
      <c r="T93" s="547">
        <f t="shared" si="117"/>
        <v>0</v>
      </c>
      <c r="U93" s="548">
        <f t="shared" si="127"/>
        <v>0</v>
      </c>
      <c r="W93" s="545" t="str">
        <f t="shared" si="118"/>
        <v>3x2 (TH)</v>
      </c>
      <c r="X93" s="550" t="str">
        <f t="shared" si="119"/>
        <v>Market</v>
      </c>
      <c r="Y93" s="545">
        <f t="shared" si="120"/>
        <v>0</v>
      </c>
      <c r="Z93" s="546">
        <f t="shared" si="121"/>
        <v>1296</v>
      </c>
      <c r="AA93" s="547">
        <f t="shared" si="122"/>
        <v>0</v>
      </c>
      <c r="AB93" s="549">
        <f t="shared" si="135"/>
        <v>0</v>
      </c>
      <c r="AD93" s="545" t="str">
        <f t="shared" si="129"/>
        <v>3x2 (TH)</v>
      </c>
      <c r="AE93" s="550" t="str">
        <f t="shared" si="123"/>
        <v>Market</v>
      </c>
      <c r="AF93" s="545">
        <f t="shared" si="124"/>
        <v>0</v>
      </c>
      <c r="AG93" s="546">
        <f t="shared" si="125"/>
        <v>1296</v>
      </c>
      <c r="AH93" s="547">
        <f t="shared" si="126"/>
        <v>0</v>
      </c>
      <c r="AI93" s="548">
        <f t="shared" si="130"/>
        <v>0</v>
      </c>
    </row>
    <row r="94" spans="2:35" s="120" customFormat="1" ht="15.75" customHeight="1" x14ac:dyDescent="0.2">
      <c r="B94" s="551" t="str">
        <f t="shared" ref="B94:C94" si="148">B71</f>
        <v>3x2 (TH)</v>
      </c>
      <c r="C94" s="552" t="str">
        <f t="shared" si="148"/>
        <v>S8 Voucher</v>
      </c>
      <c r="D94" s="551">
        <f t="shared" si="133"/>
        <v>11</v>
      </c>
      <c r="E94" s="553">
        <f t="shared" si="134"/>
        <v>1296</v>
      </c>
      <c r="F94" s="554">
        <f>F71*(1+Dashboard!$P$12)</f>
        <v>116.92178900000002</v>
      </c>
      <c r="G94" s="555">
        <f>G71*(1+Dashboard!$P$11)</f>
        <v>1066.5015519999999</v>
      </c>
      <c r="H94" s="549">
        <f t="shared" si="109"/>
        <v>949.57976299999996</v>
      </c>
      <c r="I94" s="556">
        <f>I71*(1+Dashboard!$P$11)</f>
        <v>1117.859721</v>
      </c>
      <c r="J94" s="557">
        <f t="shared" si="110"/>
        <v>1000.937932</v>
      </c>
      <c r="K94" s="558">
        <f>K71*(1+Dashboard!$P$11)</f>
        <v>0</v>
      </c>
      <c r="L94" s="559">
        <f t="shared" si="111"/>
        <v>1021.699745</v>
      </c>
      <c r="M94" s="559">
        <f>M71*(1+Dashboard!$P$11)</f>
        <v>904.77795600000002</v>
      </c>
      <c r="N94" s="548">
        <f t="shared" si="112"/>
        <v>119430.69019200001</v>
      </c>
      <c r="P94" s="545" t="str">
        <f t="shared" si="137"/>
        <v>3x2 (TH)</v>
      </c>
      <c r="Q94" s="550" t="str">
        <f t="shared" si="114"/>
        <v>S8 Voucher</v>
      </c>
      <c r="R94" s="545">
        <f t="shared" si="115"/>
        <v>11</v>
      </c>
      <c r="S94" s="546">
        <f t="shared" si="116"/>
        <v>1296</v>
      </c>
      <c r="T94" s="547">
        <f t="shared" si="117"/>
        <v>116.92178900000002</v>
      </c>
      <c r="U94" s="548">
        <f t="shared" si="127"/>
        <v>119430.69019200001</v>
      </c>
      <c r="W94" s="545" t="str">
        <f t="shared" si="118"/>
        <v>3x2 (TH)</v>
      </c>
      <c r="X94" s="550" t="str">
        <f t="shared" si="119"/>
        <v>S8 Voucher</v>
      </c>
      <c r="Y94" s="545">
        <f t="shared" si="120"/>
        <v>11</v>
      </c>
      <c r="Z94" s="546">
        <f t="shared" si="121"/>
        <v>1296</v>
      </c>
      <c r="AA94" s="547">
        <f t="shared" si="122"/>
        <v>116.92178900000002</v>
      </c>
      <c r="AB94" s="549">
        <f t="shared" si="135"/>
        <v>125344.52871599999</v>
      </c>
      <c r="AD94" s="545" t="str">
        <f t="shared" si="129"/>
        <v>3x2 (TH)</v>
      </c>
      <c r="AE94" s="550" t="str">
        <f t="shared" si="123"/>
        <v>S8 Voucher</v>
      </c>
      <c r="AF94" s="545">
        <f t="shared" si="124"/>
        <v>11</v>
      </c>
      <c r="AG94" s="546">
        <f t="shared" si="125"/>
        <v>1296</v>
      </c>
      <c r="AH94" s="547">
        <f t="shared" si="126"/>
        <v>116.92178900000002</v>
      </c>
      <c r="AI94" s="548">
        <f t="shared" si="130"/>
        <v>125344.52871599999</v>
      </c>
    </row>
    <row r="95" spans="2:35" s="120" customFormat="1" ht="15.75" customHeight="1" x14ac:dyDescent="0.2">
      <c r="B95" s="198" t="s">
        <v>295</v>
      </c>
      <c r="C95" s="122"/>
      <c r="D95" s="166">
        <f>SUM(D76:D94)</f>
        <v>72</v>
      </c>
      <c r="E95" s="166">
        <f t="shared" ref="E95:K95" si="149">+SUMPRODUCT(E76:E94,$D76:$D94)</f>
        <v>59002</v>
      </c>
      <c r="F95" s="165">
        <f t="shared" si="149"/>
        <v>6922.4255449999991</v>
      </c>
      <c r="G95" s="165">
        <f t="shared" si="149"/>
        <v>65229.245538000003</v>
      </c>
      <c r="H95" s="165">
        <f t="shared" si="149"/>
        <v>58306.819993000012</v>
      </c>
      <c r="I95" s="165">
        <f t="shared" si="149"/>
        <v>65941.703542000003</v>
      </c>
      <c r="J95" s="165">
        <f t="shared" si="149"/>
        <v>59019.277997000012</v>
      </c>
      <c r="K95" s="165">
        <f t="shared" si="149"/>
        <v>0</v>
      </c>
      <c r="L95" s="165">
        <f t="shared" ref="L95" si="150">+SUMPRODUCT(L76:L94,$D76:$D94)</f>
        <v>60982.908416000006</v>
      </c>
      <c r="M95" s="165">
        <f t="shared" ref="M95" si="151">+SUMPRODUCT(M76:M94,$D76:$D94)</f>
        <v>54060.482871</v>
      </c>
      <c r="N95" s="165">
        <f>SUM(N76:N94)</f>
        <v>648725.79445200006</v>
      </c>
      <c r="P95" s="198" t="s">
        <v>295</v>
      </c>
      <c r="Q95" s="122"/>
      <c r="R95" s="560">
        <f>SUM(R76:R94)</f>
        <v>72</v>
      </c>
      <c r="S95" s="560">
        <f>+SUMPRODUCT(S76:S94,$R76:$R94)</f>
        <v>59002</v>
      </c>
      <c r="T95" s="165">
        <f>+SUMPRODUCT(T76:T94,$R76:$R94)</f>
        <v>6922.4255449999991</v>
      </c>
      <c r="U95" s="165">
        <f>SUM(U76:U94)</f>
        <v>648725.79445200006</v>
      </c>
      <c r="W95" s="198" t="s">
        <v>295</v>
      </c>
      <c r="X95" s="122"/>
      <c r="Y95" s="560">
        <f>SUM(Y76:Y94)</f>
        <v>72</v>
      </c>
      <c r="Z95" s="560">
        <f>+SUMPRODUCT(Z76:Z94,$Y76:$Y94)</f>
        <v>59002</v>
      </c>
      <c r="AA95" s="165">
        <f>+SUMPRODUCT(AA76:AA94,$Y76:$Y94)</f>
        <v>6922.4255449999991</v>
      </c>
      <c r="AB95" s="165">
        <f>SUM(AB76:AB94)</f>
        <v>699681.83991600003</v>
      </c>
      <c r="AC95" s="122"/>
      <c r="AD95" s="198" t="s">
        <v>295</v>
      </c>
      <c r="AE95" s="122"/>
      <c r="AF95" s="560">
        <f>SUM(AF76:AF94)</f>
        <v>72</v>
      </c>
      <c r="AG95" s="560">
        <f>+SUMPRODUCT(AG76:AG94,$AF76:$AF94)</f>
        <v>59002</v>
      </c>
      <c r="AH95" s="165">
        <f>+SUMPRODUCT(AH76:AH94,$AF76:$AF94)</f>
        <v>6922.4255449999991</v>
      </c>
      <c r="AI95" s="165">
        <f>SUM(AI76:AI94)</f>
        <v>717462.69366000011</v>
      </c>
    </row>
    <row r="97" spans="2:35" s="167" customFormat="1" ht="15.75" customHeight="1" x14ac:dyDescent="0.25">
      <c r="B97" s="170" t="s">
        <v>176</v>
      </c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P97" s="170" t="str">
        <f>+$B97</f>
        <v>Year 5</v>
      </c>
      <c r="Q97" s="170"/>
      <c r="R97" s="170"/>
      <c r="S97" s="170"/>
      <c r="T97" s="170"/>
      <c r="U97" s="170"/>
      <c r="W97" s="170" t="str">
        <f>+$B97</f>
        <v>Year 5</v>
      </c>
      <c r="X97" s="170"/>
      <c r="Y97" s="170"/>
      <c r="Z97" s="170"/>
      <c r="AA97" s="170"/>
      <c r="AB97" s="170"/>
      <c r="AD97" s="170" t="str">
        <f>+$B97</f>
        <v>Year 5</v>
      </c>
      <c r="AE97" s="170"/>
      <c r="AF97" s="170"/>
      <c r="AG97" s="170"/>
      <c r="AH97" s="170"/>
      <c r="AI97" s="170"/>
    </row>
    <row r="98" spans="2:35" s="164" customFormat="1" ht="38.25" x14ac:dyDescent="0.2">
      <c r="B98" s="543" t="s">
        <v>61</v>
      </c>
      <c r="C98" s="543" t="s">
        <v>215</v>
      </c>
      <c r="D98" s="543" t="s">
        <v>64</v>
      </c>
      <c r="E98" s="543" t="s">
        <v>231</v>
      </c>
      <c r="F98" s="543" t="s">
        <v>237</v>
      </c>
      <c r="G98" s="544" t="s">
        <v>232</v>
      </c>
      <c r="H98" s="543" t="s">
        <v>240</v>
      </c>
      <c r="I98" s="543" t="s">
        <v>233</v>
      </c>
      <c r="J98" s="543" t="s">
        <v>63</v>
      </c>
      <c r="K98" s="543" t="str">
        <f>+K75</f>
        <v>CoStar Rent</v>
      </c>
      <c r="L98" s="543" t="s">
        <v>62</v>
      </c>
      <c r="M98" s="543" t="s">
        <v>238</v>
      </c>
      <c r="N98" s="543" t="s">
        <v>241</v>
      </c>
      <c r="P98" s="543" t="s">
        <v>61</v>
      </c>
      <c r="Q98" s="543" t="s">
        <v>215</v>
      </c>
      <c r="R98" s="543" t="s">
        <v>64</v>
      </c>
      <c r="S98" s="543" t="s">
        <v>231</v>
      </c>
      <c r="T98" s="543" t="s">
        <v>237</v>
      </c>
      <c r="U98" s="543" t="s">
        <v>151</v>
      </c>
      <c r="W98" s="543" t="s">
        <v>61</v>
      </c>
      <c r="X98" s="543" t="s">
        <v>215</v>
      </c>
      <c r="Y98" s="543" t="s">
        <v>64</v>
      </c>
      <c r="Z98" s="543" t="s">
        <v>231</v>
      </c>
      <c r="AA98" s="543" t="s">
        <v>237</v>
      </c>
      <c r="AB98" s="543" t="s">
        <v>152</v>
      </c>
      <c r="AD98" s="543" t="s">
        <v>61</v>
      </c>
      <c r="AE98" s="543" t="s">
        <v>215</v>
      </c>
      <c r="AF98" s="543" t="s">
        <v>64</v>
      </c>
      <c r="AG98" s="543" t="s">
        <v>231</v>
      </c>
      <c r="AH98" s="543" t="s">
        <v>237</v>
      </c>
      <c r="AI98" s="543" t="s">
        <v>424</v>
      </c>
    </row>
    <row r="99" spans="2:35" s="120" customFormat="1" ht="15.75" customHeight="1" x14ac:dyDescent="0.2">
      <c r="B99" s="551" t="str">
        <f t="shared" ref="B99:C104" si="152">B76</f>
        <v>1x1</v>
      </c>
      <c r="C99" s="552" t="str">
        <f t="shared" si="152"/>
        <v>50% AMI</v>
      </c>
      <c r="D99" s="551">
        <f t="shared" ref="D99:D104" si="153">$D76</f>
        <v>2</v>
      </c>
      <c r="E99" s="553">
        <f t="shared" ref="E99:E104" si="154">E76</f>
        <v>701</v>
      </c>
      <c r="F99" s="554">
        <f>F76*(1+Dashboard!$P$12)</f>
        <v>73.158072649999994</v>
      </c>
      <c r="G99" s="555">
        <f>G76*(1+Dashboard!$P$11)</f>
        <v>732.70623531000001</v>
      </c>
      <c r="H99" s="549">
        <f t="shared" ref="H99:H117" si="155">+G99-F99</f>
        <v>659.54816266</v>
      </c>
      <c r="I99" s="556">
        <f>I76*(1+Dashboard!$P$11)</f>
        <v>768.72251722999999</v>
      </c>
      <c r="J99" s="557">
        <f t="shared" ref="J99:J117" si="156">I99-F99</f>
        <v>695.56444457999999</v>
      </c>
      <c r="K99" s="558">
        <f>K76*(1+Dashboard!$P$11)</f>
        <v>0</v>
      </c>
      <c r="L99" s="559">
        <f t="shared" ref="L99:L117" si="157">M99+F99</f>
        <v>666.30121552000014</v>
      </c>
      <c r="M99" s="559">
        <f>M76*(1+Dashboard!$P$11)</f>
        <v>593.14314287000013</v>
      </c>
      <c r="N99" s="548">
        <f t="shared" ref="N99:N117" si="158">((M99*D99)*12)</f>
        <v>14235.435428880002</v>
      </c>
      <c r="P99" s="545" t="str">
        <f t="shared" ref="P99:P104" si="159">B99</f>
        <v>1x1</v>
      </c>
      <c r="Q99" s="545" t="str">
        <f t="shared" ref="Q99:Q117" si="160">C99</f>
        <v>50% AMI</v>
      </c>
      <c r="R99" s="545">
        <f t="shared" ref="R99:R117" si="161">D99</f>
        <v>2</v>
      </c>
      <c r="S99" s="546">
        <f t="shared" ref="S99:S117" si="162">E99</f>
        <v>701</v>
      </c>
      <c r="T99" s="547">
        <f t="shared" ref="T99:T117" si="163">F99</f>
        <v>73.158072649999994</v>
      </c>
      <c r="U99" s="548">
        <f>((M99*R99)*12)</f>
        <v>14235.435428880002</v>
      </c>
      <c r="W99" s="545" t="str">
        <f t="shared" ref="W99:W117" si="164">B99</f>
        <v>1x1</v>
      </c>
      <c r="X99" s="545" t="str">
        <f t="shared" ref="X99:X117" si="165">C99</f>
        <v>50% AMI</v>
      </c>
      <c r="Y99" s="545">
        <f t="shared" ref="Y99:Y117" si="166">D99</f>
        <v>2</v>
      </c>
      <c r="Z99" s="546">
        <f t="shared" ref="Z99:Z117" si="167">E99</f>
        <v>701</v>
      </c>
      <c r="AA99" s="547">
        <f t="shared" ref="AA99:AA117" si="168">F99</f>
        <v>73.158072649999994</v>
      </c>
      <c r="AB99" s="549">
        <f>((H99*Y99)*12)</f>
        <v>15829.155903840001</v>
      </c>
      <c r="AD99" s="545" t="str">
        <f>B99</f>
        <v>1x1</v>
      </c>
      <c r="AE99" s="545" t="str">
        <f t="shared" ref="AE99:AE117" si="169">C99</f>
        <v>50% AMI</v>
      </c>
      <c r="AF99" s="545">
        <f t="shared" ref="AF99:AF117" si="170">D99</f>
        <v>2</v>
      </c>
      <c r="AG99" s="546">
        <f t="shared" ref="AG99:AG117" si="171">E99</f>
        <v>701</v>
      </c>
      <c r="AH99" s="547">
        <f t="shared" ref="AH99:AH117" si="172">F99</f>
        <v>73.158072649999994</v>
      </c>
      <c r="AI99" s="548">
        <f>+MAX(U99,AB99)</f>
        <v>15829.155903840001</v>
      </c>
    </row>
    <row r="100" spans="2:35" s="120" customFormat="1" ht="15.75" customHeight="1" x14ac:dyDescent="0.2">
      <c r="B100" s="551" t="str">
        <f t="shared" si="152"/>
        <v>1x1</v>
      </c>
      <c r="C100" s="552" t="str">
        <f t="shared" si="152"/>
        <v>60% AMI</v>
      </c>
      <c r="D100" s="551">
        <f t="shared" si="153"/>
        <v>0</v>
      </c>
      <c r="E100" s="553">
        <f t="shared" si="154"/>
        <v>701</v>
      </c>
      <c r="F100" s="554">
        <f>F77*(1+Dashboard!$P$12)</f>
        <v>73.158072649999994</v>
      </c>
      <c r="G100" s="555">
        <f>G77*(1+Dashboard!$P$11)</f>
        <v>879.02238061000014</v>
      </c>
      <c r="H100" s="549">
        <f t="shared" si="155"/>
        <v>805.86430796000013</v>
      </c>
      <c r="I100" s="556">
        <f>I77*(1+Dashboard!$P$11)</f>
        <v>768.72251722999999</v>
      </c>
      <c r="J100" s="557">
        <f t="shared" si="156"/>
        <v>695.56444457999999</v>
      </c>
      <c r="K100" s="558">
        <f>K77*(1+Dashboard!$P$11)</f>
        <v>0</v>
      </c>
      <c r="L100" s="559">
        <f t="shared" si="157"/>
        <v>73.158072649999994</v>
      </c>
      <c r="M100" s="559">
        <f>M77*(1+Dashboard!$P$11)</f>
        <v>0</v>
      </c>
      <c r="N100" s="548">
        <f t="shared" si="158"/>
        <v>0</v>
      </c>
      <c r="P100" s="545" t="str">
        <f t="shared" si="159"/>
        <v>1x1</v>
      </c>
      <c r="Q100" s="550" t="str">
        <f t="shared" si="160"/>
        <v>60% AMI</v>
      </c>
      <c r="R100" s="545">
        <f t="shared" si="161"/>
        <v>0</v>
      </c>
      <c r="S100" s="546">
        <f t="shared" si="162"/>
        <v>701</v>
      </c>
      <c r="T100" s="547">
        <f t="shared" si="163"/>
        <v>73.158072649999994</v>
      </c>
      <c r="U100" s="548">
        <f t="shared" ref="U100:U117" si="173">((M100*R100)*12)</f>
        <v>0</v>
      </c>
      <c r="W100" s="545" t="str">
        <f t="shared" si="164"/>
        <v>1x1</v>
      </c>
      <c r="X100" s="550" t="str">
        <f t="shared" si="165"/>
        <v>60% AMI</v>
      </c>
      <c r="Y100" s="545">
        <f t="shared" si="166"/>
        <v>0</v>
      </c>
      <c r="Z100" s="546">
        <f t="shared" si="167"/>
        <v>701</v>
      </c>
      <c r="AA100" s="547">
        <f t="shared" si="168"/>
        <v>73.158072649999994</v>
      </c>
      <c r="AB100" s="549">
        <f t="shared" ref="AB100" si="174">((H100*Y100)*12)</f>
        <v>0</v>
      </c>
      <c r="AD100" s="545" t="str">
        <f t="shared" ref="AD100:AD117" si="175">B100</f>
        <v>1x1</v>
      </c>
      <c r="AE100" s="550" t="str">
        <f t="shared" si="169"/>
        <v>60% AMI</v>
      </c>
      <c r="AF100" s="545">
        <f t="shared" si="170"/>
        <v>0</v>
      </c>
      <c r="AG100" s="546">
        <f t="shared" si="171"/>
        <v>701</v>
      </c>
      <c r="AH100" s="547">
        <f t="shared" si="172"/>
        <v>73.158072649999994</v>
      </c>
      <c r="AI100" s="548">
        <f t="shared" ref="AI100:AI117" si="176">+MAX(U100,AB100)</f>
        <v>0</v>
      </c>
    </row>
    <row r="101" spans="2:35" s="120" customFormat="1" ht="15.75" customHeight="1" x14ac:dyDescent="0.2">
      <c r="B101" s="551" t="str">
        <f t="shared" si="152"/>
        <v>1x1</v>
      </c>
      <c r="C101" s="552" t="str">
        <f t="shared" si="152"/>
        <v>Market</v>
      </c>
      <c r="D101" s="551">
        <f t="shared" si="153"/>
        <v>1</v>
      </c>
      <c r="E101" s="553">
        <f t="shared" si="154"/>
        <v>701</v>
      </c>
      <c r="F101" s="554">
        <f>F78*(1+Dashboard!$P$12)</f>
        <v>0</v>
      </c>
      <c r="G101" s="555">
        <f>G78*(1+Dashboard!$P$11)</f>
        <v>0</v>
      </c>
      <c r="H101" s="549">
        <f t="shared" si="155"/>
        <v>0</v>
      </c>
      <c r="I101" s="556">
        <f>I78*(1+Dashboard!$P$11)</f>
        <v>768.72251722999999</v>
      </c>
      <c r="J101" s="557">
        <f t="shared" si="156"/>
        <v>768.72251722999999</v>
      </c>
      <c r="K101" s="558">
        <f>K78*(1+Dashboard!$P$11)</f>
        <v>0</v>
      </c>
      <c r="L101" s="559">
        <f t="shared" si="157"/>
        <v>667.42672433000007</v>
      </c>
      <c r="M101" s="559">
        <f>M78*(1+Dashboard!$P$11)</f>
        <v>667.42672433000007</v>
      </c>
      <c r="N101" s="548">
        <f t="shared" si="158"/>
        <v>8009.1206919600008</v>
      </c>
      <c r="P101" s="545" t="str">
        <f t="shared" si="159"/>
        <v>1x1</v>
      </c>
      <c r="Q101" s="550" t="str">
        <f t="shared" si="160"/>
        <v>Market</v>
      </c>
      <c r="R101" s="545">
        <f t="shared" si="161"/>
        <v>1</v>
      </c>
      <c r="S101" s="546">
        <f t="shared" si="162"/>
        <v>701</v>
      </c>
      <c r="T101" s="547">
        <f t="shared" si="163"/>
        <v>0</v>
      </c>
      <c r="U101" s="548">
        <f t="shared" si="173"/>
        <v>8009.1206919600008</v>
      </c>
      <c r="W101" s="545" t="str">
        <f t="shared" si="164"/>
        <v>1x1</v>
      </c>
      <c r="X101" s="550" t="str">
        <f t="shared" si="165"/>
        <v>Market</v>
      </c>
      <c r="Y101" s="545">
        <f t="shared" si="166"/>
        <v>1</v>
      </c>
      <c r="Z101" s="546">
        <f t="shared" si="167"/>
        <v>701</v>
      </c>
      <c r="AA101" s="547">
        <f t="shared" si="168"/>
        <v>0</v>
      </c>
      <c r="AB101" s="549">
        <f>((H101*Y101)*12)</f>
        <v>0</v>
      </c>
      <c r="AD101" s="545" t="str">
        <f t="shared" si="175"/>
        <v>1x1</v>
      </c>
      <c r="AE101" s="550" t="str">
        <f t="shared" si="169"/>
        <v>Market</v>
      </c>
      <c r="AF101" s="545">
        <f t="shared" si="170"/>
        <v>1</v>
      </c>
      <c r="AG101" s="546">
        <f t="shared" si="171"/>
        <v>701</v>
      </c>
      <c r="AH101" s="547">
        <f t="shared" si="172"/>
        <v>0</v>
      </c>
      <c r="AI101" s="548">
        <f t="shared" si="176"/>
        <v>8009.1206919600008</v>
      </c>
    </row>
    <row r="102" spans="2:35" s="120" customFormat="1" ht="15.75" customHeight="1" x14ac:dyDescent="0.2">
      <c r="B102" s="551" t="str">
        <f t="shared" si="152"/>
        <v>1x1</v>
      </c>
      <c r="C102" s="552" t="str">
        <f t="shared" si="152"/>
        <v>S8 Voucher</v>
      </c>
      <c r="D102" s="551">
        <f t="shared" si="153"/>
        <v>3</v>
      </c>
      <c r="E102" s="553">
        <f t="shared" si="154"/>
        <v>701</v>
      </c>
      <c r="F102" s="554">
        <f>F79*(1+Dashboard!$P$12)</f>
        <v>73.158072649999994</v>
      </c>
      <c r="G102" s="555">
        <f>G79*(1+Dashboard!$P$11)</f>
        <v>879.02238061000014</v>
      </c>
      <c r="H102" s="549">
        <f t="shared" si="155"/>
        <v>805.86430796000013</v>
      </c>
      <c r="I102" s="556">
        <f>I79*(1+Dashboard!$P$11)</f>
        <v>768.72251722999999</v>
      </c>
      <c r="J102" s="557">
        <f t="shared" si="156"/>
        <v>695.56444457999999</v>
      </c>
      <c r="K102" s="558">
        <f>K79*(1+Dashboard!$P$11)</f>
        <v>0</v>
      </c>
      <c r="L102" s="559">
        <f t="shared" si="157"/>
        <v>661.79918028000009</v>
      </c>
      <c r="M102" s="559">
        <f>M79*(1+Dashboard!$P$11)</f>
        <v>588.64110763000008</v>
      </c>
      <c r="N102" s="548">
        <f t="shared" si="158"/>
        <v>21191.079874680003</v>
      </c>
      <c r="P102" s="545" t="str">
        <f t="shared" si="159"/>
        <v>1x1</v>
      </c>
      <c r="Q102" s="550" t="str">
        <f t="shared" si="160"/>
        <v>S8 Voucher</v>
      </c>
      <c r="R102" s="545">
        <f t="shared" si="161"/>
        <v>3</v>
      </c>
      <c r="S102" s="546">
        <f t="shared" si="162"/>
        <v>701</v>
      </c>
      <c r="T102" s="547">
        <f t="shared" si="163"/>
        <v>73.158072649999994</v>
      </c>
      <c r="U102" s="548">
        <f t="shared" si="173"/>
        <v>21191.079874680003</v>
      </c>
      <c r="W102" s="545" t="str">
        <f t="shared" si="164"/>
        <v>1x1</v>
      </c>
      <c r="X102" s="550" t="str">
        <f t="shared" si="165"/>
        <v>S8 Voucher</v>
      </c>
      <c r="Y102" s="545">
        <f t="shared" si="166"/>
        <v>3</v>
      </c>
      <c r="Z102" s="546">
        <f t="shared" si="167"/>
        <v>701</v>
      </c>
      <c r="AA102" s="547">
        <f t="shared" si="168"/>
        <v>73.158072649999994</v>
      </c>
      <c r="AB102" s="549">
        <f t="shared" ref="AB102:AB103" si="177">((H102*Y102)*12)</f>
        <v>29011.115086560007</v>
      </c>
      <c r="AD102" s="545" t="str">
        <f t="shared" si="175"/>
        <v>1x1</v>
      </c>
      <c r="AE102" s="550" t="str">
        <f t="shared" si="169"/>
        <v>S8 Voucher</v>
      </c>
      <c r="AF102" s="545">
        <f t="shared" si="170"/>
        <v>3</v>
      </c>
      <c r="AG102" s="546">
        <f t="shared" si="171"/>
        <v>701</v>
      </c>
      <c r="AH102" s="547">
        <f t="shared" si="172"/>
        <v>73.158072649999994</v>
      </c>
      <c r="AI102" s="548">
        <f t="shared" si="176"/>
        <v>29011.115086560007</v>
      </c>
    </row>
    <row r="103" spans="2:35" s="120" customFormat="1" ht="15.75" customHeight="1" x14ac:dyDescent="0.2">
      <c r="B103" s="551" t="str">
        <f t="shared" si="152"/>
        <v>2x1.5</v>
      </c>
      <c r="C103" s="552" t="str">
        <f t="shared" si="152"/>
        <v>40% AMI</v>
      </c>
      <c r="D103" s="551">
        <f t="shared" si="153"/>
        <v>1</v>
      </c>
      <c r="E103" s="553">
        <f t="shared" si="154"/>
        <v>940</v>
      </c>
      <c r="F103" s="554">
        <f>F80*(1+Dashboard!$P$12)</f>
        <v>96.793757659999997</v>
      </c>
      <c r="G103" s="555">
        <f>G80*(1+Dashboard!$P$11)</f>
        <v>606.64924859000007</v>
      </c>
      <c r="H103" s="549">
        <f t="shared" si="155"/>
        <v>509.85549093000009</v>
      </c>
      <c r="I103" s="556">
        <f>I80*(1+Dashboard!$P$11)</f>
        <v>875.64585418000013</v>
      </c>
      <c r="J103" s="557">
        <f t="shared" si="156"/>
        <v>778.85209652000015</v>
      </c>
      <c r="K103" s="558">
        <f>K80*(1+Dashboard!$P$11)</f>
        <v>0</v>
      </c>
      <c r="L103" s="559">
        <f t="shared" si="157"/>
        <v>620.15535431000001</v>
      </c>
      <c r="M103" s="559">
        <f>M80*(1+Dashboard!$P$11)</f>
        <v>523.36159665000002</v>
      </c>
      <c r="N103" s="548">
        <f t="shared" si="158"/>
        <v>6280.3391597999998</v>
      </c>
      <c r="P103" s="545" t="str">
        <f t="shared" si="159"/>
        <v>2x1.5</v>
      </c>
      <c r="Q103" s="550" t="str">
        <f t="shared" si="160"/>
        <v>40% AMI</v>
      </c>
      <c r="R103" s="545">
        <f t="shared" si="161"/>
        <v>1</v>
      </c>
      <c r="S103" s="546">
        <f t="shared" si="162"/>
        <v>940</v>
      </c>
      <c r="T103" s="547">
        <f t="shared" si="163"/>
        <v>96.793757659999997</v>
      </c>
      <c r="U103" s="548">
        <f t="shared" si="173"/>
        <v>6280.3391597999998</v>
      </c>
      <c r="W103" s="545" t="str">
        <f t="shared" si="164"/>
        <v>2x1.5</v>
      </c>
      <c r="X103" s="550" t="str">
        <f t="shared" si="165"/>
        <v>40% AMI</v>
      </c>
      <c r="Y103" s="545">
        <f t="shared" si="166"/>
        <v>1</v>
      </c>
      <c r="Z103" s="546">
        <f t="shared" si="167"/>
        <v>940</v>
      </c>
      <c r="AA103" s="547">
        <f t="shared" si="168"/>
        <v>96.793757659999997</v>
      </c>
      <c r="AB103" s="549">
        <f t="shared" si="177"/>
        <v>6118.265891160001</v>
      </c>
      <c r="AD103" s="545" t="str">
        <f t="shared" si="175"/>
        <v>2x1.5</v>
      </c>
      <c r="AE103" s="550" t="str">
        <f t="shared" si="169"/>
        <v>40% AMI</v>
      </c>
      <c r="AF103" s="545">
        <f t="shared" si="170"/>
        <v>1</v>
      </c>
      <c r="AG103" s="546">
        <f t="shared" si="171"/>
        <v>940</v>
      </c>
      <c r="AH103" s="547">
        <f t="shared" si="172"/>
        <v>96.793757659999997</v>
      </c>
      <c r="AI103" s="548">
        <f t="shared" si="176"/>
        <v>6280.3391597999998</v>
      </c>
    </row>
    <row r="104" spans="2:35" s="120" customFormat="1" ht="15.75" customHeight="1" x14ac:dyDescent="0.2">
      <c r="B104" s="551" t="str">
        <f t="shared" si="152"/>
        <v>2x1.5</v>
      </c>
      <c r="C104" s="552" t="str">
        <f t="shared" si="152"/>
        <v>50% AMI</v>
      </c>
      <c r="D104" s="551">
        <f t="shared" si="153"/>
        <v>3</v>
      </c>
      <c r="E104" s="553">
        <f t="shared" si="154"/>
        <v>990</v>
      </c>
      <c r="F104" s="554">
        <f>F81*(1+Dashboard!$P$12)</f>
        <v>96.793757659999997</v>
      </c>
      <c r="G104" s="555">
        <f>G81*(1+Dashboard!$P$11)</f>
        <v>782.22862295000004</v>
      </c>
      <c r="H104" s="549">
        <f t="shared" si="155"/>
        <v>685.43486529000006</v>
      </c>
      <c r="I104" s="556">
        <f>I81*(1+Dashboard!$P$11)</f>
        <v>875.64585418000013</v>
      </c>
      <c r="J104" s="557">
        <f t="shared" si="156"/>
        <v>778.85209652000015</v>
      </c>
      <c r="K104" s="558">
        <f>K81*(1+Dashboard!$P$11)</f>
        <v>0</v>
      </c>
      <c r="L104" s="559">
        <f t="shared" si="157"/>
        <v>749.58886745999996</v>
      </c>
      <c r="M104" s="559">
        <f>M81*(1+Dashboard!$P$11)</f>
        <v>652.79510979999998</v>
      </c>
      <c r="N104" s="548">
        <f t="shared" si="158"/>
        <v>23500.623952800001</v>
      </c>
      <c r="P104" s="545" t="str">
        <f t="shared" si="159"/>
        <v>2x1.5</v>
      </c>
      <c r="Q104" s="550" t="str">
        <f t="shared" si="160"/>
        <v>50% AMI</v>
      </c>
      <c r="R104" s="545">
        <f t="shared" si="161"/>
        <v>3</v>
      </c>
      <c r="S104" s="546">
        <f t="shared" si="162"/>
        <v>990</v>
      </c>
      <c r="T104" s="547">
        <f t="shared" si="163"/>
        <v>96.793757659999997</v>
      </c>
      <c r="U104" s="548">
        <f t="shared" si="173"/>
        <v>23500.623952800001</v>
      </c>
      <c r="W104" s="545" t="str">
        <f t="shared" si="164"/>
        <v>2x1.5</v>
      </c>
      <c r="X104" s="550" t="str">
        <f t="shared" si="165"/>
        <v>50% AMI</v>
      </c>
      <c r="Y104" s="545">
        <f t="shared" si="166"/>
        <v>3</v>
      </c>
      <c r="Z104" s="546">
        <f t="shared" si="167"/>
        <v>990</v>
      </c>
      <c r="AA104" s="547">
        <f t="shared" si="168"/>
        <v>96.793757659999997</v>
      </c>
      <c r="AB104" s="549">
        <f>((H104*Y104)*12)</f>
        <v>24675.655150440005</v>
      </c>
      <c r="AD104" s="545" t="str">
        <f t="shared" si="175"/>
        <v>2x1.5</v>
      </c>
      <c r="AE104" s="550" t="str">
        <f t="shared" si="169"/>
        <v>50% AMI</v>
      </c>
      <c r="AF104" s="545">
        <f t="shared" si="170"/>
        <v>3</v>
      </c>
      <c r="AG104" s="546">
        <f t="shared" si="171"/>
        <v>990</v>
      </c>
      <c r="AH104" s="547">
        <f t="shared" si="172"/>
        <v>96.793757659999997</v>
      </c>
      <c r="AI104" s="548">
        <f t="shared" si="176"/>
        <v>24675.655150440005</v>
      </c>
    </row>
    <row r="105" spans="2:35" s="120" customFormat="1" ht="15.75" customHeight="1" x14ac:dyDescent="0.2">
      <c r="B105" s="551" t="str">
        <f t="shared" ref="B105:C105" si="178">B82</f>
        <v>2x1.5</v>
      </c>
      <c r="C105" s="552" t="str">
        <f t="shared" si="178"/>
        <v>60% AMI</v>
      </c>
      <c r="D105" s="551">
        <f t="shared" ref="D105:D117" si="179">$D82</f>
        <v>2</v>
      </c>
      <c r="E105" s="553">
        <f t="shared" ref="E105:E117" si="180">E82</f>
        <v>980</v>
      </c>
      <c r="F105" s="554">
        <f>F82*(1+Dashboard!$P$12)</f>
        <v>96.793757659999997</v>
      </c>
      <c r="G105" s="555">
        <f>G82*(1+Dashboard!$P$11)</f>
        <v>957.80799731000013</v>
      </c>
      <c r="H105" s="549">
        <f t="shared" si="155"/>
        <v>861.01423965000015</v>
      </c>
      <c r="I105" s="556">
        <f>I82*(1+Dashboard!$P$11)</f>
        <v>875.64585418000013</v>
      </c>
      <c r="J105" s="557">
        <f t="shared" si="156"/>
        <v>778.85209652000015</v>
      </c>
      <c r="K105" s="558">
        <f>K82*(1+Dashboard!$P$11)</f>
        <v>0</v>
      </c>
      <c r="L105" s="559">
        <f t="shared" si="157"/>
        <v>819.37041368000007</v>
      </c>
      <c r="M105" s="559">
        <f>M82*(1+Dashboard!$P$11)</f>
        <v>722.57665602000009</v>
      </c>
      <c r="N105" s="548">
        <f t="shared" si="158"/>
        <v>17341.839744480003</v>
      </c>
      <c r="P105" s="545" t="str">
        <f>B105</f>
        <v>2x1.5</v>
      </c>
      <c r="Q105" s="550" t="str">
        <f t="shared" si="160"/>
        <v>60% AMI</v>
      </c>
      <c r="R105" s="545">
        <f t="shared" si="161"/>
        <v>2</v>
      </c>
      <c r="S105" s="546">
        <f t="shared" si="162"/>
        <v>980</v>
      </c>
      <c r="T105" s="547">
        <f t="shared" si="163"/>
        <v>96.793757659999997</v>
      </c>
      <c r="U105" s="548">
        <f t="shared" si="173"/>
        <v>17341.839744480003</v>
      </c>
      <c r="W105" s="545" t="str">
        <f t="shared" si="164"/>
        <v>2x1.5</v>
      </c>
      <c r="X105" s="550" t="str">
        <f t="shared" si="165"/>
        <v>60% AMI</v>
      </c>
      <c r="Y105" s="545">
        <f t="shared" si="166"/>
        <v>2</v>
      </c>
      <c r="Z105" s="546">
        <f t="shared" si="167"/>
        <v>980</v>
      </c>
      <c r="AA105" s="547">
        <f t="shared" si="168"/>
        <v>96.793757659999997</v>
      </c>
      <c r="AB105" s="549">
        <f t="shared" ref="AB105:AB117" si="181">((H105*Y105)*12)</f>
        <v>20664.341751600004</v>
      </c>
      <c r="AD105" s="545" t="str">
        <f t="shared" si="175"/>
        <v>2x1.5</v>
      </c>
      <c r="AE105" s="550" t="str">
        <f t="shared" si="169"/>
        <v>60% AMI</v>
      </c>
      <c r="AF105" s="545">
        <f t="shared" si="170"/>
        <v>2</v>
      </c>
      <c r="AG105" s="546">
        <f t="shared" si="171"/>
        <v>980</v>
      </c>
      <c r="AH105" s="547">
        <f t="shared" si="172"/>
        <v>96.793757659999997</v>
      </c>
      <c r="AI105" s="548">
        <f t="shared" si="176"/>
        <v>20664.341751600004</v>
      </c>
    </row>
    <row r="106" spans="2:35" s="120" customFormat="1" ht="15.75" customHeight="1" x14ac:dyDescent="0.2">
      <c r="B106" s="551" t="str">
        <f t="shared" ref="B106:C106" si="182">B83</f>
        <v>2x2</v>
      </c>
      <c r="C106" s="552" t="str">
        <f t="shared" si="182"/>
        <v>50% AMI</v>
      </c>
      <c r="D106" s="551">
        <f t="shared" si="179"/>
        <v>1</v>
      </c>
      <c r="E106" s="553">
        <f t="shared" si="180"/>
        <v>968</v>
      </c>
      <c r="F106" s="554">
        <f>F83*(1+Dashboard!$P$12)</f>
        <v>96.793757659999997</v>
      </c>
      <c r="G106" s="555">
        <f>G83*(1+Dashboard!$P$11)</f>
        <v>782.22862295000004</v>
      </c>
      <c r="H106" s="549">
        <f t="shared" si="155"/>
        <v>685.43486529000006</v>
      </c>
      <c r="I106" s="556">
        <f>I83*(1+Dashboard!$P$11)</f>
        <v>875.64585418000013</v>
      </c>
      <c r="J106" s="557">
        <f t="shared" si="156"/>
        <v>778.85209652000015</v>
      </c>
      <c r="K106" s="558">
        <f>K83*(1+Dashboard!$P$11)</f>
        <v>0</v>
      </c>
      <c r="L106" s="559">
        <f t="shared" si="157"/>
        <v>783.3541317600002</v>
      </c>
      <c r="M106" s="559">
        <f>M83*(1+Dashboard!$P$11)</f>
        <v>686.56037410000022</v>
      </c>
      <c r="N106" s="548">
        <f t="shared" si="158"/>
        <v>8238.7244892000017</v>
      </c>
      <c r="P106" s="545" t="str">
        <f t="shared" ref="P106:P117" si="183">B106</f>
        <v>2x2</v>
      </c>
      <c r="Q106" s="550" t="str">
        <f t="shared" si="160"/>
        <v>50% AMI</v>
      </c>
      <c r="R106" s="545">
        <f t="shared" si="161"/>
        <v>1</v>
      </c>
      <c r="S106" s="546">
        <f t="shared" si="162"/>
        <v>968</v>
      </c>
      <c r="T106" s="547">
        <f t="shared" si="163"/>
        <v>96.793757659999997</v>
      </c>
      <c r="U106" s="548">
        <f t="shared" si="173"/>
        <v>8238.7244892000017</v>
      </c>
      <c r="W106" s="545" t="str">
        <f t="shared" si="164"/>
        <v>2x2</v>
      </c>
      <c r="X106" s="550" t="str">
        <f t="shared" si="165"/>
        <v>50% AMI</v>
      </c>
      <c r="Y106" s="545">
        <f t="shared" si="166"/>
        <v>1</v>
      </c>
      <c r="Z106" s="546">
        <f t="shared" si="167"/>
        <v>968</v>
      </c>
      <c r="AA106" s="547">
        <f t="shared" si="168"/>
        <v>96.793757659999997</v>
      </c>
      <c r="AB106" s="549">
        <f t="shared" si="181"/>
        <v>8225.2183834800016</v>
      </c>
      <c r="AD106" s="545" t="str">
        <f t="shared" si="175"/>
        <v>2x2</v>
      </c>
      <c r="AE106" s="550" t="str">
        <f t="shared" si="169"/>
        <v>50% AMI</v>
      </c>
      <c r="AF106" s="545">
        <f t="shared" si="170"/>
        <v>1</v>
      </c>
      <c r="AG106" s="546">
        <f t="shared" si="171"/>
        <v>968</v>
      </c>
      <c r="AH106" s="547">
        <f t="shared" si="172"/>
        <v>96.793757659999997</v>
      </c>
      <c r="AI106" s="548">
        <f t="shared" si="176"/>
        <v>8238.7244892000017</v>
      </c>
    </row>
    <row r="107" spans="2:35" s="120" customFormat="1" ht="15.75" customHeight="1" x14ac:dyDescent="0.2">
      <c r="B107" s="551" t="str">
        <f t="shared" ref="B107:C107" si="184">B84</f>
        <v>2x2</v>
      </c>
      <c r="C107" s="552" t="str">
        <f t="shared" si="184"/>
        <v>60% AMI</v>
      </c>
      <c r="D107" s="551">
        <f t="shared" si="179"/>
        <v>2</v>
      </c>
      <c r="E107" s="553">
        <f t="shared" si="180"/>
        <v>968</v>
      </c>
      <c r="F107" s="554">
        <f>F84*(1+Dashboard!$P$12)</f>
        <v>96.793757659999997</v>
      </c>
      <c r="G107" s="555">
        <f>G84*(1+Dashboard!$P$11)</f>
        <v>957.80799731000013</v>
      </c>
      <c r="H107" s="549">
        <f t="shared" si="155"/>
        <v>861.01423965000015</v>
      </c>
      <c r="I107" s="556">
        <f>I84*(1+Dashboard!$P$11)</f>
        <v>875.64585418000013</v>
      </c>
      <c r="J107" s="557">
        <f t="shared" si="156"/>
        <v>778.85209652000015</v>
      </c>
      <c r="K107" s="558">
        <f>K84*(1+Dashboard!$P$11)</f>
        <v>0</v>
      </c>
      <c r="L107" s="559">
        <f t="shared" si="157"/>
        <v>811.49185201</v>
      </c>
      <c r="M107" s="559">
        <f>M84*(1+Dashboard!$P$11)</f>
        <v>714.69809435000002</v>
      </c>
      <c r="N107" s="548">
        <f t="shared" si="158"/>
        <v>17152.754264399999</v>
      </c>
      <c r="P107" s="545" t="str">
        <f t="shared" si="183"/>
        <v>2x2</v>
      </c>
      <c r="Q107" s="550" t="str">
        <f t="shared" si="160"/>
        <v>60% AMI</v>
      </c>
      <c r="R107" s="545">
        <f t="shared" si="161"/>
        <v>2</v>
      </c>
      <c r="S107" s="546">
        <f t="shared" si="162"/>
        <v>968</v>
      </c>
      <c r="T107" s="547">
        <f t="shared" si="163"/>
        <v>96.793757659999997</v>
      </c>
      <c r="U107" s="548">
        <f t="shared" si="173"/>
        <v>17152.754264399999</v>
      </c>
      <c r="W107" s="545" t="str">
        <f t="shared" si="164"/>
        <v>2x2</v>
      </c>
      <c r="X107" s="550" t="str">
        <f t="shared" si="165"/>
        <v>60% AMI</v>
      </c>
      <c r="Y107" s="545">
        <f t="shared" si="166"/>
        <v>2</v>
      </c>
      <c r="Z107" s="546">
        <f t="shared" si="167"/>
        <v>968</v>
      </c>
      <c r="AA107" s="547">
        <f t="shared" si="168"/>
        <v>96.793757659999997</v>
      </c>
      <c r="AB107" s="549">
        <f t="shared" si="181"/>
        <v>20664.341751600004</v>
      </c>
      <c r="AD107" s="545" t="str">
        <f t="shared" si="175"/>
        <v>2x2</v>
      </c>
      <c r="AE107" s="550" t="str">
        <f t="shared" si="169"/>
        <v>60% AMI</v>
      </c>
      <c r="AF107" s="545">
        <f t="shared" si="170"/>
        <v>2</v>
      </c>
      <c r="AG107" s="546">
        <f t="shared" si="171"/>
        <v>968</v>
      </c>
      <c r="AH107" s="547">
        <f t="shared" si="172"/>
        <v>96.793757659999997</v>
      </c>
      <c r="AI107" s="548">
        <f t="shared" si="176"/>
        <v>20664.341751600004</v>
      </c>
    </row>
    <row r="108" spans="2:35" s="120" customFormat="1" ht="15.75" customHeight="1" x14ac:dyDescent="0.2">
      <c r="B108" s="551" t="str">
        <f t="shared" ref="B108:C108" si="185">B85</f>
        <v>2x2</v>
      </c>
      <c r="C108" s="552" t="str">
        <f t="shared" si="185"/>
        <v>Market</v>
      </c>
      <c r="D108" s="551">
        <f t="shared" si="179"/>
        <v>0</v>
      </c>
      <c r="E108" s="553">
        <f t="shared" si="180"/>
        <v>968</v>
      </c>
      <c r="F108" s="554">
        <f>F85*(1+Dashboard!$P$12)</f>
        <v>0</v>
      </c>
      <c r="G108" s="555">
        <f>G85*(1+Dashboard!$P$11)</f>
        <v>0</v>
      </c>
      <c r="H108" s="549">
        <f t="shared" si="155"/>
        <v>0</v>
      </c>
      <c r="I108" s="556">
        <f>I85*(1+Dashboard!$P$11)</f>
        <v>875.64585418000013</v>
      </c>
      <c r="J108" s="557">
        <f t="shared" si="156"/>
        <v>875.64585418000013</v>
      </c>
      <c r="K108" s="558">
        <f>K85*(1+Dashboard!$P$11)</f>
        <v>0</v>
      </c>
      <c r="L108" s="559">
        <f t="shared" si="157"/>
        <v>0</v>
      </c>
      <c r="M108" s="559">
        <f>M85*(1+Dashboard!$P$11)</f>
        <v>0</v>
      </c>
      <c r="N108" s="548">
        <f t="shared" si="158"/>
        <v>0</v>
      </c>
      <c r="P108" s="545" t="str">
        <f t="shared" si="183"/>
        <v>2x2</v>
      </c>
      <c r="Q108" s="550" t="str">
        <f t="shared" si="160"/>
        <v>Market</v>
      </c>
      <c r="R108" s="545">
        <f t="shared" si="161"/>
        <v>0</v>
      </c>
      <c r="S108" s="546">
        <f t="shared" si="162"/>
        <v>968</v>
      </c>
      <c r="T108" s="547">
        <f t="shared" si="163"/>
        <v>0</v>
      </c>
      <c r="U108" s="548">
        <f t="shared" si="173"/>
        <v>0</v>
      </c>
      <c r="W108" s="545" t="str">
        <f t="shared" si="164"/>
        <v>2x2</v>
      </c>
      <c r="X108" s="550" t="str">
        <f t="shared" si="165"/>
        <v>Market</v>
      </c>
      <c r="Y108" s="545">
        <f t="shared" si="166"/>
        <v>0</v>
      </c>
      <c r="Z108" s="546">
        <f t="shared" si="167"/>
        <v>968</v>
      </c>
      <c r="AA108" s="547">
        <f t="shared" si="168"/>
        <v>0</v>
      </c>
      <c r="AB108" s="549">
        <f t="shared" si="181"/>
        <v>0</v>
      </c>
      <c r="AD108" s="545" t="str">
        <f t="shared" si="175"/>
        <v>2x2</v>
      </c>
      <c r="AE108" s="550" t="str">
        <f t="shared" si="169"/>
        <v>Market</v>
      </c>
      <c r="AF108" s="545">
        <f t="shared" si="170"/>
        <v>0</v>
      </c>
      <c r="AG108" s="546">
        <f t="shared" si="171"/>
        <v>968</v>
      </c>
      <c r="AH108" s="547">
        <f t="shared" si="172"/>
        <v>0</v>
      </c>
      <c r="AI108" s="548">
        <f t="shared" si="176"/>
        <v>0</v>
      </c>
    </row>
    <row r="109" spans="2:35" s="120" customFormat="1" ht="15.75" customHeight="1" x14ac:dyDescent="0.2">
      <c r="B109" s="551" t="str">
        <f t="shared" ref="B109:C109" si="186">B86</f>
        <v>2x2 (TH)</v>
      </c>
      <c r="C109" s="552" t="str">
        <f t="shared" si="186"/>
        <v>40% AMI</v>
      </c>
      <c r="D109" s="551">
        <f t="shared" si="179"/>
        <v>1</v>
      </c>
      <c r="E109" s="553">
        <f t="shared" si="180"/>
        <v>1058</v>
      </c>
      <c r="F109" s="554">
        <f>F86*(1+Dashboard!$P$12)</f>
        <v>96.793757659999997</v>
      </c>
      <c r="G109" s="555">
        <f>G86*(1+Dashboard!$P$11)</f>
        <v>606.64924859000007</v>
      </c>
      <c r="H109" s="549">
        <f t="shared" si="155"/>
        <v>509.85549093000009</v>
      </c>
      <c r="I109" s="556">
        <f>I86*(1+Dashboard!$P$11)</f>
        <v>875.64585418000013</v>
      </c>
      <c r="J109" s="557">
        <f t="shared" si="156"/>
        <v>778.85209652000015</v>
      </c>
      <c r="K109" s="558">
        <f>K86*(1+Dashboard!$P$11)</f>
        <v>0</v>
      </c>
      <c r="L109" s="559">
        <f t="shared" si="157"/>
        <v>603.27272216000006</v>
      </c>
      <c r="M109" s="559">
        <f>M86*(1+Dashboard!$P$11)</f>
        <v>506.47896450000007</v>
      </c>
      <c r="N109" s="548">
        <f t="shared" si="158"/>
        <v>6077.7475740000009</v>
      </c>
      <c r="P109" s="545" t="str">
        <f t="shared" si="183"/>
        <v>2x2 (TH)</v>
      </c>
      <c r="Q109" s="550" t="str">
        <f t="shared" si="160"/>
        <v>40% AMI</v>
      </c>
      <c r="R109" s="545">
        <f t="shared" si="161"/>
        <v>1</v>
      </c>
      <c r="S109" s="546">
        <f t="shared" si="162"/>
        <v>1058</v>
      </c>
      <c r="T109" s="547">
        <f t="shared" si="163"/>
        <v>96.793757659999997</v>
      </c>
      <c r="U109" s="548">
        <f t="shared" si="173"/>
        <v>6077.7475740000009</v>
      </c>
      <c r="W109" s="545" t="str">
        <f t="shared" si="164"/>
        <v>2x2 (TH)</v>
      </c>
      <c r="X109" s="550" t="str">
        <f t="shared" si="165"/>
        <v>40% AMI</v>
      </c>
      <c r="Y109" s="545">
        <f t="shared" si="166"/>
        <v>1</v>
      </c>
      <c r="Z109" s="546">
        <f t="shared" si="167"/>
        <v>1058</v>
      </c>
      <c r="AA109" s="547">
        <f t="shared" si="168"/>
        <v>96.793757659999997</v>
      </c>
      <c r="AB109" s="549">
        <f t="shared" si="181"/>
        <v>6118.265891160001</v>
      </c>
      <c r="AD109" s="545" t="str">
        <f t="shared" si="175"/>
        <v>2x2 (TH)</v>
      </c>
      <c r="AE109" s="550" t="str">
        <f t="shared" si="169"/>
        <v>40% AMI</v>
      </c>
      <c r="AF109" s="545">
        <f t="shared" si="170"/>
        <v>1</v>
      </c>
      <c r="AG109" s="546">
        <f t="shared" si="171"/>
        <v>1058</v>
      </c>
      <c r="AH109" s="547">
        <f t="shared" si="172"/>
        <v>96.793757659999997</v>
      </c>
      <c r="AI109" s="548">
        <f t="shared" si="176"/>
        <v>6118.265891160001</v>
      </c>
    </row>
    <row r="110" spans="2:35" s="120" customFormat="1" ht="15.75" customHeight="1" x14ac:dyDescent="0.2">
      <c r="B110" s="551" t="str">
        <f t="shared" ref="B110:C110" si="187">B87</f>
        <v>2x2 (TH)</v>
      </c>
      <c r="C110" s="552" t="str">
        <f t="shared" si="187"/>
        <v>50% AMI</v>
      </c>
      <c r="D110" s="551">
        <f t="shared" si="179"/>
        <v>1</v>
      </c>
      <c r="E110" s="553">
        <f t="shared" si="180"/>
        <v>1058</v>
      </c>
      <c r="F110" s="554">
        <f>F87*(1+Dashboard!$P$12)</f>
        <v>96.793757659999997</v>
      </c>
      <c r="G110" s="555">
        <f>G87*(1+Dashboard!$P$11)</f>
        <v>782.22862295000004</v>
      </c>
      <c r="H110" s="549">
        <f t="shared" si="155"/>
        <v>685.43486529000006</v>
      </c>
      <c r="I110" s="556">
        <f>I87*(1+Dashboard!$P$11)</f>
        <v>875.64585418000013</v>
      </c>
      <c r="J110" s="557">
        <f t="shared" si="156"/>
        <v>778.85209652000015</v>
      </c>
      <c r="K110" s="558">
        <f>K87*(1+Dashboard!$P$11)</f>
        <v>0</v>
      </c>
      <c r="L110" s="559">
        <f t="shared" si="157"/>
        <v>164.32428626000001</v>
      </c>
      <c r="M110" s="559">
        <f>M87*(1+Dashboard!$P$11)</f>
        <v>67.530528599999997</v>
      </c>
      <c r="N110" s="548">
        <f t="shared" si="158"/>
        <v>810.36634319999996</v>
      </c>
      <c r="P110" s="545" t="str">
        <f t="shared" si="183"/>
        <v>2x2 (TH)</v>
      </c>
      <c r="Q110" s="550" t="str">
        <f t="shared" si="160"/>
        <v>50% AMI</v>
      </c>
      <c r="R110" s="545">
        <f t="shared" si="161"/>
        <v>1</v>
      </c>
      <c r="S110" s="546">
        <f t="shared" si="162"/>
        <v>1058</v>
      </c>
      <c r="T110" s="547">
        <f t="shared" si="163"/>
        <v>96.793757659999997</v>
      </c>
      <c r="U110" s="548">
        <f t="shared" si="173"/>
        <v>810.36634319999996</v>
      </c>
      <c r="W110" s="545" t="str">
        <f t="shared" si="164"/>
        <v>2x2 (TH)</v>
      </c>
      <c r="X110" s="550" t="str">
        <f t="shared" si="165"/>
        <v>50% AMI</v>
      </c>
      <c r="Y110" s="545">
        <f t="shared" si="166"/>
        <v>1</v>
      </c>
      <c r="Z110" s="546">
        <f t="shared" si="167"/>
        <v>1058</v>
      </c>
      <c r="AA110" s="547">
        <f t="shared" si="168"/>
        <v>96.793757659999997</v>
      </c>
      <c r="AB110" s="549">
        <f t="shared" si="181"/>
        <v>8225.2183834800016</v>
      </c>
      <c r="AD110" s="545" t="str">
        <f t="shared" si="175"/>
        <v>2x2 (TH)</v>
      </c>
      <c r="AE110" s="550" t="str">
        <f t="shared" si="169"/>
        <v>50% AMI</v>
      </c>
      <c r="AF110" s="545">
        <f t="shared" si="170"/>
        <v>1</v>
      </c>
      <c r="AG110" s="546">
        <f t="shared" si="171"/>
        <v>1058</v>
      </c>
      <c r="AH110" s="547">
        <f t="shared" si="172"/>
        <v>96.793757659999997</v>
      </c>
      <c r="AI110" s="548">
        <f t="shared" si="176"/>
        <v>8225.2183834800016</v>
      </c>
    </row>
    <row r="111" spans="2:35" s="120" customFormat="1" ht="15.75" customHeight="1" x14ac:dyDescent="0.2">
      <c r="B111" s="551" t="str">
        <f t="shared" ref="B111:C111" si="188">B88</f>
        <v>2x2 (TH)</v>
      </c>
      <c r="C111" s="552" t="str">
        <f t="shared" si="188"/>
        <v>60% AMI</v>
      </c>
      <c r="D111" s="551">
        <f t="shared" si="179"/>
        <v>16</v>
      </c>
      <c r="E111" s="553">
        <f t="shared" si="180"/>
        <v>1058</v>
      </c>
      <c r="F111" s="554">
        <f>F88*(1+Dashboard!$P$12)</f>
        <v>96.793757659999997</v>
      </c>
      <c r="G111" s="555">
        <f>G88*(1+Dashboard!$P$11)</f>
        <v>957.80799731000013</v>
      </c>
      <c r="H111" s="549">
        <f t="shared" si="155"/>
        <v>861.01423965000015</v>
      </c>
      <c r="I111" s="556">
        <f>I88*(1+Dashboard!$P$11)</f>
        <v>875.64585418000013</v>
      </c>
      <c r="J111" s="557">
        <f t="shared" si="156"/>
        <v>778.85209652000015</v>
      </c>
      <c r="K111" s="558">
        <f>K88*(1+Dashboard!$P$11)</f>
        <v>0</v>
      </c>
      <c r="L111" s="559">
        <f t="shared" si="157"/>
        <v>873.39483656000016</v>
      </c>
      <c r="M111" s="559">
        <f>M88*(1+Dashboard!$P$11)</f>
        <v>776.60107890000018</v>
      </c>
      <c r="N111" s="548">
        <f t="shared" si="158"/>
        <v>149107.40714880003</v>
      </c>
      <c r="P111" s="545" t="str">
        <f t="shared" si="183"/>
        <v>2x2 (TH)</v>
      </c>
      <c r="Q111" s="550" t="str">
        <f t="shared" si="160"/>
        <v>60% AMI</v>
      </c>
      <c r="R111" s="545">
        <f t="shared" si="161"/>
        <v>16</v>
      </c>
      <c r="S111" s="546">
        <f t="shared" si="162"/>
        <v>1058</v>
      </c>
      <c r="T111" s="547">
        <f t="shared" si="163"/>
        <v>96.793757659999997</v>
      </c>
      <c r="U111" s="548">
        <f t="shared" si="173"/>
        <v>149107.40714880003</v>
      </c>
      <c r="W111" s="545" t="str">
        <f t="shared" si="164"/>
        <v>2x2 (TH)</v>
      </c>
      <c r="X111" s="550" t="str">
        <f t="shared" si="165"/>
        <v>60% AMI</v>
      </c>
      <c r="Y111" s="545">
        <f t="shared" si="166"/>
        <v>16</v>
      </c>
      <c r="Z111" s="546">
        <f t="shared" si="167"/>
        <v>1058</v>
      </c>
      <c r="AA111" s="547">
        <f t="shared" si="168"/>
        <v>96.793757659999997</v>
      </c>
      <c r="AB111" s="549">
        <f t="shared" si="181"/>
        <v>165314.73401280004</v>
      </c>
      <c r="AD111" s="545" t="str">
        <f t="shared" si="175"/>
        <v>2x2 (TH)</v>
      </c>
      <c r="AE111" s="550" t="str">
        <f t="shared" si="169"/>
        <v>60% AMI</v>
      </c>
      <c r="AF111" s="545">
        <f t="shared" si="170"/>
        <v>16</v>
      </c>
      <c r="AG111" s="546">
        <f t="shared" si="171"/>
        <v>1058</v>
      </c>
      <c r="AH111" s="547">
        <f t="shared" si="172"/>
        <v>96.793757659999997</v>
      </c>
      <c r="AI111" s="548">
        <f t="shared" si="176"/>
        <v>165314.73401280004</v>
      </c>
    </row>
    <row r="112" spans="2:35" s="120" customFormat="1" ht="15.75" customHeight="1" x14ac:dyDescent="0.2">
      <c r="B112" s="551" t="str">
        <f t="shared" ref="B112:C112" si="189">B89</f>
        <v>2x2 (TH)</v>
      </c>
      <c r="C112" s="552" t="str">
        <f t="shared" si="189"/>
        <v>Market</v>
      </c>
      <c r="D112" s="551">
        <f t="shared" si="179"/>
        <v>1</v>
      </c>
      <c r="E112" s="553">
        <f t="shared" si="180"/>
        <v>1058</v>
      </c>
      <c r="F112" s="554">
        <f>F89*(1+Dashboard!$P$12)</f>
        <v>0</v>
      </c>
      <c r="G112" s="555">
        <f>G89*(1+Dashboard!$P$11)</f>
        <v>0</v>
      </c>
      <c r="H112" s="549">
        <f t="shared" si="155"/>
        <v>0</v>
      </c>
      <c r="I112" s="556">
        <f>I89*(1+Dashboard!$P$11)</f>
        <v>875.64585418000013</v>
      </c>
      <c r="J112" s="557">
        <f t="shared" si="156"/>
        <v>875.64585418000013</v>
      </c>
      <c r="K112" s="558">
        <f>K89*(1+Dashboard!$P$11)</f>
        <v>0</v>
      </c>
      <c r="L112" s="559">
        <f t="shared" si="157"/>
        <v>844.1316075000002</v>
      </c>
      <c r="M112" s="559">
        <f>M89*(1+Dashboard!$P$11)</f>
        <v>844.1316075000002</v>
      </c>
      <c r="N112" s="548">
        <f t="shared" si="158"/>
        <v>10129.579290000001</v>
      </c>
      <c r="P112" s="545" t="str">
        <f t="shared" si="183"/>
        <v>2x2 (TH)</v>
      </c>
      <c r="Q112" s="550" t="str">
        <f t="shared" si="160"/>
        <v>Market</v>
      </c>
      <c r="R112" s="545">
        <f t="shared" si="161"/>
        <v>1</v>
      </c>
      <c r="S112" s="546">
        <f t="shared" si="162"/>
        <v>1058</v>
      </c>
      <c r="T112" s="547">
        <f t="shared" si="163"/>
        <v>0</v>
      </c>
      <c r="U112" s="548">
        <f t="shared" si="173"/>
        <v>10129.579290000001</v>
      </c>
      <c r="W112" s="545" t="str">
        <f t="shared" si="164"/>
        <v>2x2 (TH)</v>
      </c>
      <c r="X112" s="550" t="str">
        <f t="shared" si="165"/>
        <v>Market</v>
      </c>
      <c r="Y112" s="545">
        <f t="shared" si="166"/>
        <v>1</v>
      </c>
      <c r="Z112" s="546">
        <f t="shared" si="167"/>
        <v>1058</v>
      </c>
      <c r="AA112" s="547">
        <f t="shared" si="168"/>
        <v>0</v>
      </c>
      <c r="AB112" s="549">
        <f t="shared" si="181"/>
        <v>0</v>
      </c>
      <c r="AD112" s="545" t="str">
        <f t="shared" si="175"/>
        <v>2x2 (TH)</v>
      </c>
      <c r="AE112" s="550" t="str">
        <f t="shared" si="169"/>
        <v>Market</v>
      </c>
      <c r="AF112" s="545">
        <f t="shared" si="170"/>
        <v>1</v>
      </c>
      <c r="AG112" s="546">
        <f t="shared" si="171"/>
        <v>1058</v>
      </c>
      <c r="AH112" s="547">
        <f t="shared" si="172"/>
        <v>0</v>
      </c>
      <c r="AI112" s="548">
        <f t="shared" si="176"/>
        <v>10129.579290000001</v>
      </c>
    </row>
    <row r="113" spans="2:35" s="120" customFormat="1" ht="15.75" customHeight="1" x14ac:dyDescent="0.2">
      <c r="B113" s="551" t="str">
        <f t="shared" ref="B113:C113" si="190">B90</f>
        <v xml:space="preserve">2x1.5-2x2 </v>
      </c>
      <c r="C113" s="552" t="str">
        <f t="shared" si="190"/>
        <v>S8 Voucher</v>
      </c>
      <c r="D113" s="551">
        <f t="shared" si="179"/>
        <v>18</v>
      </c>
      <c r="E113" s="553">
        <f t="shared" si="180"/>
        <v>0</v>
      </c>
      <c r="F113" s="554">
        <f>F90*(1+Dashboard!$P$12)</f>
        <v>96.793757659999997</v>
      </c>
      <c r="G113" s="555">
        <f>G90*(1+Dashboard!$P$11)</f>
        <v>957.80799731000013</v>
      </c>
      <c r="H113" s="549">
        <f t="shared" si="155"/>
        <v>861.01423965000015</v>
      </c>
      <c r="I113" s="556">
        <f>I90*(1+Dashboard!$P$11)</f>
        <v>875.64585418000013</v>
      </c>
      <c r="J113" s="557">
        <f t="shared" si="156"/>
        <v>778.85209652000015</v>
      </c>
      <c r="K113" s="558">
        <f>K90*(1+Dashboard!$P$11)</f>
        <v>0</v>
      </c>
      <c r="L113" s="559">
        <f t="shared" si="157"/>
        <v>925.16824182000005</v>
      </c>
      <c r="M113" s="559">
        <f>M90*(1+Dashboard!$P$11)</f>
        <v>828.37448416000007</v>
      </c>
      <c r="N113" s="548">
        <f t="shared" si="158"/>
        <v>178928.88857856003</v>
      </c>
      <c r="P113" s="545" t="str">
        <f t="shared" si="183"/>
        <v xml:space="preserve">2x1.5-2x2 </v>
      </c>
      <c r="Q113" s="550" t="str">
        <f t="shared" si="160"/>
        <v>S8 Voucher</v>
      </c>
      <c r="R113" s="545">
        <f t="shared" si="161"/>
        <v>18</v>
      </c>
      <c r="S113" s="546">
        <f t="shared" si="162"/>
        <v>0</v>
      </c>
      <c r="T113" s="547">
        <f t="shared" si="163"/>
        <v>96.793757659999997</v>
      </c>
      <c r="U113" s="548">
        <f t="shared" si="173"/>
        <v>178928.88857856003</v>
      </c>
      <c r="W113" s="545" t="str">
        <f t="shared" si="164"/>
        <v xml:space="preserve">2x1.5-2x2 </v>
      </c>
      <c r="X113" s="550" t="str">
        <f t="shared" si="165"/>
        <v>S8 Voucher</v>
      </c>
      <c r="Y113" s="545">
        <f t="shared" si="166"/>
        <v>18</v>
      </c>
      <c r="Z113" s="546">
        <f t="shared" si="167"/>
        <v>0</v>
      </c>
      <c r="AA113" s="547">
        <f t="shared" si="168"/>
        <v>96.793757659999997</v>
      </c>
      <c r="AB113" s="549">
        <f t="shared" si="181"/>
        <v>185979.07576440004</v>
      </c>
      <c r="AD113" s="545" t="str">
        <f t="shared" si="175"/>
        <v xml:space="preserve">2x1.5-2x2 </v>
      </c>
      <c r="AE113" s="550" t="str">
        <f t="shared" si="169"/>
        <v>S8 Voucher</v>
      </c>
      <c r="AF113" s="545">
        <f t="shared" si="170"/>
        <v>18</v>
      </c>
      <c r="AG113" s="546">
        <f t="shared" si="171"/>
        <v>0</v>
      </c>
      <c r="AH113" s="547">
        <f t="shared" si="172"/>
        <v>96.793757659999997</v>
      </c>
      <c r="AI113" s="548">
        <f t="shared" si="176"/>
        <v>185979.07576440004</v>
      </c>
    </row>
    <row r="114" spans="2:35" s="120" customFormat="1" ht="15.75" customHeight="1" x14ac:dyDescent="0.2">
      <c r="B114" s="551" t="str">
        <f t="shared" ref="B114:C114" si="191">B91</f>
        <v>3x2 (TH)</v>
      </c>
      <c r="C114" s="552" t="str">
        <f t="shared" si="191"/>
        <v>50% AMI</v>
      </c>
      <c r="D114" s="551">
        <f t="shared" si="179"/>
        <v>2</v>
      </c>
      <c r="E114" s="553">
        <f t="shared" si="180"/>
        <v>1296</v>
      </c>
      <c r="F114" s="554">
        <f>F91*(1+Dashboard!$P$12)</f>
        <v>120.42944267000003</v>
      </c>
      <c r="G114" s="555">
        <f>G91*(1+Dashboard!$P$11)</f>
        <v>894.77950395000005</v>
      </c>
      <c r="H114" s="549">
        <f t="shared" si="155"/>
        <v>774.35006127999998</v>
      </c>
      <c r="I114" s="556">
        <f>I91*(1+Dashboard!$P$11)</f>
        <v>1151.39551263</v>
      </c>
      <c r="J114" s="557">
        <f t="shared" si="156"/>
        <v>1030.9660699599999</v>
      </c>
      <c r="K114" s="558">
        <f>K91*(1+Dashboard!$P$11)</f>
        <v>0</v>
      </c>
      <c r="L114" s="559">
        <f t="shared" si="157"/>
        <v>885.77543347000017</v>
      </c>
      <c r="M114" s="559">
        <f>M91*(1+Dashboard!$P$11)</f>
        <v>765.3459908000001</v>
      </c>
      <c r="N114" s="548">
        <f t="shared" si="158"/>
        <v>18368.303779200003</v>
      </c>
      <c r="P114" s="545" t="str">
        <f t="shared" si="183"/>
        <v>3x2 (TH)</v>
      </c>
      <c r="Q114" s="550" t="str">
        <f t="shared" si="160"/>
        <v>50% AMI</v>
      </c>
      <c r="R114" s="545">
        <f t="shared" si="161"/>
        <v>2</v>
      </c>
      <c r="S114" s="546">
        <f t="shared" si="162"/>
        <v>1296</v>
      </c>
      <c r="T114" s="547">
        <f t="shared" si="163"/>
        <v>120.42944267000003</v>
      </c>
      <c r="U114" s="548">
        <f t="shared" si="173"/>
        <v>18368.303779200003</v>
      </c>
      <c r="W114" s="545" t="str">
        <f t="shared" si="164"/>
        <v>3x2 (TH)</v>
      </c>
      <c r="X114" s="550" t="str">
        <f t="shared" si="165"/>
        <v>50% AMI</v>
      </c>
      <c r="Y114" s="545">
        <f t="shared" si="166"/>
        <v>2</v>
      </c>
      <c r="Z114" s="546">
        <f t="shared" si="167"/>
        <v>1296</v>
      </c>
      <c r="AA114" s="547">
        <f t="shared" si="168"/>
        <v>120.42944267000003</v>
      </c>
      <c r="AB114" s="549">
        <f t="shared" si="181"/>
        <v>18584.40147072</v>
      </c>
      <c r="AD114" s="545" t="str">
        <f t="shared" si="175"/>
        <v>3x2 (TH)</v>
      </c>
      <c r="AE114" s="550" t="str">
        <f t="shared" si="169"/>
        <v>50% AMI</v>
      </c>
      <c r="AF114" s="545">
        <f t="shared" si="170"/>
        <v>2</v>
      </c>
      <c r="AG114" s="546">
        <f t="shared" si="171"/>
        <v>1296</v>
      </c>
      <c r="AH114" s="547">
        <f t="shared" si="172"/>
        <v>120.42944267000003</v>
      </c>
      <c r="AI114" s="548">
        <f t="shared" si="176"/>
        <v>18584.40147072</v>
      </c>
    </row>
    <row r="115" spans="2:35" s="120" customFormat="1" ht="15.75" customHeight="1" x14ac:dyDescent="0.2">
      <c r="B115" s="551" t="str">
        <f t="shared" ref="B115:C115" si="192">B92</f>
        <v>3x2 (TH)</v>
      </c>
      <c r="C115" s="552" t="str">
        <f t="shared" si="192"/>
        <v>60% AMI</v>
      </c>
      <c r="D115" s="551">
        <f t="shared" si="179"/>
        <v>7</v>
      </c>
      <c r="E115" s="553">
        <f t="shared" si="180"/>
        <v>1296</v>
      </c>
      <c r="F115" s="554">
        <f>F92*(1+Dashboard!$P$12)</f>
        <v>120.42944267000003</v>
      </c>
      <c r="G115" s="555">
        <f>G92*(1+Dashboard!$P$11)</f>
        <v>1098.4965985599999</v>
      </c>
      <c r="H115" s="549">
        <f t="shared" si="155"/>
        <v>978.06715588999987</v>
      </c>
      <c r="I115" s="556">
        <f>I92*(1+Dashboard!$P$11)</f>
        <v>1151.39551263</v>
      </c>
      <c r="J115" s="557">
        <f t="shared" si="156"/>
        <v>1030.9660699599999</v>
      </c>
      <c r="K115" s="558">
        <f>K92*(1+Dashboard!$P$11)</f>
        <v>0</v>
      </c>
      <c r="L115" s="559">
        <f t="shared" si="157"/>
        <v>903.78357443000016</v>
      </c>
      <c r="M115" s="559">
        <f>M92*(1+Dashboard!$P$11)</f>
        <v>783.35413176000009</v>
      </c>
      <c r="N115" s="548">
        <f t="shared" si="158"/>
        <v>65801.747067840013</v>
      </c>
      <c r="P115" s="545" t="str">
        <f t="shared" si="183"/>
        <v>3x2 (TH)</v>
      </c>
      <c r="Q115" s="550" t="str">
        <f t="shared" si="160"/>
        <v>60% AMI</v>
      </c>
      <c r="R115" s="545">
        <f t="shared" si="161"/>
        <v>7</v>
      </c>
      <c r="S115" s="546">
        <f t="shared" si="162"/>
        <v>1296</v>
      </c>
      <c r="T115" s="547">
        <f t="shared" si="163"/>
        <v>120.42944267000003</v>
      </c>
      <c r="U115" s="548">
        <f t="shared" si="173"/>
        <v>65801.747067840013</v>
      </c>
      <c r="W115" s="545" t="str">
        <f t="shared" si="164"/>
        <v>3x2 (TH)</v>
      </c>
      <c r="X115" s="550" t="str">
        <f t="shared" si="165"/>
        <v>60% AMI</v>
      </c>
      <c r="Y115" s="545">
        <f t="shared" si="166"/>
        <v>7</v>
      </c>
      <c r="Z115" s="546">
        <f t="shared" si="167"/>
        <v>1296</v>
      </c>
      <c r="AA115" s="547">
        <f t="shared" si="168"/>
        <v>120.42944267000003</v>
      </c>
      <c r="AB115" s="549">
        <f t="shared" si="181"/>
        <v>82157.641094759994</v>
      </c>
      <c r="AD115" s="545" t="str">
        <f t="shared" si="175"/>
        <v>3x2 (TH)</v>
      </c>
      <c r="AE115" s="550" t="str">
        <f t="shared" si="169"/>
        <v>60% AMI</v>
      </c>
      <c r="AF115" s="545">
        <f t="shared" si="170"/>
        <v>7</v>
      </c>
      <c r="AG115" s="546">
        <f t="shared" si="171"/>
        <v>1296</v>
      </c>
      <c r="AH115" s="547">
        <f t="shared" si="172"/>
        <v>120.42944267000003</v>
      </c>
      <c r="AI115" s="548">
        <f t="shared" si="176"/>
        <v>82157.641094759994</v>
      </c>
    </row>
    <row r="116" spans="2:35" s="120" customFormat="1" ht="15.75" customHeight="1" x14ac:dyDescent="0.2">
      <c r="B116" s="551" t="str">
        <f t="shared" ref="B116:C116" si="193">B93</f>
        <v>3x2 (TH)</v>
      </c>
      <c r="C116" s="552" t="str">
        <f t="shared" si="193"/>
        <v>Market</v>
      </c>
      <c r="D116" s="551">
        <f t="shared" si="179"/>
        <v>0</v>
      </c>
      <c r="E116" s="553">
        <f t="shared" si="180"/>
        <v>1296</v>
      </c>
      <c r="F116" s="554">
        <f>F93*(1+Dashboard!$P$12)</f>
        <v>0</v>
      </c>
      <c r="G116" s="555">
        <f>G93*(1+Dashboard!$P$11)</f>
        <v>0</v>
      </c>
      <c r="H116" s="549">
        <f t="shared" si="155"/>
        <v>0</v>
      </c>
      <c r="I116" s="556">
        <f>I93*(1+Dashboard!$P$11)</f>
        <v>1151.39551263</v>
      </c>
      <c r="J116" s="557">
        <f t="shared" si="156"/>
        <v>1151.39551263</v>
      </c>
      <c r="K116" s="558">
        <f>K93*(1+Dashboard!$P$11)</f>
        <v>0</v>
      </c>
      <c r="L116" s="559">
        <f t="shared" si="157"/>
        <v>0</v>
      </c>
      <c r="M116" s="559">
        <f>M93*(1+Dashboard!$P$11)</f>
        <v>0</v>
      </c>
      <c r="N116" s="548">
        <f t="shared" si="158"/>
        <v>0</v>
      </c>
      <c r="P116" s="545" t="str">
        <f t="shared" si="183"/>
        <v>3x2 (TH)</v>
      </c>
      <c r="Q116" s="550" t="str">
        <f t="shared" si="160"/>
        <v>Market</v>
      </c>
      <c r="R116" s="545">
        <f t="shared" si="161"/>
        <v>0</v>
      </c>
      <c r="S116" s="546">
        <f t="shared" si="162"/>
        <v>1296</v>
      </c>
      <c r="T116" s="547">
        <f t="shared" si="163"/>
        <v>0</v>
      </c>
      <c r="U116" s="548">
        <f t="shared" si="173"/>
        <v>0</v>
      </c>
      <c r="W116" s="545" t="str">
        <f t="shared" si="164"/>
        <v>3x2 (TH)</v>
      </c>
      <c r="X116" s="550" t="str">
        <f t="shared" si="165"/>
        <v>Market</v>
      </c>
      <c r="Y116" s="545">
        <f t="shared" si="166"/>
        <v>0</v>
      </c>
      <c r="Z116" s="546">
        <f t="shared" si="167"/>
        <v>1296</v>
      </c>
      <c r="AA116" s="547">
        <f t="shared" si="168"/>
        <v>0</v>
      </c>
      <c r="AB116" s="549">
        <f t="shared" si="181"/>
        <v>0</v>
      </c>
      <c r="AD116" s="545" t="str">
        <f t="shared" si="175"/>
        <v>3x2 (TH)</v>
      </c>
      <c r="AE116" s="550" t="str">
        <f t="shared" si="169"/>
        <v>Market</v>
      </c>
      <c r="AF116" s="545">
        <f t="shared" si="170"/>
        <v>0</v>
      </c>
      <c r="AG116" s="546">
        <f t="shared" si="171"/>
        <v>1296</v>
      </c>
      <c r="AH116" s="547">
        <f t="shared" si="172"/>
        <v>0</v>
      </c>
      <c r="AI116" s="548">
        <f t="shared" si="176"/>
        <v>0</v>
      </c>
    </row>
    <row r="117" spans="2:35" s="120" customFormat="1" ht="15.75" customHeight="1" x14ac:dyDescent="0.2">
      <c r="B117" s="551" t="str">
        <f t="shared" ref="B117:C117" si="194">B94</f>
        <v>3x2 (TH)</v>
      </c>
      <c r="C117" s="552" t="str">
        <f t="shared" si="194"/>
        <v>S8 Voucher</v>
      </c>
      <c r="D117" s="551">
        <f t="shared" si="179"/>
        <v>11</v>
      </c>
      <c r="E117" s="553">
        <f t="shared" si="180"/>
        <v>1296</v>
      </c>
      <c r="F117" s="554">
        <f>F94*(1+Dashboard!$P$12)</f>
        <v>120.42944267000003</v>
      </c>
      <c r="G117" s="555">
        <f>G94*(1+Dashboard!$P$11)</f>
        <v>1098.4965985599999</v>
      </c>
      <c r="H117" s="549">
        <f t="shared" si="155"/>
        <v>978.06715588999987</v>
      </c>
      <c r="I117" s="556">
        <f>I94*(1+Dashboard!$P$11)</f>
        <v>1151.39551263</v>
      </c>
      <c r="J117" s="557">
        <f t="shared" si="156"/>
        <v>1030.9660699599999</v>
      </c>
      <c r="K117" s="558">
        <f>K94*(1+Dashboard!$P$11)</f>
        <v>0</v>
      </c>
      <c r="L117" s="559">
        <f t="shared" si="157"/>
        <v>1052.3507373500001</v>
      </c>
      <c r="M117" s="559">
        <f>M94*(1+Dashboard!$P$11)</f>
        <v>931.92129468000007</v>
      </c>
      <c r="N117" s="548">
        <f t="shared" si="158"/>
        <v>123013.61089775999</v>
      </c>
      <c r="P117" s="545" t="str">
        <f t="shared" si="183"/>
        <v>3x2 (TH)</v>
      </c>
      <c r="Q117" s="550" t="str">
        <f t="shared" si="160"/>
        <v>S8 Voucher</v>
      </c>
      <c r="R117" s="545">
        <f t="shared" si="161"/>
        <v>11</v>
      </c>
      <c r="S117" s="546">
        <f t="shared" si="162"/>
        <v>1296</v>
      </c>
      <c r="T117" s="547">
        <f t="shared" si="163"/>
        <v>120.42944267000003</v>
      </c>
      <c r="U117" s="548">
        <f t="shared" si="173"/>
        <v>123013.61089775999</v>
      </c>
      <c r="W117" s="545" t="str">
        <f t="shared" si="164"/>
        <v>3x2 (TH)</v>
      </c>
      <c r="X117" s="550" t="str">
        <f t="shared" si="165"/>
        <v>S8 Voucher</v>
      </c>
      <c r="Y117" s="545">
        <f t="shared" si="166"/>
        <v>11</v>
      </c>
      <c r="Z117" s="546">
        <f t="shared" si="167"/>
        <v>1296</v>
      </c>
      <c r="AA117" s="547">
        <f t="shared" si="168"/>
        <v>120.42944267000003</v>
      </c>
      <c r="AB117" s="549">
        <f t="shared" si="181"/>
        <v>129104.86457747998</v>
      </c>
      <c r="AD117" s="545" t="str">
        <f t="shared" si="175"/>
        <v>3x2 (TH)</v>
      </c>
      <c r="AE117" s="550" t="str">
        <f t="shared" si="169"/>
        <v>S8 Voucher</v>
      </c>
      <c r="AF117" s="545">
        <f t="shared" si="170"/>
        <v>11</v>
      </c>
      <c r="AG117" s="546">
        <f t="shared" si="171"/>
        <v>1296</v>
      </c>
      <c r="AH117" s="547">
        <f t="shared" si="172"/>
        <v>120.42944267000003</v>
      </c>
      <c r="AI117" s="548">
        <f t="shared" si="176"/>
        <v>129104.86457747998</v>
      </c>
    </row>
    <row r="118" spans="2:35" s="120" customFormat="1" ht="15.75" customHeight="1" x14ac:dyDescent="0.2">
      <c r="B118" s="198" t="s">
        <v>295</v>
      </c>
      <c r="C118" s="122"/>
      <c r="D118" s="166">
        <f>SUM(D99:D117)</f>
        <v>72</v>
      </c>
      <c r="E118" s="166">
        <f t="shared" ref="E118:K118" si="195">+SUMPRODUCT(E99:E117,$D99:$D117)</f>
        <v>59002</v>
      </c>
      <c r="F118" s="165">
        <f t="shared" si="195"/>
        <v>7130.0983113499997</v>
      </c>
      <c r="G118" s="165">
        <f t="shared" si="195"/>
        <v>67186.122904140007</v>
      </c>
      <c r="H118" s="165">
        <f t="shared" si="195"/>
        <v>60056.024592790011</v>
      </c>
      <c r="I118" s="165">
        <f t="shared" si="195"/>
        <v>67919.954648259998</v>
      </c>
      <c r="J118" s="165">
        <f t="shared" si="195"/>
        <v>60789.856336910001</v>
      </c>
      <c r="K118" s="165">
        <f t="shared" si="195"/>
        <v>0</v>
      </c>
      <c r="L118" s="165">
        <f t="shared" ref="L118" si="196">+SUMPRODUCT(L99:L117,$D99:$D117)</f>
        <v>62812.39566848</v>
      </c>
      <c r="M118" s="165">
        <f t="shared" ref="M118" si="197">+SUMPRODUCT(M99:M117,$D99:$D117)</f>
        <v>55682.297357130003</v>
      </c>
      <c r="N118" s="165">
        <f>SUM(N99:N117)</f>
        <v>668187.56828556012</v>
      </c>
      <c r="P118" s="198" t="s">
        <v>295</v>
      </c>
      <c r="Q118" s="122"/>
      <c r="R118" s="560">
        <f>SUM(R99:R117)</f>
        <v>72</v>
      </c>
      <c r="S118" s="560">
        <f>+SUMPRODUCT(S99:S117,$R99:$R117)</f>
        <v>59002</v>
      </c>
      <c r="T118" s="165">
        <f>+SUMPRODUCT(T99:T117,$R99:$R117)</f>
        <v>7130.0983113499997</v>
      </c>
      <c r="U118" s="165">
        <f>SUM(U99:U117)</f>
        <v>668187.56828556012</v>
      </c>
      <c r="W118" s="198" t="s">
        <v>295</v>
      </c>
      <c r="X118" s="122"/>
      <c r="Y118" s="560">
        <f>SUM(Y99:Y117)</f>
        <v>72</v>
      </c>
      <c r="Z118" s="560">
        <f>+SUMPRODUCT(Z99:Z117,$Y99:$Y117)</f>
        <v>59002</v>
      </c>
      <c r="AA118" s="165">
        <f>+SUMPRODUCT(AA99:AA117,$Y99:$Y117)</f>
        <v>7130.0983113499997</v>
      </c>
      <c r="AB118" s="165">
        <f>SUM(AB99:AB117)</f>
        <v>720672.29511348018</v>
      </c>
      <c r="AC118" s="122"/>
      <c r="AD118" s="198" t="s">
        <v>295</v>
      </c>
      <c r="AE118" s="122"/>
      <c r="AF118" s="560">
        <f>SUM(AF99:AF117)</f>
        <v>72</v>
      </c>
      <c r="AG118" s="560">
        <f>+SUMPRODUCT(AG99:AG117,$AF99:$AF117)</f>
        <v>59002</v>
      </c>
      <c r="AH118" s="165">
        <f>+SUMPRODUCT(AH99:AH117,$AF99:$AF117)</f>
        <v>7130.0983113499997</v>
      </c>
      <c r="AI118" s="165">
        <f>SUM(AI99:AI117)</f>
        <v>738986.57446980011</v>
      </c>
    </row>
    <row r="120" spans="2:35" s="167" customFormat="1" ht="15.75" customHeight="1" x14ac:dyDescent="0.25">
      <c r="B120" s="170" t="s">
        <v>219</v>
      </c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P120" s="170" t="str">
        <f>+$B120</f>
        <v>Year 6</v>
      </c>
      <c r="Q120" s="170"/>
      <c r="R120" s="170"/>
      <c r="S120" s="170"/>
      <c r="T120" s="170"/>
      <c r="U120" s="170"/>
      <c r="W120" s="170" t="str">
        <f>+$B120</f>
        <v>Year 6</v>
      </c>
      <c r="X120" s="170"/>
      <c r="Y120" s="170"/>
      <c r="Z120" s="170"/>
      <c r="AA120" s="170"/>
      <c r="AB120" s="170"/>
      <c r="AD120" s="170" t="str">
        <f>+$B120</f>
        <v>Year 6</v>
      </c>
      <c r="AE120" s="170"/>
      <c r="AF120" s="170"/>
      <c r="AG120" s="170"/>
      <c r="AH120" s="170"/>
      <c r="AI120" s="170"/>
    </row>
    <row r="121" spans="2:35" s="164" customFormat="1" ht="38.25" x14ac:dyDescent="0.2">
      <c r="B121" s="543" t="s">
        <v>61</v>
      </c>
      <c r="C121" s="543" t="s">
        <v>215</v>
      </c>
      <c r="D121" s="543" t="s">
        <v>64</v>
      </c>
      <c r="E121" s="543" t="s">
        <v>231</v>
      </c>
      <c r="F121" s="543" t="s">
        <v>237</v>
      </c>
      <c r="G121" s="544" t="s">
        <v>232</v>
      </c>
      <c r="H121" s="543" t="s">
        <v>240</v>
      </c>
      <c r="I121" s="543" t="s">
        <v>233</v>
      </c>
      <c r="J121" s="543" t="s">
        <v>63</v>
      </c>
      <c r="K121" s="543" t="str">
        <f>+K98</f>
        <v>CoStar Rent</v>
      </c>
      <c r="L121" s="543" t="s">
        <v>62</v>
      </c>
      <c r="M121" s="543" t="s">
        <v>238</v>
      </c>
      <c r="N121" s="543" t="s">
        <v>241</v>
      </c>
      <c r="P121" s="543" t="s">
        <v>61</v>
      </c>
      <c r="Q121" s="543" t="s">
        <v>215</v>
      </c>
      <c r="R121" s="543" t="s">
        <v>64</v>
      </c>
      <c r="S121" s="543" t="s">
        <v>231</v>
      </c>
      <c r="T121" s="543" t="s">
        <v>237</v>
      </c>
      <c r="U121" s="543" t="s">
        <v>151</v>
      </c>
      <c r="W121" s="543" t="s">
        <v>61</v>
      </c>
      <c r="X121" s="543" t="s">
        <v>215</v>
      </c>
      <c r="Y121" s="543" t="s">
        <v>64</v>
      </c>
      <c r="Z121" s="543" t="s">
        <v>231</v>
      </c>
      <c r="AA121" s="543" t="s">
        <v>237</v>
      </c>
      <c r="AB121" s="543" t="s">
        <v>152</v>
      </c>
      <c r="AD121" s="543" t="s">
        <v>61</v>
      </c>
      <c r="AE121" s="543" t="s">
        <v>215</v>
      </c>
      <c r="AF121" s="543" t="s">
        <v>64</v>
      </c>
      <c r="AG121" s="543" t="s">
        <v>231</v>
      </c>
      <c r="AH121" s="543" t="s">
        <v>237</v>
      </c>
      <c r="AI121" s="543" t="s">
        <v>424</v>
      </c>
    </row>
    <row r="122" spans="2:35" s="120" customFormat="1" ht="15.75" customHeight="1" x14ac:dyDescent="0.2">
      <c r="B122" s="551" t="str">
        <f t="shared" ref="B122:C127" si="198">B99</f>
        <v>1x1</v>
      </c>
      <c r="C122" s="552" t="str">
        <f t="shared" si="198"/>
        <v>50% AMI</v>
      </c>
      <c r="D122" s="551">
        <f t="shared" ref="D122:D127" si="199">$D99</f>
        <v>2</v>
      </c>
      <c r="E122" s="553">
        <f t="shared" ref="E122:E127" si="200">E99</f>
        <v>701</v>
      </c>
      <c r="F122" s="554">
        <f>F99*(1+Dashboard!$P$12)</f>
        <v>75.352814829499991</v>
      </c>
      <c r="G122" s="555">
        <f>G99*(1+Dashboard!$P$11)</f>
        <v>754.68742236930007</v>
      </c>
      <c r="H122" s="549">
        <f t="shared" ref="H122:H140" si="201">+G122-F122</f>
        <v>679.33460753980012</v>
      </c>
      <c r="I122" s="556">
        <f>I99*(1+Dashboard!$P$11)</f>
        <v>791.78419274689998</v>
      </c>
      <c r="J122" s="557">
        <f t="shared" ref="J122:J140" si="202">I122-F122</f>
        <v>716.43137791740003</v>
      </c>
      <c r="K122" s="558">
        <f>K99*(1+Dashboard!$P$11)</f>
        <v>0</v>
      </c>
      <c r="L122" s="559">
        <f t="shared" ref="L122:L140" si="203">M122+F122</f>
        <v>686.29025198560009</v>
      </c>
      <c r="M122" s="559">
        <f>M99*(1+Dashboard!$P$11)</f>
        <v>610.93743715610015</v>
      </c>
      <c r="N122" s="548">
        <f t="shared" ref="N122:N140" si="204">((M122*D122)*12)</f>
        <v>14662.498491746403</v>
      </c>
      <c r="P122" s="545" t="str">
        <f t="shared" ref="P122:P127" si="205">B122</f>
        <v>1x1</v>
      </c>
      <c r="Q122" s="545" t="str">
        <f t="shared" ref="Q122:Q140" si="206">C122</f>
        <v>50% AMI</v>
      </c>
      <c r="R122" s="545">
        <f t="shared" ref="R122:R140" si="207">D122</f>
        <v>2</v>
      </c>
      <c r="S122" s="546">
        <f t="shared" ref="S122:S140" si="208">E122</f>
        <v>701</v>
      </c>
      <c r="T122" s="547">
        <f t="shared" ref="T122:T140" si="209">F122</f>
        <v>75.352814829499991</v>
      </c>
      <c r="U122" s="548">
        <f>((M122*R122)*12)</f>
        <v>14662.498491746403</v>
      </c>
      <c r="W122" s="545" t="str">
        <f t="shared" ref="W122:W140" si="210">B122</f>
        <v>1x1</v>
      </c>
      <c r="X122" s="545" t="str">
        <f t="shared" ref="X122:X140" si="211">C122</f>
        <v>50% AMI</v>
      </c>
      <c r="Y122" s="545">
        <f t="shared" ref="Y122:Y140" si="212">D122</f>
        <v>2</v>
      </c>
      <c r="Z122" s="546">
        <f t="shared" ref="Z122:Z140" si="213">E122</f>
        <v>701</v>
      </c>
      <c r="AA122" s="547">
        <f t="shared" ref="AA122:AA140" si="214">F122</f>
        <v>75.352814829499991</v>
      </c>
      <c r="AB122" s="549">
        <f>((H122*Y122)*12)</f>
        <v>16304.030580955203</v>
      </c>
      <c r="AD122" s="545" t="str">
        <f>B122</f>
        <v>1x1</v>
      </c>
      <c r="AE122" s="545" t="str">
        <f t="shared" ref="AE122:AE140" si="215">C122</f>
        <v>50% AMI</v>
      </c>
      <c r="AF122" s="545">
        <f t="shared" ref="AF122:AF140" si="216">D122</f>
        <v>2</v>
      </c>
      <c r="AG122" s="546">
        <f t="shared" ref="AG122:AG140" si="217">E122</f>
        <v>701</v>
      </c>
      <c r="AH122" s="547">
        <f t="shared" ref="AH122:AH140" si="218">F122</f>
        <v>75.352814829499991</v>
      </c>
      <c r="AI122" s="548">
        <f>+MAX(U122,AB122)</f>
        <v>16304.030580955203</v>
      </c>
    </row>
    <row r="123" spans="2:35" s="120" customFormat="1" ht="15.75" customHeight="1" x14ac:dyDescent="0.2">
      <c r="B123" s="551" t="str">
        <f t="shared" si="198"/>
        <v>1x1</v>
      </c>
      <c r="C123" s="552" t="str">
        <f t="shared" si="198"/>
        <v>60% AMI</v>
      </c>
      <c r="D123" s="551">
        <f t="shared" si="199"/>
        <v>0</v>
      </c>
      <c r="E123" s="553">
        <f t="shared" si="200"/>
        <v>701</v>
      </c>
      <c r="F123" s="554">
        <f>F100*(1+Dashboard!$P$12)</f>
        <v>75.352814829499991</v>
      </c>
      <c r="G123" s="555">
        <f>G100*(1+Dashboard!$P$11)</f>
        <v>905.39305202830019</v>
      </c>
      <c r="H123" s="549">
        <f t="shared" si="201"/>
        <v>830.04023719880024</v>
      </c>
      <c r="I123" s="556">
        <f>I100*(1+Dashboard!$P$11)</f>
        <v>791.78419274689998</v>
      </c>
      <c r="J123" s="557">
        <f t="shared" si="202"/>
        <v>716.43137791740003</v>
      </c>
      <c r="K123" s="558">
        <f>K100*(1+Dashboard!$P$11)</f>
        <v>0</v>
      </c>
      <c r="L123" s="559">
        <f t="shared" si="203"/>
        <v>75.352814829499991</v>
      </c>
      <c r="M123" s="559">
        <f>M100*(1+Dashboard!$P$11)</f>
        <v>0</v>
      </c>
      <c r="N123" s="548">
        <f t="shared" si="204"/>
        <v>0</v>
      </c>
      <c r="P123" s="545" t="str">
        <f t="shared" si="205"/>
        <v>1x1</v>
      </c>
      <c r="Q123" s="550" t="str">
        <f t="shared" si="206"/>
        <v>60% AMI</v>
      </c>
      <c r="R123" s="545">
        <f t="shared" si="207"/>
        <v>0</v>
      </c>
      <c r="S123" s="546">
        <f t="shared" si="208"/>
        <v>701</v>
      </c>
      <c r="T123" s="547">
        <f t="shared" si="209"/>
        <v>75.352814829499991</v>
      </c>
      <c r="U123" s="548">
        <f t="shared" ref="U123:U140" si="219">((M123*R123)*12)</f>
        <v>0</v>
      </c>
      <c r="W123" s="545" t="str">
        <f t="shared" si="210"/>
        <v>1x1</v>
      </c>
      <c r="X123" s="550" t="str">
        <f t="shared" si="211"/>
        <v>60% AMI</v>
      </c>
      <c r="Y123" s="545">
        <f t="shared" si="212"/>
        <v>0</v>
      </c>
      <c r="Z123" s="546">
        <f t="shared" si="213"/>
        <v>701</v>
      </c>
      <c r="AA123" s="547">
        <f t="shared" si="214"/>
        <v>75.352814829499991</v>
      </c>
      <c r="AB123" s="549">
        <f t="shared" ref="AB123" si="220">((H123*Y123)*12)</f>
        <v>0</v>
      </c>
      <c r="AD123" s="545" t="str">
        <f t="shared" ref="AD123:AD140" si="221">B123</f>
        <v>1x1</v>
      </c>
      <c r="AE123" s="550" t="str">
        <f t="shared" si="215"/>
        <v>60% AMI</v>
      </c>
      <c r="AF123" s="545">
        <f t="shared" si="216"/>
        <v>0</v>
      </c>
      <c r="AG123" s="546">
        <f t="shared" si="217"/>
        <v>701</v>
      </c>
      <c r="AH123" s="547">
        <f t="shared" si="218"/>
        <v>75.352814829499991</v>
      </c>
      <c r="AI123" s="548">
        <f t="shared" ref="AI123:AI140" si="222">+MAX(U123,AB123)</f>
        <v>0</v>
      </c>
    </row>
    <row r="124" spans="2:35" s="120" customFormat="1" ht="15.75" customHeight="1" x14ac:dyDescent="0.2">
      <c r="B124" s="551" t="str">
        <f t="shared" si="198"/>
        <v>1x1</v>
      </c>
      <c r="C124" s="552" t="str">
        <f t="shared" si="198"/>
        <v>Market</v>
      </c>
      <c r="D124" s="551">
        <f t="shared" si="199"/>
        <v>1</v>
      </c>
      <c r="E124" s="553">
        <f t="shared" si="200"/>
        <v>701</v>
      </c>
      <c r="F124" s="554">
        <f>F101*(1+Dashboard!$P$12)</f>
        <v>0</v>
      </c>
      <c r="G124" s="555">
        <f>G101*(1+Dashboard!$P$11)</f>
        <v>0</v>
      </c>
      <c r="H124" s="549">
        <f t="shared" si="201"/>
        <v>0</v>
      </c>
      <c r="I124" s="556">
        <f>I101*(1+Dashboard!$P$11)</f>
        <v>791.78419274689998</v>
      </c>
      <c r="J124" s="557">
        <f t="shared" si="202"/>
        <v>791.78419274689998</v>
      </c>
      <c r="K124" s="558">
        <f>K101*(1+Dashboard!$P$11)</f>
        <v>0</v>
      </c>
      <c r="L124" s="559">
        <f t="shared" si="203"/>
        <v>687.44952605990011</v>
      </c>
      <c r="M124" s="559">
        <f>M101*(1+Dashboard!$P$11)</f>
        <v>687.44952605990011</v>
      </c>
      <c r="N124" s="548">
        <f t="shared" si="204"/>
        <v>8249.3943127188013</v>
      </c>
      <c r="P124" s="545" t="str">
        <f t="shared" si="205"/>
        <v>1x1</v>
      </c>
      <c r="Q124" s="550" t="str">
        <f t="shared" si="206"/>
        <v>Market</v>
      </c>
      <c r="R124" s="545">
        <f t="shared" si="207"/>
        <v>1</v>
      </c>
      <c r="S124" s="546">
        <f t="shared" si="208"/>
        <v>701</v>
      </c>
      <c r="T124" s="547">
        <f t="shared" si="209"/>
        <v>0</v>
      </c>
      <c r="U124" s="548">
        <f t="shared" si="219"/>
        <v>8249.3943127188013</v>
      </c>
      <c r="W124" s="545" t="str">
        <f t="shared" si="210"/>
        <v>1x1</v>
      </c>
      <c r="X124" s="550" t="str">
        <f t="shared" si="211"/>
        <v>Market</v>
      </c>
      <c r="Y124" s="545">
        <f t="shared" si="212"/>
        <v>1</v>
      </c>
      <c r="Z124" s="546">
        <f t="shared" si="213"/>
        <v>701</v>
      </c>
      <c r="AA124" s="547">
        <f t="shared" si="214"/>
        <v>0</v>
      </c>
      <c r="AB124" s="549">
        <f>((H124*Y124)*12)</f>
        <v>0</v>
      </c>
      <c r="AD124" s="545" t="str">
        <f t="shared" si="221"/>
        <v>1x1</v>
      </c>
      <c r="AE124" s="550" t="str">
        <f t="shared" si="215"/>
        <v>Market</v>
      </c>
      <c r="AF124" s="545">
        <f t="shared" si="216"/>
        <v>1</v>
      </c>
      <c r="AG124" s="546">
        <f t="shared" si="217"/>
        <v>701</v>
      </c>
      <c r="AH124" s="547">
        <f t="shared" si="218"/>
        <v>0</v>
      </c>
      <c r="AI124" s="548">
        <f t="shared" si="222"/>
        <v>8249.3943127188013</v>
      </c>
    </row>
    <row r="125" spans="2:35" s="120" customFormat="1" ht="15.75" customHeight="1" x14ac:dyDescent="0.2">
      <c r="B125" s="551" t="str">
        <f t="shared" si="198"/>
        <v>1x1</v>
      </c>
      <c r="C125" s="552" t="str">
        <f t="shared" si="198"/>
        <v>S8 Voucher</v>
      </c>
      <c r="D125" s="551">
        <f t="shared" si="199"/>
        <v>3</v>
      </c>
      <c r="E125" s="553">
        <f t="shared" si="200"/>
        <v>701</v>
      </c>
      <c r="F125" s="554">
        <f>F102*(1+Dashboard!$P$12)</f>
        <v>75.352814829499991</v>
      </c>
      <c r="G125" s="555">
        <f>G102*(1+Dashboard!$P$11)</f>
        <v>905.39305202830019</v>
      </c>
      <c r="H125" s="549">
        <f t="shared" si="201"/>
        <v>830.04023719880024</v>
      </c>
      <c r="I125" s="556">
        <f>I102*(1+Dashboard!$P$11)</f>
        <v>791.78419274689998</v>
      </c>
      <c r="J125" s="557">
        <f t="shared" si="202"/>
        <v>716.43137791740003</v>
      </c>
      <c r="K125" s="558">
        <f>K102*(1+Dashboard!$P$11)</f>
        <v>0</v>
      </c>
      <c r="L125" s="559">
        <f t="shared" si="203"/>
        <v>681.65315568840003</v>
      </c>
      <c r="M125" s="559">
        <f>M102*(1+Dashboard!$P$11)</f>
        <v>606.30034085890009</v>
      </c>
      <c r="N125" s="548">
        <f t="shared" si="204"/>
        <v>21826.812270920404</v>
      </c>
      <c r="P125" s="545" t="str">
        <f t="shared" si="205"/>
        <v>1x1</v>
      </c>
      <c r="Q125" s="550" t="str">
        <f t="shared" si="206"/>
        <v>S8 Voucher</v>
      </c>
      <c r="R125" s="545">
        <f t="shared" si="207"/>
        <v>3</v>
      </c>
      <c r="S125" s="546">
        <f t="shared" si="208"/>
        <v>701</v>
      </c>
      <c r="T125" s="547">
        <f t="shared" si="209"/>
        <v>75.352814829499991</v>
      </c>
      <c r="U125" s="548">
        <f t="shared" si="219"/>
        <v>21826.812270920404</v>
      </c>
      <c r="W125" s="545" t="str">
        <f t="shared" si="210"/>
        <v>1x1</v>
      </c>
      <c r="X125" s="550" t="str">
        <f t="shared" si="211"/>
        <v>S8 Voucher</v>
      </c>
      <c r="Y125" s="545">
        <f t="shared" si="212"/>
        <v>3</v>
      </c>
      <c r="Z125" s="546">
        <f t="shared" si="213"/>
        <v>701</v>
      </c>
      <c r="AA125" s="547">
        <f t="shared" si="214"/>
        <v>75.352814829499991</v>
      </c>
      <c r="AB125" s="549">
        <f t="shared" ref="AB125:AB126" si="223">((H125*Y125)*12)</f>
        <v>29881.448539156809</v>
      </c>
      <c r="AD125" s="545" t="str">
        <f t="shared" si="221"/>
        <v>1x1</v>
      </c>
      <c r="AE125" s="550" t="str">
        <f t="shared" si="215"/>
        <v>S8 Voucher</v>
      </c>
      <c r="AF125" s="545">
        <f t="shared" si="216"/>
        <v>3</v>
      </c>
      <c r="AG125" s="546">
        <f t="shared" si="217"/>
        <v>701</v>
      </c>
      <c r="AH125" s="547">
        <f t="shared" si="218"/>
        <v>75.352814829499991</v>
      </c>
      <c r="AI125" s="548">
        <f t="shared" si="222"/>
        <v>29881.448539156809</v>
      </c>
    </row>
    <row r="126" spans="2:35" s="120" customFormat="1" ht="15.75" customHeight="1" x14ac:dyDescent="0.2">
      <c r="B126" s="551" t="str">
        <f t="shared" si="198"/>
        <v>2x1.5</v>
      </c>
      <c r="C126" s="552" t="str">
        <f t="shared" si="198"/>
        <v>40% AMI</v>
      </c>
      <c r="D126" s="551">
        <f t="shared" si="199"/>
        <v>1</v>
      </c>
      <c r="E126" s="553">
        <f t="shared" si="200"/>
        <v>940</v>
      </c>
      <c r="F126" s="554">
        <f>F103*(1+Dashboard!$P$12)</f>
        <v>99.697570389800006</v>
      </c>
      <c r="G126" s="555">
        <f>G103*(1+Dashboard!$P$11)</f>
        <v>624.8487260477001</v>
      </c>
      <c r="H126" s="549">
        <f t="shared" si="201"/>
        <v>525.15115565790006</v>
      </c>
      <c r="I126" s="556">
        <f>I103*(1+Dashboard!$P$11)</f>
        <v>901.91522980540014</v>
      </c>
      <c r="J126" s="557">
        <f t="shared" si="202"/>
        <v>802.21765941560011</v>
      </c>
      <c r="K126" s="558">
        <f>K103*(1+Dashboard!$P$11)</f>
        <v>0</v>
      </c>
      <c r="L126" s="559">
        <f t="shared" si="203"/>
        <v>638.76001493930005</v>
      </c>
      <c r="M126" s="559">
        <f>M103*(1+Dashboard!$P$11)</f>
        <v>539.06244454950001</v>
      </c>
      <c r="N126" s="548">
        <f t="shared" si="204"/>
        <v>6468.7493345940002</v>
      </c>
      <c r="P126" s="545" t="str">
        <f t="shared" si="205"/>
        <v>2x1.5</v>
      </c>
      <c r="Q126" s="550" t="str">
        <f t="shared" si="206"/>
        <v>40% AMI</v>
      </c>
      <c r="R126" s="545">
        <f t="shared" si="207"/>
        <v>1</v>
      </c>
      <c r="S126" s="546">
        <f t="shared" si="208"/>
        <v>940</v>
      </c>
      <c r="T126" s="547">
        <f t="shared" si="209"/>
        <v>99.697570389800006</v>
      </c>
      <c r="U126" s="548">
        <f t="shared" si="219"/>
        <v>6468.7493345940002</v>
      </c>
      <c r="W126" s="545" t="str">
        <f t="shared" si="210"/>
        <v>2x1.5</v>
      </c>
      <c r="X126" s="550" t="str">
        <f t="shared" si="211"/>
        <v>40% AMI</v>
      </c>
      <c r="Y126" s="545">
        <f t="shared" si="212"/>
        <v>1</v>
      </c>
      <c r="Z126" s="546">
        <f t="shared" si="213"/>
        <v>940</v>
      </c>
      <c r="AA126" s="547">
        <f t="shared" si="214"/>
        <v>99.697570389800006</v>
      </c>
      <c r="AB126" s="549">
        <f t="shared" si="223"/>
        <v>6301.8138678948008</v>
      </c>
      <c r="AD126" s="545" t="str">
        <f t="shared" si="221"/>
        <v>2x1.5</v>
      </c>
      <c r="AE126" s="550" t="str">
        <f t="shared" si="215"/>
        <v>40% AMI</v>
      </c>
      <c r="AF126" s="545">
        <f t="shared" si="216"/>
        <v>1</v>
      </c>
      <c r="AG126" s="546">
        <f t="shared" si="217"/>
        <v>940</v>
      </c>
      <c r="AH126" s="547">
        <f t="shared" si="218"/>
        <v>99.697570389800006</v>
      </c>
      <c r="AI126" s="548">
        <f t="shared" si="222"/>
        <v>6468.7493345940002</v>
      </c>
    </row>
    <row r="127" spans="2:35" s="120" customFormat="1" ht="15.75" customHeight="1" x14ac:dyDescent="0.2">
      <c r="B127" s="551" t="str">
        <f t="shared" si="198"/>
        <v>2x1.5</v>
      </c>
      <c r="C127" s="552" t="str">
        <f t="shared" si="198"/>
        <v>50% AMI</v>
      </c>
      <c r="D127" s="551">
        <f t="shared" si="199"/>
        <v>3</v>
      </c>
      <c r="E127" s="553">
        <f t="shared" si="200"/>
        <v>990</v>
      </c>
      <c r="F127" s="554">
        <f>F104*(1+Dashboard!$P$12)</f>
        <v>99.697570389800006</v>
      </c>
      <c r="G127" s="555">
        <f>G104*(1+Dashboard!$P$11)</f>
        <v>805.69548163850004</v>
      </c>
      <c r="H127" s="549">
        <f t="shared" si="201"/>
        <v>705.99791124870001</v>
      </c>
      <c r="I127" s="556">
        <f>I104*(1+Dashboard!$P$11)</f>
        <v>901.91522980540014</v>
      </c>
      <c r="J127" s="557">
        <f t="shared" si="202"/>
        <v>802.21765941560011</v>
      </c>
      <c r="K127" s="558">
        <f>K104*(1+Dashboard!$P$11)</f>
        <v>0</v>
      </c>
      <c r="L127" s="559">
        <f t="shared" si="203"/>
        <v>772.07653348380006</v>
      </c>
      <c r="M127" s="559">
        <f>M104*(1+Dashboard!$P$11)</f>
        <v>672.37896309400003</v>
      </c>
      <c r="N127" s="548">
        <f t="shared" si="204"/>
        <v>24205.642671384001</v>
      </c>
      <c r="P127" s="545" t="str">
        <f t="shared" si="205"/>
        <v>2x1.5</v>
      </c>
      <c r="Q127" s="550" t="str">
        <f t="shared" si="206"/>
        <v>50% AMI</v>
      </c>
      <c r="R127" s="545">
        <f t="shared" si="207"/>
        <v>3</v>
      </c>
      <c r="S127" s="546">
        <f t="shared" si="208"/>
        <v>990</v>
      </c>
      <c r="T127" s="547">
        <f t="shared" si="209"/>
        <v>99.697570389800006</v>
      </c>
      <c r="U127" s="548">
        <f t="shared" si="219"/>
        <v>24205.642671384001</v>
      </c>
      <c r="W127" s="545" t="str">
        <f t="shared" si="210"/>
        <v>2x1.5</v>
      </c>
      <c r="X127" s="550" t="str">
        <f t="shared" si="211"/>
        <v>50% AMI</v>
      </c>
      <c r="Y127" s="545">
        <f t="shared" si="212"/>
        <v>3</v>
      </c>
      <c r="Z127" s="546">
        <f t="shared" si="213"/>
        <v>990</v>
      </c>
      <c r="AA127" s="547">
        <f t="shared" si="214"/>
        <v>99.697570389800006</v>
      </c>
      <c r="AB127" s="549">
        <f>((H127*Y127)*12)</f>
        <v>25415.924804953203</v>
      </c>
      <c r="AD127" s="545" t="str">
        <f t="shared" si="221"/>
        <v>2x1.5</v>
      </c>
      <c r="AE127" s="550" t="str">
        <f t="shared" si="215"/>
        <v>50% AMI</v>
      </c>
      <c r="AF127" s="545">
        <f t="shared" si="216"/>
        <v>3</v>
      </c>
      <c r="AG127" s="546">
        <f t="shared" si="217"/>
        <v>990</v>
      </c>
      <c r="AH127" s="547">
        <f t="shared" si="218"/>
        <v>99.697570389800006</v>
      </c>
      <c r="AI127" s="548">
        <f t="shared" si="222"/>
        <v>25415.924804953203</v>
      </c>
    </row>
    <row r="128" spans="2:35" s="120" customFormat="1" ht="15.75" customHeight="1" x14ac:dyDescent="0.2">
      <c r="B128" s="551" t="str">
        <f t="shared" ref="B128:C128" si="224">B105</f>
        <v>2x1.5</v>
      </c>
      <c r="C128" s="552" t="str">
        <f t="shared" si="224"/>
        <v>60% AMI</v>
      </c>
      <c r="D128" s="551">
        <f t="shared" ref="D128:D140" si="225">$D105</f>
        <v>2</v>
      </c>
      <c r="E128" s="553">
        <f t="shared" ref="E128:E140" si="226">E105</f>
        <v>980</v>
      </c>
      <c r="F128" s="554">
        <f>F105*(1+Dashboard!$P$12)</f>
        <v>99.697570389800006</v>
      </c>
      <c r="G128" s="555">
        <f>G105*(1+Dashboard!$P$11)</f>
        <v>986.54223722930021</v>
      </c>
      <c r="H128" s="549">
        <f t="shared" si="201"/>
        <v>886.84466683950018</v>
      </c>
      <c r="I128" s="556">
        <f>I105*(1+Dashboard!$P$11)</f>
        <v>901.91522980540014</v>
      </c>
      <c r="J128" s="557">
        <f t="shared" si="202"/>
        <v>802.21765941560011</v>
      </c>
      <c r="K128" s="558">
        <f>K105*(1+Dashboard!$P$11)</f>
        <v>0</v>
      </c>
      <c r="L128" s="559">
        <f t="shared" si="203"/>
        <v>843.95152609040019</v>
      </c>
      <c r="M128" s="559">
        <f>M105*(1+Dashboard!$P$11)</f>
        <v>744.25395570060016</v>
      </c>
      <c r="N128" s="548">
        <f t="shared" si="204"/>
        <v>17862.094936814403</v>
      </c>
      <c r="P128" s="545" t="str">
        <f>B128</f>
        <v>2x1.5</v>
      </c>
      <c r="Q128" s="550" t="str">
        <f t="shared" si="206"/>
        <v>60% AMI</v>
      </c>
      <c r="R128" s="545">
        <f t="shared" si="207"/>
        <v>2</v>
      </c>
      <c r="S128" s="546">
        <f t="shared" si="208"/>
        <v>980</v>
      </c>
      <c r="T128" s="547">
        <f t="shared" si="209"/>
        <v>99.697570389800006</v>
      </c>
      <c r="U128" s="548">
        <f t="shared" si="219"/>
        <v>17862.094936814403</v>
      </c>
      <c r="W128" s="545" t="str">
        <f t="shared" si="210"/>
        <v>2x1.5</v>
      </c>
      <c r="X128" s="550" t="str">
        <f t="shared" si="211"/>
        <v>60% AMI</v>
      </c>
      <c r="Y128" s="545">
        <f t="shared" si="212"/>
        <v>2</v>
      </c>
      <c r="Z128" s="546">
        <f t="shared" si="213"/>
        <v>980</v>
      </c>
      <c r="AA128" s="547">
        <f t="shared" si="214"/>
        <v>99.697570389800006</v>
      </c>
      <c r="AB128" s="549">
        <f t="shared" ref="AB128:AB140" si="227">((H128*Y128)*12)</f>
        <v>21284.272004148006</v>
      </c>
      <c r="AD128" s="545" t="str">
        <f t="shared" si="221"/>
        <v>2x1.5</v>
      </c>
      <c r="AE128" s="550" t="str">
        <f t="shared" si="215"/>
        <v>60% AMI</v>
      </c>
      <c r="AF128" s="545">
        <f t="shared" si="216"/>
        <v>2</v>
      </c>
      <c r="AG128" s="546">
        <f t="shared" si="217"/>
        <v>980</v>
      </c>
      <c r="AH128" s="547">
        <f t="shared" si="218"/>
        <v>99.697570389800006</v>
      </c>
      <c r="AI128" s="548">
        <f t="shared" si="222"/>
        <v>21284.272004148006</v>
      </c>
    </row>
    <row r="129" spans="2:35" s="120" customFormat="1" ht="15.75" customHeight="1" x14ac:dyDescent="0.2">
      <c r="B129" s="551" t="str">
        <f t="shared" ref="B129:C129" si="228">B106</f>
        <v>2x2</v>
      </c>
      <c r="C129" s="552" t="str">
        <f t="shared" si="228"/>
        <v>50% AMI</v>
      </c>
      <c r="D129" s="551">
        <f t="shared" si="225"/>
        <v>1</v>
      </c>
      <c r="E129" s="553">
        <f t="shared" si="226"/>
        <v>968</v>
      </c>
      <c r="F129" s="554">
        <f>F106*(1+Dashboard!$P$12)</f>
        <v>99.697570389800006</v>
      </c>
      <c r="G129" s="555">
        <f>G106*(1+Dashboard!$P$11)</f>
        <v>805.69548163850004</v>
      </c>
      <c r="H129" s="549">
        <f t="shared" si="201"/>
        <v>705.99791124870001</v>
      </c>
      <c r="I129" s="556">
        <f>I106*(1+Dashboard!$P$11)</f>
        <v>901.91522980540014</v>
      </c>
      <c r="J129" s="557">
        <f t="shared" si="202"/>
        <v>802.21765941560011</v>
      </c>
      <c r="K129" s="558">
        <f>K106*(1+Dashboard!$P$11)</f>
        <v>0</v>
      </c>
      <c r="L129" s="559">
        <f t="shared" si="203"/>
        <v>806.85475571280028</v>
      </c>
      <c r="M129" s="559">
        <f>M106*(1+Dashboard!$P$11)</f>
        <v>707.15718532300025</v>
      </c>
      <c r="N129" s="548">
        <f t="shared" si="204"/>
        <v>8485.886223876003</v>
      </c>
      <c r="P129" s="545" t="str">
        <f t="shared" ref="P129:P140" si="229">B129</f>
        <v>2x2</v>
      </c>
      <c r="Q129" s="550" t="str">
        <f t="shared" si="206"/>
        <v>50% AMI</v>
      </c>
      <c r="R129" s="545">
        <f t="shared" si="207"/>
        <v>1</v>
      </c>
      <c r="S129" s="546">
        <f t="shared" si="208"/>
        <v>968</v>
      </c>
      <c r="T129" s="547">
        <f t="shared" si="209"/>
        <v>99.697570389800006</v>
      </c>
      <c r="U129" s="548">
        <f t="shared" si="219"/>
        <v>8485.886223876003</v>
      </c>
      <c r="W129" s="545" t="str">
        <f t="shared" si="210"/>
        <v>2x2</v>
      </c>
      <c r="X129" s="550" t="str">
        <f t="shared" si="211"/>
        <v>50% AMI</v>
      </c>
      <c r="Y129" s="545">
        <f t="shared" si="212"/>
        <v>1</v>
      </c>
      <c r="Z129" s="546">
        <f t="shared" si="213"/>
        <v>968</v>
      </c>
      <c r="AA129" s="547">
        <f t="shared" si="214"/>
        <v>99.697570389800006</v>
      </c>
      <c r="AB129" s="549">
        <f t="shared" si="227"/>
        <v>8471.9749349844005</v>
      </c>
      <c r="AD129" s="545" t="str">
        <f t="shared" si="221"/>
        <v>2x2</v>
      </c>
      <c r="AE129" s="550" t="str">
        <f t="shared" si="215"/>
        <v>50% AMI</v>
      </c>
      <c r="AF129" s="545">
        <f t="shared" si="216"/>
        <v>1</v>
      </c>
      <c r="AG129" s="546">
        <f t="shared" si="217"/>
        <v>968</v>
      </c>
      <c r="AH129" s="547">
        <f t="shared" si="218"/>
        <v>99.697570389800006</v>
      </c>
      <c r="AI129" s="548">
        <f t="shared" si="222"/>
        <v>8485.886223876003</v>
      </c>
    </row>
    <row r="130" spans="2:35" s="120" customFormat="1" ht="15.75" customHeight="1" x14ac:dyDescent="0.2">
      <c r="B130" s="551" t="str">
        <f t="shared" ref="B130:C130" si="230">B107</f>
        <v>2x2</v>
      </c>
      <c r="C130" s="552" t="str">
        <f t="shared" si="230"/>
        <v>60% AMI</v>
      </c>
      <c r="D130" s="551">
        <f t="shared" si="225"/>
        <v>2</v>
      </c>
      <c r="E130" s="553">
        <f t="shared" si="226"/>
        <v>968</v>
      </c>
      <c r="F130" s="554">
        <f>F107*(1+Dashboard!$P$12)</f>
        <v>99.697570389800006</v>
      </c>
      <c r="G130" s="555">
        <f>G107*(1+Dashboard!$P$11)</f>
        <v>986.54223722930021</v>
      </c>
      <c r="H130" s="549">
        <f t="shared" si="201"/>
        <v>886.84466683950018</v>
      </c>
      <c r="I130" s="556">
        <f>I107*(1+Dashboard!$P$11)</f>
        <v>901.91522980540014</v>
      </c>
      <c r="J130" s="557">
        <f t="shared" si="202"/>
        <v>802.21765941560011</v>
      </c>
      <c r="K130" s="558">
        <f>K107*(1+Dashboard!$P$11)</f>
        <v>0</v>
      </c>
      <c r="L130" s="559">
        <f t="shared" si="203"/>
        <v>835.83660757030009</v>
      </c>
      <c r="M130" s="559">
        <f>M107*(1+Dashboard!$P$11)</f>
        <v>736.13903718050005</v>
      </c>
      <c r="N130" s="548">
        <f t="shared" si="204"/>
        <v>17667.336892332001</v>
      </c>
      <c r="P130" s="545" t="str">
        <f t="shared" si="229"/>
        <v>2x2</v>
      </c>
      <c r="Q130" s="550" t="str">
        <f t="shared" si="206"/>
        <v>60% AMI</v>
      </c>
      <c r="R130" s="545">
        <f t="shared" si="207"/>
        <v>2</v>
      </c>
      <c r="S130" s="546">
        <f t="shared" si="208"/>
        <v>968</v>
      </c>
      <c r="T130" s="547">
        <f t="shared" si="209"/>
        <v>99.697570389800006</v>
      </c>
      <c r="U130" s="548">
        <f t="shared" si="219"/>
        <v>17667.336892332001</v>
      </c>
      <c r="W130" s="545" t="str">
        <f t="shared" si="210"/>
        <v>2x2</v>
      </c>
      <c r="X130" s="550" t="str">
        <f t="shared" si="211"/>
        <v>60% AMI</v>
      </c>
      <c r="Y130" s="545">
        <f t="shared" si="212"/>
        <v>2</v>
      </c>
      <c r="Z130" s="546">
        <f t="shared" si="213"/>
        <v>968</v>
      </c>
      <c r="AA130" s="547">
        <f t="shared" si="214"/>
        <v>99.697570389800006</v>
      </c>
      <c r="AB130" s="549">
        <f t="shared" si="227"/>
        <v>21284.272004148006</v>
      </c>
      <c r="AD130" s="545" t="str">
        <f t="shared" si="221"/>
        <v>2x2</v>
      </c>
      <c r="AE130" s="550" t="str">
        <f t="shared" si="215"/>
        <v>60% AMI</v>
      </c>
      <c r="AF130" s="545">
        <f t="shared" si="216"/>
        <v>2</v>
      </c>
      <c r="AG130" s="546">
        <f t="shared" si="217"/>
        <v>968</v>
      </c>
      <c r="AH130" s="547">
        <f t="shared" si="218"/>
        <v>99.697570389800006</v>
      </c>
      <c r="AI130" s="548">
        <f t="shared" si="222"/>
        <v>21284.272004148006</v>
      </c>
    </row>
    <row r="131" spans="2:35" s="120" customFormat="1" ht="15.75" customHeight="1" x14ac:dyDescent="0.2">
      <c r="B131" s="551" t="str">
        <f t="shared" ref="B131:C131" si="231">B108</f>
        <v>2x2</v>
      </c>
      <c r="C131" s="552" t="str">
        <f t="shared" si="231"/>
        <v>Market</v>
      </c>
      <c r="D131" s="551">
        <f t="shared" si="225"/>
        <v>0</v>
      </c>
      <c r="E131" s="553">
        <f t="shared" si="226"/>
        <v>968</v>
      </c>
      <c r="F131" s="554">
        <f>F108*(1+Dashboard!$P$12)</f>
        <v>0</v>
      </c>
      <c r="G131" s="555">
        <f>G108*(1+Dashboard!$P$11)</f>
        <v>0</v>
      </c>
      <c r="H131" s="549">
        <f t="shared" si="201"/>
        <v>0</v>
      </c>
      <c r="I131" s="556">
        <f>I108*(1+Dashboard!$P$11)</f>
        <v>901.91522980540014</v>
      </c>
      <c r="J131" s="557">
        <f t="shared" si="202"/>
        <v>901.91522980540014</v>
      </c>
      <c r="K131" s="558">
        <f>K108*(1+Dashboard!$P$11)</f>
        <v>0</v>
      </c>
      <c r="L131" s="559">
        <f t="shared" si="203"/>
        <v>0</v>
      </c>
      <c r="M131" s="559">
        <f>M108*(1+Dashboard!$P$11)</f>
        <v>0</v>
      </c>
      <c r="N131" s="548">
        <f t="shared" si="204"/>
        <v>0</v>
      </c>
      <c r="P131" s="545" t="str">
        <f t="shared" si="229"/>
        <v>2x2</v>
      </c>
      <c r="Q131" s="550" t="str">
        <f t="shared" si="206"/>
        <v>Market</v>
      </c>
      <c r="R131" s="545">
        <f t="shared" si="207"/>
        <v>0</v>
      </c>
      <c r="S131" s="546">
        <f t="shared" si="208"/>
        <v>968</v>
      </c>
      <c r="T131" s="547">
        <f t="shared" si="209"/>
        <v>0</v>
      </c>
      <c r="U131" s="548">
        <f t="shared" si="219"/>
        <v>0</v>
      </c>
      <c r="W131" s="545" t="str">
        <f t="shared" si="210"/>
        <v>2x2</v>
      </c>
      <c r="X131" s="550" t="str">
        <f t="shared" si="211"/>
        <v>Market</v>
      </c>
      <c r="Y131" s="545">
        <f t="shared" si="212"/>
        <v>0</v>
      </c>
      <c r="Z131" s="546">
        <f t="shared" si="213"/>
        <v>968</v>
      </c>
      <c r="AA131" s="547">
        <f t="shared" si="214"/>
        <v>0</v>
      </c>
      <c r="AB131" s="549">
        <f t="shared" si="227"/>
        <v>0</v>
      </c>
      <c r="AD131" s="545" t="str">
        <f t="shared" si="221"/>
        <v>2x2</v>
      </c>
      <c r="AE131" s="550" t="str">
        <f t="shared" si="215"/>
        <v>Market</v>
      </c>
      <c r="AF131" s="545">
        <f t="shared" si="216"/>
        <v>0</v>
      </c>
      <c r="AG131" s="546">
        <f t="shared" si="217"/>
        <v>968</v>
      </c>
      <c r="AH131" s="547">
        <f t="shared" si="218"/>
        <v>0</v>
      </c>
      <c r="AI131" s="548">
        <f t="shared" si="222"/>
        <v>0</v>
      </c>
    </row>
    <row r="132" spans="2:35" s="120" customFormat="1" ht="15.75" customHeight="1" x14ac:dyDescent="0.2">
      <c r="B132" s="551" t="str">
        <f t="shared" ref="B132:C132" si="232">B109</f>
        <v>2x2 (TH)</v>
      </c>
      <c r="C132" s="552" t="str">
        <f t="shared" si="232"/>
        <v>40% AMI</v>
      </c>
      <c r="D132" s="551">
        <f t="shared" si="225"/>
        <v>1</v>
      </c>
      <c r="E132" s="553">
        <f t="shared" si="226"/>
        <v>1058</v>
      </c>
      <c r="F132" s="554">
        <f>F109*(1+Dashboard!$P$12)</f>
        <v>99.697570389800006</v>
      </c>
      <c r="G132" s="555">
        <f>G109*(1+Dashboard!$P$11)</f>
        <v>624.8487260477001</v>
      </c>
      <c r="H132" s="549">
        <f t="shared" si="201"/>
        <v>525.15115565790006</v>
      </c>
      <c r="I132" s="556">
        <f>I109*(1+Dashboard!$P$11)</f>
        <v>901.91522980540014</v>
      </c>
      <c r="J132" s="557">
        <f t="shared" si="202"/>
        <v>802.21765941560011</v>
      </c>
      <c r="K132" s="558">
        <f>K109*(1+Dashboard!$P$11)</f>
        <v>0</v>
      </c>
      <c r="L132" s="559">
        <f t="shared" si="203"/>
        <v>621.37090382480017</v>
      </c>
      <c r="M132" s="559">
        <f>M109*(1+Dashboard!$P$11)</f>
        <v>521.67333343500013</v>
      </c>
      <c r="N132" s="548">
        <f t="shared" si="204"/>
        <v>6260.0800012200016</v>
      </c>
      <c r="P132" s="545" t="str">
        <f t="shared" si="229"/>
        <v>2x2 (TH)</v>
      </c>
      <c r="Q132" s="550" t="str">
        <f t="shared" si="206"/>
        <v>40% AMI</v>
      </c>
      <c r="R132" s="545">
        <f t="shared" si="207"/>
        <v>1</v>
      </c>
      <c r="S132" s="546">
        <f t="shared" si="208"/>
        <v>1058</v>
      </c>
      <c r="T132" s="547">
        <f t="shared" si="209"/>
        <v>99.697570389800006</v>
      </c>
      <c r="U132" s="548">
        <f t="shared" si="219"/>
        <v>6260.0800012200016</v>
      </c>
      <c r="W132" s="545" t="str">
        <f t="shared" si="210"/>
        <v>2x2 (TH)</v>
      </c>
      <c r="X132" s="550" t="str">
        <f t="shared" si="211"/>
        <v>40% AMI</v>
      </c>
      <c r="Y132" s="545">
        <f t="shared" si="212"/>
        <v>1</v>
      </c>
      <c r="Z132" s="546">
        <f t="shared" si="213"/>
        <v>1058</v>
      </c>
      <c r="AA132" s="547">
        <f t="shared" si="214"/>
        <v>99.697570389800006</v>
      </c>
      <c r="AB132" s="549">
        <f t="shared" si="227"/>
        <v>6301.8138678948008</v>
      </c>
      <c r="AD132" s="545" t="str">
        <f t="shared" si="221"/>
        <v>2x2 (TH)</v>
      </c>
      <c r="AE132" s="550" t="str">
        <f t="shared" si="215"/>
        <v>40% AMI</v>
      </c>
      <c r="AF132" s="545">
        <f t="shared" si="216"/>
        <v>1</v>
      </c>
      <c r="AG132" s="546">
        <f t="shared" si="217"/>
        <v>1058</v>
      </c>
      <c r="AH132" s="547">
        <f t="shared" si="218"/>
        <v>99.697570389800006</v>
      </c>
      <c r="AI132" s="548">
        <f t="shared" si="222"/>
        <v>6301.8138678948008</v>
      </c>
    </row>
    <row r="133" spans="2:35" s="120" customFormat="1" ht="15.75" customHeight="1" x14ac:dyDescent="0.2">
      <c r="B133" s="551" t="str">
        <f t="shared" ref="B133:C133" si="233">B110</f>
        <v>2x2 (TH)</v>
      </c>
      <c r="C133" s="552" t="str">
        <f t="shared" si="233"/>
        <v>50% AMI</v>
      </c>
      <c r="D133" s="551">
        <f t="shared" si="225"/>
        <v>1</v>
      </c>
      <c r="E133" s="553">
        <f t="shared" si="226"/>
        <v>1058</v>
      </c>
      <c r="F133" s="554">
        <f>F110*(1+Dashboard!$P$12)</f>
        <v>99.697570389800006</v>
      </c>
      <c r="G133" s="555">
        <f>G110*(1+Dashboard!$P$11)</f>
        <v>805.69548163850004</v>
      </c>
      <c r="H133" s="549">
        <f t="shared" si="201"/>
        <v>705.99791124870001</v>
      </c>
      <c r="I133" s="556">
        <f>I110*(1+Dashboard!$P$11)</f>
        <v>901.91522980540014</v>
      </c>
      <c r="J133" s="557">
        <f t="shared" si="202"/>
        <v>802.21765941560011</v>
      </c>
      <c r="K133" s="558">
        <f>K110*(1+Dashboard!$P$11)</f>
        <v>0</v>
      </c>
      <c r="L133" s="559">
        <f t="shared" si="203"/>
        <v>169.25401484780002</v>
      </c>
      <c r="M133" s="559">
        <f>M110*(1+Dashboard!$P$11)</f>
        <v>69.556444458000001</v>
      </c>
      <c r="N133" s="548">
        <f t="shared" si="204"/>
        <v>834.67733349600007</v>
      </c>
      <c r="P133" s="545" t="str">
        <f t="shared" si="229"/>
        <v>2x2 (TH)</v>
      </c>
      <c r="Q133" s="550" t="str">
        <f t="shared" si="206"/>
        <v>50% AMI</v>
      </c>
      <c r="R133" s="545">
        <f t="shared" si="207"/>
        <v>1</v>
      </c>
      <c r="S133" s="546">
        <f t="shared" si="208"/>
        <v>1058</v>
      </c>
      <c r="T133" s="547">
        <f t="shared" si="209"/>
        <v>99.697570389800006</v>
      </c>
      <c r="U133" s="548">
        <f t="shared" si="219"/>
        <v>834.67733349600007</v>
      </c>
      <c r="W133" s="545" t="str">
        <f t="shared" si="210"/>
        <v>2x2 (TH)</v>
      </c>
      <c r="X133" s="550" t="str">
        <f t="shared" si="211"/>
        <v>50% AMI</v>
      </c>
      <c r="Y133" s="545">
        <f t="shared" si="212"/>
        <v>1</v>
      </c>
      <c r="Z133" s="546">
        <f t="shared" si="213"/>
        <v>1058</v>
      </c>
      <c r="AA133" s="547">
        <f t="shared" si="214"/>
        <v>99.697570389800006</v>
      </c>
      <c r="AB133" s="549">
        <f t="shared" si="227"/>
        <v>8471.9749349844005</v>
      </c>
      <c r="AD133" s="545" t="str">
        <f t="shared" si="221"/>
        <v>2x2 (TH)</v>
      </c>
      <c r="AE133" s="550" t="str">
        <f t="shared" si="215"/>
        <v>50% AMI</v>
      </c>
      <c r="AF133" s="545">
        <f t="shared" si="216"/>
        <v>1</v>
      </c>
      <c r="AG133" s="546">
        <f t="shared" si="217"/>
        <v>1058</v>
      </c>
      <c r="AH133" s="547">
        <f t="shared" si="218"/>
        <v>99.697570389800006</v>
      </c>
      <c r="AI133" s="548">
        <f t="shared" si="222"/>
        <v>8471.9749349844005</v>
      </c>
    </row>
    <row r="134" spans="2:35" s="120" customFormat="1" ht="15.75" customHeight="1" x14ac:dyDescent="0.2">
      <c r="B134" s="551" t="str">
        <f t="shared" ref="B134:C134" si="234">B111</f>
        <v>2x2 (TH)</v>
      </c>
      <c r="C134" s="552" t="str">
        <f t="shared" si="234"/>
        <v>60% AMI</v>
      </c>
      <c r="D134" s="551">
        <f t="shared" si="225"/>
        <v>16</v>
      </c>
      <c r="E134" s="553">
        <f t="shared" si="226"/>
        <v>1058</v>
      </c>
      <c r="F134" s="554">
        <f>F111*(1+Dashboard!$P$12)</f>
        <v>99.697570389800006</v>
      </c>
      <c r="G134" s="555">
        <f>G111*(1+Dashboard!$P$11)</f>
        <v>986.54223722930021</v>
      </c>
      <c r="H134" s="549">
        <f t="shared" si="201"/>
        <v>886.84466683950018</v>
      </c>
      <c r="I134" s="556">
        <f>I111*(1+Dashboard!$P$11)</f>
        <v>901.91522980540014</v>
      </c>
      <c r="J134" s="557">
        <f t="shared" si="202"/>
        <v>802.21765941560011</v>
      </c>
      <c r="K134" s="558">
        <f>K111*(1+Dashboard!$P$11)</f>
        <v>0</v>
      </c>
      <c r="L134" s="559">
        <f t="shared" si="203"/>
        <v>899.59668165680023</v>
      </c>
      <c r="M134" s="559">
        <f>M111*(1+Dashboard!$P$11)</f>
        <v>799.89911126700019</v>
      </c>
      <c r="N134" s="548">
        <f t="shared" si="204"/>
        <v>153580.62936326404</v>
      </c>
      <c r="P134" s="545" t="str">
        <f t="shared" si="229"/>
        <v>2x2 (TH)</v>
      </c>
      <c r="Q134" s="550" t="str">
        <f t="shared" si="206"/>
        <v>60% AMI</v>
      </c>
      <c r="R134" s="545">
        <f t="shared" si="207"/>
        <v>16</v>
      </c>
      <c r="S134" s="546">
        <f t="shared" si="208"/>
        <v>1058</v>
      </c>
      <c r="T134" s="547">
        <f t="shared" si="209"/>
        <v>99.697570389800006</v>
      </c>
      <c r="U134" s="548">
        <f t="shared" si="219"/>
        <v>153580.62936326404</v>
      </c>
      <c r="W134" s="545" t="str">
        <f t="shared" si="210"/>
        <v>2x2 (TH)</v>
      </c>
      <c r="X134" s="550" t="str">
        <f t="shared" si="211"/>
        <v>60% AMI</v>
      </c>
      <c r="Y134" s="545">
        <f t="shared" si="212"/>
        <v>16</v>
      </c>
      <c r="Z134" s="546">
        <f t="shared" si="213"/>
        <v>1058</v>
      </c>
      <c r="AA134" s="547">
        <f t="shared" si="214"/>
        <v>99.697570389800006</v>
      </c>
      <c r="AB134" s="549">
        <f t="shared" si="227"/>
        <v>170274.17603318405</v>
      </c>
      <c r="AD134" s="545" t="str">
        <f t="shared" si="221"/>
        <v>2x2 (TH)</v>
      </c>
      <c r="AE134" s="550" t="str">
        <f t="shared" si="215"/>
        <v>60% AMI</v>
      </c>
      <c r="AF134" s="545">
        <f t="shared" si="216"/>
        <v>16</v>
      </c>
      <c r="AG134" s="546">
        <f t="shared" si="217"/>
        <v>1058</v>
      </c>
      <c r="AH134" s="547">
        <f t="shared" si="218"/>
        <v>99.697570389800006</v>
      </c>
      <c r="AI134" s="548">
        <f t="shared" si="222"/>
        <v>170274.17603318405</v>
      </c>
    </row>
    <row r="135" spans="2:35" s="120" customFormat="1" ht="15.75" customHeight="1" x14ac:dyDescent="0.2">
      <c r="B135" s="551" t="str">
        <f t="shared" ref="B135:C135" si="235">B112</f>
        <v>2x2 (TH)</v>
      </c>
      <c r="C135" s="552" t="str">
        <f t="shared" si="235"/>
        <v>Market</v>
      </c>
      <c r="D135" s="551">
        <f t="shared" si="225"/>
        <v>1</v>
      </c>
      <c r="E135" s="553">
        <f t="shared" si="226"/>
        <v>1058</v>
      </c>
      <c r="F135" s="554">
        <f>F112*(1+Dashboard!$P$12)</f>
        <v>0</v>
      </c>
      <c r="G135" s="555">
        <f>G112*(1+Dashboard!$P$11)</f>
        <v>0</v>
      </c>
      <c r="H135" s="549">
        <f t="shared" si="201"/>
        <v>0</v>
      </c>
      <c r="I135" s="556">
        <f>I112*(1+Dashboard!$P$11)</f>
        <v>901.91522980540014</v>
      </c>
      <c r="J135" s="557">
        <f t="shared" si="202"/>
        <v>901.91522980540014</v>
      </c>
      <c r="K135" s="558">
        <f>K112*(1+Dashboard!$P$11)</f>
        <v>0</v>
      </c>
      <c r="L135" s="559">
        <f t="shared" si="203"/>
        <v>869.45555572500018</v>
      </c>
      <c r="M135" s="559">
        <f>M112*(1+Dashboard!$P$11)</f>
        <v>869.45555572500018</v>
      </c>
      <c r="N135" s="548">
        <f t="shared" si="204"/>
        <v>10433.466668700003</v>
      </c>
      <c r="P135" s="545" t="str">
        <f t="shared" si="229"/>
        <v>2x2 (TH)</v>
      </c>
      <c r="Q135" s="550" t="str">
        <f t="shared" si="206"/>
        <v>Market</v>
      </c>
      <c r="R135" s="545">
        <f t="shared" si="207"/>
        <v>1</v>
      </c>
      <c r="S135" s="546">
        <f t="shared" si="208"/>
        <v>1058</v>
      </c>
      <c r="T135" s="547">
        <f t="shared" si="209"/>
        <v>0</v>
      </c>
      <c r="U135" s="548">
        <f t="shared" si="219"/>
        <v>10433.466668700003</v>
      </c>
      <c r="W135" s="545" t="str">
        <f t="shared" si="210"/>
        <v>2x2 (TH)</v>
      </c>
      <c r="X135" s="550" t="str">
        <f t="shared" si="211"/>
        <v>Market</v>
      </c>
      <c r="Y135" s="545">
        <f t="shared" si="212"/>
        <v>1</v>
      </c>
      <c r="Z135" s="546">
        <f t="shared" si="213"/>
        <v>1058</v>
      </c>
      <c r="AA135" s="547">
        <f t="shared" si="214"/>
        <v>0</v>
      </c>
      <c r="AB135" s="549">
        <f t="shared" si="227"/>
        <v>0</v>
      </c>
      <c r="AD135" s="545" t="str">
        <f t="shared" si="221"/>
        <v>2x2 (TH)</v>
      </c>
      <c r="AE135" s="550" t="str">
        <f t="shared" si="215"/>
        <v>Market</v>
      </c>
      <c r="AF135" s="545">
        <f t="shared" si="216"/>
        <v>1</v>
      </c>
      <c r="AG135" s="546">
        <f t="shared" si="217"/>
        <v>1058</v>
      </c>
      <c r="AH135" s="547">
        <f t="shared" si="218"/>
        <v>0</v>
      </c>
      <c r="AI135" s="548">
        <f t="shared" si="222"/>
        <v>10433.466668700003</v>
      </c>
    </row>
    <row r="136" spans="2:35" s="120" customFormat="1" ht="15.75" customHeight="1" x14ac:dyDescent="0.2">
      <c r="B136" s="551" t="str">
        <f t="shared" ref="B136:C136" si="236">B113</f>
        <v xml:space="preserve">2x1.5-2x2 </v>
      </c>
      <c r="C136" s="552" t="str">
        <f t="shared" si="236"/>
        <v>S8 Voucher</v>
      </c>
      <c r="D136" s="551">
        <f t="shared" si="225"/>
        <v>18</v>
      </c>
      <c r="E136" s="553">
        <f t="shared" si="226"/>
        <v>0</v>
      </c>
      <c r="F136" s="554">
        <f>F113*(1+Dashboard!$P$12)</f>
        <v>99.697570389800006</v>
      </c>
      <c r="G136" s="555">
        <f>G113*(1+Dashboard!$P$11)</f>
        <v>986.54223722930021</v>
      </c>
      <c r="H136" s="549">
        <f t="shared" si="201"/>
        <v>886.84466683950018</v>
      </c>
      <c r="I136" s="556">
        <f>I113*(1+Dashboard!$P$11)</f>
        <v>901.91522980540014</v>
      </c>
      <c r="J136" s="557">
        <f t="shared" si="202"/>
        <v>802.21765941560011</v>
      </c>
      <c r="K136" s="558">
        <f>K113*(1+Dashboard!$P$11)</f>
        <v>0</v>
      </c>
      <c r="L136" s="559">
        <f t="shared" si="203"/>
        <v>952.92328907460012</v>
      </c>
      <c r="M136" s="559">
        <f>M113*(1+Dashboard!$P$11)</f>
        <v>853.22571868480009</v>
      </c>
      <c r="N136" s="548">
        <f t="shared" si="204"/>
        <v>184296.75523591682</v>
      </c>
      <c r="P136" s="545" t="str">
        <f t="shared" si="229"/>
        <v xml:space="preserve">2x1.5-2x2 </v>
      </c>
      <c r="Q136" s="550" t="str">
        <f t="shared" si="206"/>
        <v>S8 Voucher</v>
      </c>
      <c r="R136" s="545">
        <f t="shared" si="207"/>
        <v>18</v>
      </c>
      <c r="S136" s="546">
        <f t="shared" si="208"/>
        <v>0</v>
      </c>
      <c r="T136" s="547">
        <f t="shared" si="209"/>
        <v>99.697570389800006</v>
      </c>
      <c r="U136" s="548">
        <f t="shared" si="219"/>
        <v>184296.75523591682</v>
      </c>
      <c r="W136" s="545" t="str">
        <f t="shared" si="210"/>
        <v xml:space="preserve">2x1.5-2x2 </v>
      </c>
      <c r="X136" s="550" t="str">
        <f t="shared" si="211"/>
        <v>S8 Voucher</v>
      </c>
      <c r="Y136" s="545">
        <f t="shared" si="212"/>
        <v>18</v>
      </c>
      <c r="Z136" s="546">
        <f t="shared" si="213"/>
        <v>0</v>
      </c>
      <c r="AA136" s="547">
        <f t="shared" si="214"/>
        <v>99.697570389800006</v>
      </c>
      <c r="AB136" s="549">
        <f t="shared" si="227"/>
        <v>191558.44803733204</v>
      </c>
      <c r="AD136" s="545" t="str">
        <f t="shared" si="221"/>
        <v xml:space="preserve">2x1.5-2x2 </v>
      </c>
      <c r="AE136" s="550" t="str">
        <f t="shared" si="215"/>
        <v>S8 Voucher</v>
      </c>
      <c r="AF136" s="545">
        <f t="shared" si="216"/>
        <v>18</v>
      </c>
      <c r="AG136" s="546">
        <f t="shared" si="217"/>
        <v>0</v>
      </c>
      <c r="AH136" s="547">
        <f t="shared" si="218"/>
        <v>99.697570389800006</v>
      </c>
      <c r="AI136" s="548">
        <f t="shared" si="222"/>
        <v>191558.44803733204</v>
      </c>
    </row>
    <row r="137" spans="2:35" s="120" customFormat="1" ht="15.75" customHeight="1" x14ac:dyDescent="0.2">
      <c r="B137" s="551" t="str">
        <f t="shared" ref="B137:C137" si="237">B114</f>
        <v>3x2 (TH)</v>
      </c>
      <c r="C137" s="552" t="str">
        <f t="shared" si="237"/>
        <v>50% AMI</v>
      </c>
      <c r="D137" s="551">
        <f t="shared" si="225"/>
        <v>2</v>
      </c>
      <c r="E137" s="553">
        <f t="shared" si="226"/>
        <v>1296</v>
      </c>
      <c r="F137" s="554">
        <f>F114*(1+Dashboard!$P$12)</f>
        <v>124.04232595010004</v>
      </c>
      <c r="G137" s="555">
        <f>G114*(1+Dashboard!$P$11)</f>
        <v>921.62288906850006</v>
      </c>
      <c r="H137" s="549">
        <f t="shared" si="201"/>
        <v>797.58056311840005</v>
      </c>
      <c r="I137" s="556">
        <f>I114*(1+Dashboard!$P$11)</f>
        <v>1185.9373780088999</v>
      </c>
      <c r="J137" s="557">
        <f t="shared" si="202"/>
        <v>1061.8950520587998</v>
      </c>
      <c r="K137" s="558">
        <f>K114*(1+Dashboard!$P$11)</f>
        <v>0</v>
      </c>
      <c r="L137" s="559">
        <f t="shared" si="203"/>
        <v>912.34869647410017</v>
      </c>
      <c r="M137" s="559">
        <f>M114*(1+Dashboard!$P$11)</f>
        <v>788.30637052400016</v>
      </c>
      <c r="N137" s="548">
        <f t="shared" si="204"/>
        <v>18919.352892576004</v>
      </c>
      <c r="P137" s="545" t="str">
        <f t="shared" si="229"/>
        <v>3x2 (TH)</v>
      </c>
      <c r="Q137" s="550" t="str">
        <f t="shared" si="206"/>
        <v>50% AMI</v>
      </c>
      <c r="R137" s="545">
        <f t="shared" si="207"/>
        <v>2</v>
      </c>
      <c r="S137" s="546">
        <f t="shared" si="208"/>
        <v>1296</v>
      </c>
      <c r="T137" s="547">
        <f t="shared" si="209"/>
        <v>124.04232595010004</v>
      </c>
      <c r="U137" s="548">
        <f t="shared" si="219"/>
        <v>18919.352892576004</v>
      </c>
      <c r="W137" s="545" t="str">
        <f t="shared" si="210"/>
        <v>3x2 (TH)</v>
      </c>
      <c r="X137" s="550" t="str">
        <f t="shared" si="211"/>
        <v>50% AMI</v>
      </c>
      <c r="Y137" s="545">
        <f t="shared" si="212"/>
        <v>2</v>
      </c>
      <c r="Z137" s="546">
        <f t="shared" si="213"/>
        <v>1296</v>
      </c>
      <c r="AA137" s="547">
        <f t="shared" si="214"/>
        <v>124.04232595010004</v>
      </c>
      <c r="AB137" s="549">
        <f t="shared" si="227"/>
        <v>19141.933514841599</v>
      </c>
      <c r="AD137" s="545" t="str">
        <f t="shared" si="221"/>
        <v>3x2 (TH)</v>
      </c>
      <c r="AE137" s="550" t="str">
        <f t="shared" si="215"/>
        <v>50% AMI</v>
      </c>
      <c r="AF137" s="545">
        <f t="shared" si="216"/>
        <v>2</v>
      </c>
      <c r="AG137" s="546">
        <f t="shared" si="217"/>
        <v>1296</v>
      </c>
      <c r="AH137" s="547">
        <f t="shared" si="218"/>
        <v>124.04232595010004</v>
      </c>
      <c r="AI137" s="548">
        <f t="shared" si="222"/>
        <v>19141.933514841599</v>
      </c>
    </row>
    <row r="138" spans="2:35" s="120" customFormat="1" ht="15.75" customHeight="1" x14ac:dyDescent="0.2">
      <c r="B138" s="551" t="str">
        <f t="shared" ref="B138:C138" si="238">B115</f>
        <v>3x2 (TH)</v>
      </c>
      <c r="C138" s="552" t="str">
        <f t="shared" si="238"/>
        <v>60% AMI</v>
      </c>
      <c r="D138" s="551">
        <f t="shared" si="225"/>
        <v>7</v>
      </c>
      <c r="E138" s="553">
        <f t="shared" si="226"/>
        <v>1296</v>
      </c>
      <c r="F138" s="554">
        <f>F115*(1+Dashboard!$P$12)</f>
        <v>124.04232595010004</v>
      </c>
      <c r="G138" s="555">
        <f>G115*(1+Dashboard!$P$11)</f>
        <v>1131.4514965168</v>
      </c>
      <c r="H138" s="549">
        <f t="shared" si="201"/>
        <v>1007.4091705667</v>
      </c>
      <c r="I138" s="556">
        <f>I115*(1+Dashboard!$P$11)</f>
        <v>1185.9373780088999</v>
      </c>
      <c r="J138" s="557">
        <f t="shared" si="202"/>
        <v>1061.8950520587998</v>
      </c>
      <c r="K138" s="558">
        <f>K115*(1+Dashboard!$P$11)</f>
        <v>0</v>
      </c>
      <c r="L138" s="559">
        <f t="shared" si="203"/>
        <v>930.89708166290006</v>
      </c>
      <c r="M138" s="559">
        <f>M115*(1+Dashboard!$P$11)</f>
        <v>806.85475571280006</v>
      </c>
      <c r="N138" s="548">
        <f t="shared" si="204"/>
        <v>67775.799479875204</v>
      </c>
      <c r="P138" s="545" t="str">
        <f t="shared" si="229"/>
        <v>3x2 (TH)</v>
      </c>
      <c r="Q138" s="550" t="str">
        <f t="shared" si="206"/>
        <v>60% AMI</v>
      </c>
      <c r="R138" s="545">
        <f t="shared" si="207"/>
        <v>7</v>
      </c>
      <c r="S138" s="546">
        <f t="shared" si="208"/>
        <v>1296</v>
      </c>
      <c r="T138" s="547">
        <f t="shared" si="209"/>
        <v>124.04232595010004</v>
      </c>
      <c r="U138" s="548">
        <f t="shared" si="219"/>
        <v>67775.799479875204</v>
      </c>
      <c r="W138" s="545" t="str">
        <f t="shared" si="210"/>
        <v>3x2 (TH)</v>
      </c>
      <c r="X138" s="550" t="str">
        <f t="shared" si="211"/>
        <v>60% AMI</v>
      </c>
      <c r="Y138" s="545">
        <f t="shared" si="212"/>
        <v>7</v>
      </c>
      <c r="Z138" s="546">
        <f t="shared" si="213"/>
        <v>1296</v>
      </c>
      <c r="AA138" s="547">
        <f t="shared" si="214"/>
        <v>124.04232595010004</v>
      </c>
      <c r="AB138" s="549">
        <f t="shared" si="227"/>
        <v>84622.37032760281</v>
      </c>
      <c r="AD138" s="545" t="str">
        <f t="shared" si="221"/>
        <v>3x2 (TH)</v>
      </c>
      <c r="AE138" s="550" t="str">
        <f t="shared" si="215"/>
        <v>60% AMI</v>
      </c>
      <c r="AF138" s="545">
        <f t="shared" si="216"/>
        <v>7</v>
      </c>
      <c r="AG138" s="546">
        <f t="shared" si="217"/>
        <v>1296</v>
      </c>
      <c r="AH138" s="547">
        <f t="shared" si="218"/>
        <v>124.04232595010004</v>
      </c>
      <c r="AI138" s="548">
        <f t="shared" si="222"/>
        <v>84622.37032760281</v>
      </c>
    </row>
    <row r="139" spans="2:35" s="120" customFormat="1" ht="15.75" customHeight="1" x14ac:dyDescent="0.2">
      <c r="B139" s="551" t="str">
        <f t="shared" ref="B139:C139" si="239">B116</f>
        <v>3x2 (TH)</v>
      </c>
      <c r="C139" s="552" t="str">
        <f t="shared" si="239"/>
        <v>Market</v>
      </c>
      <c r="D139" s="551">
        <f t="shared" si="225"/>
        <v>0</v>
      </c>
      <c r="E139" s="553">
        <f t="shared" si="226"/>
        <v>1296</v>
      </c>
      <c r="F139" s="554">
        <f>F116*(1+Dashboard!$P$12)</f>
        <v>0</v>
      </c>
      <c r="G139" s="555">
        <f>G116*(1+Dashboard!$P$11)</f>
        <v>0</v>
      </c>
      <c r="H139" s="549">
        <f t="shared" si="201"/>
        <v>0</v>
      </c>
      <c r="I139" s="556">
        <f>I116*(1+Dashboard!$P$11)</f>
        <v>1185.9373780088999</v>
      </c>
      <c r="J139" s="557">
        <f t="shared" si="202"/>
        <v>1185.9373780088999</v>
      </c>
      <c r="K139" s="558">
        <f>K116*(1+Dashboard!$P$11)</f>
        <v>0</v>
      </c>
      <c r="L139" s="559">
        <f t="shared" si="203"/>
        <v>0</v>
      </c>
      <c r="M139" s="559">
        <f>M116*(1+Dashboard!$P$11)</f>
        <v>0</v>
      </c>
      <c r="N139" s="548">
        <f t="shared" si="204"/>
        <v>0</v>
      </c>
      <c r="P139" s="545" t="str">
        <f t="shared" si="229"/>
        <v>3x2 (TH)</v>
      </c>
      <c r="Q139" s="550" t="str">
        <f t="shared" si="206"/>
        <v>Market</v>
      </c>
      <c r="R139" s="545">
        <f t="shared" si="207"/>
        <v>0</v>
      </c>
      <c r="S139" s="546">
        <f t="shared" si="208"/>
        <v>1296</v>
      </c>
      <c r="T139" s="547">
        <f t="shared" si="209"/>
        <v>0</v>
      </c>
      <c r="U139" s="548">
        <f t="shared" si="219"/>
        <v>0</v>
      </c>
      <c r="W139" s="545" t="str">
        <f t="shared" si="210"/>
        <v>3x2 (TH)</v>
      </c>
      <c r="X139" s="550" t="str">
        <f t="shared" si="211"/>
        <v>Market</v>
      </c>
      <c r="Y139" s="545">
        <f t="shared" si="212"/>
        <v>0</v>
      </c>
      <c r="Z139" s="546">
        <f t="shared" si="213"/>
        <v>1296</v>
      </c>
      <c r="AA139" s="547">
        <f t="shared" si="214"/>
        <v>0</v>
      </c>
      <c r="AB139" s="549">
        <f t="shared" si="227"/>
        <v>0</v>
      </c>
      <c r="AD139" s="545" t="str">
        <f t="shared" si="221"/>
        <v>3x2 (TH)</v>
      </c>
      <c r="AE139" s="550" t="str">
        <f t="shared" si="215"/>
        <v>Market</v>
      </c>
      <c r="AF139" s="545">
        <f t="shared" si="216"/>
        <v>0</v>
      </c>
      <c r="AG139" s="546">
        <f t="shared" si="217"/>
        <v>1296</v>
      </c>
      <c r="AH139" s="547">
        <f t="shared" si="218"/>
        <v>0</v>
      </c>
      <c r="AI139" s="548">
        <f t="shared" si="222"/>
        <v>0</v>
      </c>
    </row>
    <row r="140" spans="2:35" s="120" customFormat="1" ht="15.75" customHeight="1" x14ac:dyDescent="0.2">
      <c r="B140" s="551" t="str">
        <f t="shared" ref="B140:C140" si="240">B117</f>
        <v>3x2 (TH)</v>
      </c>
      <c r="C140" s="552" t="str">
        <f t="shared" si="240"/>
        <v>S8 Voucher</v>
      </c>
      <c r="D140" s="551">
        <f t="shared" si="225"/>
        <v>11</v>
      </c>
      <c r="E140" s="553">
        <f t="shared" si="226"/>
        <v>1296</v>
      </c>
      <c r="F140" s="554">
        <f>F117*(1+Dashboard!$P$12)</f>
        <v>124.04232595010004</v>
      </c>
      <c r="G140" s="555">
        <f>G117*(1+Dashboard!$P$11)</f>
        <v>1131.4514965168</v>
      </c>
      <c r="H140" s="549">
        <f t="shared" si="201"/>
        <v>1007.4091705667</v>
      </c>
      <c r="I140" s="556">
        <f>I117*(1+Dashboard!$P$11)</f>
        <v>1185.9373780088999</v>
      </c>
      <c r="J140" s="557">
        <f t="shared" si="202"/>
        <v>1061.8950520587998</v>
      </c>
      <c r="K140" s="558">
        <f>K117*(1+Dashboard!$P$11)</f>
        <v>0</v>
      </c>
      <c r="L140" s="559">
        <f t="shared" si="203"/>
        <v>1083.9212594705002</v>
      </c>
      <c r="M140" s="559">
        <f>M117*(1+Dashboard!$P$11)</f>
        <v>959.8789335204001</v>
      </c>
      <c r="N140" s="548">
        <f t="shared" si="204"/>
        <v>126704.01922469281</v>
      </c>
      <c r="P140" s="545" t="str">
        <f t="shared" si="229"/>
        <v>3x2 (TH)</v>
      </c>
      <c r="Q140" s="550" t="str">
        <f t="shared" si="206"/>
        <v>S8 Voucher</v>
      </c>
      <c r="R140" s="545">
        <f t="shared" si="207"/>
        <v>11</v>
      </c>
      <c r="S140" s="546">
        <f t="shared" si="208"/>
        <v>1296</v>
      </c>
      <c r="T140" s="547">
        <f t="shared" si="209"/>
        <v>124.04232595010004</v>
      </c>
      <c r="U140" s="548">
        <f t="shared" si="219"/>
        <v>126704.01922469281</v>
      </c>
      <c r="W140" s="545" t="str">
        <f t="shared" si="210"/>
        <v>3x2 (TH)</v>
      </c>
      <c r="X140" s="550" t="str">
        <f t="shared" si="211"/>
        <v>S8 Voucher</v>
      </c>
      <c r="Y140" s="545">
        <f t="shared" si="212"/>
        <v>11</v>
      </c>
      <c r="Z140" s="546">
        <f t="shared" si="213"/>
        <v>1296</v>
      </c>
      <c r="AA140" s="547">
        <f t="shared" si="214"/>
        <v>124.04232595010004</v>
      </c>
      <c r="AB140" s="549">
        <f t="shared" si="227"/>
        <v>132978.01051480439</v>
      </c>
      <c r="AD140" s="545" t="str">
        <f t="shared" si="221"/>
        <v>3x2 (TH)</v>
      </c>
      <c r="AE140" s="550" t="str">
        <f t="shared" si="215"/>
        <v>S8 Voucher</v>
      </c>
      <c r="AF140" s="545">
        <f t="shared" si="216"/>
        <v>11</v>
      </c>
      <c r="AG140" s="546">
        <f t="shared" si="217"/>
        <v>1296</v>
      </c>
      <c r="AH140" s="547">
        <f t="shared" si="218"/>
        <v>124.04232595010004</v>
      </c>
      <c r="AI140" s="548">
        <f t="shared" si="222"/>
        <v>132978.01051480439</v>
      </c>
    </row>
    <row r="141" spans="2:35" s="120" customFormat="1" ht="15.75" customHeight="1" x14ac:dyDescent="0.2">
      <c r="B141" s="198" t="s">
        <v>295</v>
      </c>
      <c r="C141" s="122"/>
      <c r="D141" s="166">
        <f>SUM(D122:D140)</f>
        <v>72</v>
      </c>
      <c r="E141" s="166">
        <f t="shared" ref="E141:K141" si="241">+SUMPRODUCT(E122:E140,$D122:$D140)</f>
        <v>59002</v>
      </c>
      <c r="F141" s="165">
        <f t="shared" si="241"/>
        <v>7344.0012606905002</v>
      </c>
      <c r="G141" s="165">
        <f t="shared" si="241"/>
        <v>69201.706591264214</v>
      </c>
      <c r="H141" s="165">
        <f t="shared" si="241"/>
        <v>61857.705330573714</v>
      </c>
      <c r="I141" s="165">
        <f t="shared" si="241"/>
        <v>69957.553287707808</v>
      </c>
      <c r="J141" s="165">
        <f t="shared" si="241"/>
        <v>62613.5520270173</v>
      </c>
      <c r="K141" s="165">
        <f t="shared" si="241"/>
        <v>0</v>
      </c>
      <c r="L141" s="165">
        <f t="shared" ref="L141" si="242">+SUMPRODUCT(L122:L140,$D122:$D140)</f>
        <v>64696.767538534405</v>
      </c>
      <c r="M141" s="165">
        <f t="shared" ref="M141" si="243">+SUMPRODUCT(M122:M140,$D122:$D140)</f>
        <v>57352.766277843912</v>
      </c>
      <c r="N141" s="165">
        <f>SUM(N122:N140)</f>
        <v>688233.19533412694</v>
      </c>
      <c r="P141" s="198" t="s">
        <v>295</v>
      </c>
      <c r="Q141" s="122"/>
      <c r="R141" s="560">
        <f>SUM(R122:R140)</f>
        <v>72</v>
      </c>
      <c r="S141" s="560">
        <f>+SUMPRODUCT(S122:S140,$R122:$R140)</f>
        <v>59002</v>
      </c>
      <c r="T141" s="165">
        <f>+SUMPRODUCT(T122:T140,$R122:$R140)</f>
        <v>7344.0012606905002</v>
      </c>
      <c r="U141" s="165">
        <f>SUM(U122:U140)</f>
        <v>688233.19533412694</v>
      </c>
      <c r="W141" s="198" t="s">
        <v>295</v>
      </c>
      <c r="X141" s="122"/>
      <c r="Y141" s="560">
        <f>SUM(Y122:Y140)</f>
        <v>72</v>
      </c>
      <c r="Z141" s="560">
        <f>+SUMPRODUCT(Z122:Z140,$Y122:$Y140)</f>
        <v>59002</v>
      </c>
      <c r="AA141" s="165">
        <f>+SUMPRODUCT(AA122:AA140,$Y122:$Y140)</f>
        <v>7344.0012606905002</v>
      </c>
      <c r="AB141" s="165">
        <f>SUM(AB122:AB140)</f>
        <v>742292.46396688453</v>
      </c>
      <c r="AC141" s="122"/>
      <c r="AD141" s="198" t="s">
        <v>295</v>
      </c>
      <c r="AE141" s="122"/>
      <c r="AF141" s="560">
        <f>SUM(AF122:AF140)</f>
        <v>72</v>
      </c>
      <c r="AG141" s="560">
        <f>+SUMPRODUCT(AG122:AG140,$AF122:$AF140)</f>
        <v>59002</v>
      </c>
      <c r="AH141" s="165">
        <f>+SUMPRODUCT(AH122:AH140,$AF122:$AF140)</f>
        <v>7344.0012606905002</v>
      </c>
      <c r="AI141" s="165">
        <f>SUM(AI122:AI140)</f>
        <v>761156.17170389416</v>
      </c>
    </row>
    <row r="143" spans="2:35" s="167" customFormat="1" ht="15.75" customHeight="1" x14ac:dyDescent="0.25">
      <c r="B143" s="170" t="s">
        <v>220</v>
      </c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P143" s="170" t="str">
        <f>+$B143</f>
        <v>Year 7</v>
      </c>
      <c r="Q143" s="170"/>
      <c r="R143" s="170"/>
      <c r="S143" s="170"/>
      <c r="T143" s="170"/>
      <c r="U143" s="170"/>
      <c r="W143" s="170" t="str">
        <f>+$B143</f>
        <v>Year 7</v>
      </c>
      <c r="X143" s="170"/>
      <c r="Y143" s="170"/>
      <c r="Z143" s="170"/>
      <c r="AA143" s="170"/>
      <c r="AB143" s="170"/>
      <c r="AD143" s="170" t="str">
        <f>+$B143</f>
        <v>Year 7</v>
      </c>
      <c r="AE143" s="170"/>
      <c r="AF143" s="170"/>
      <c r="AG143" s="170"/>
      <c r="AH143" s="170"/>
      <c r="AI143" s="170"/>
    </row>
    <row r="144" spans="2:35" s="164" customFormat="1" ht="38.25" x14ac:dyDescent="0.2">
      <c r="B144" s="543" t="s">
        <v>61</v>
      </c>
      <c r="C144" s="543" t="s">
        <v>215</v>
      </c>
      <c r="D144" s="543" t="s">
        <v>64</v>
      </c>
      <c r="E144" s="543" t="s">
        <v>231</v>
      </c>
      <c r="F144" s="543" t="s">
        <v>237</v>
      </c>
      <c r="G144" s="544" t="s">
        <v>232</v>
      </c>
      <c r="H144" s="543" t="s">
        <v>240</v>
      </c>
      <c r="I144" s="543" t="s">
        <v>233</v>
      </c>
      <c r="J144" s="543" t="s">
        <v>63</v>
      </c>
      <c r="K144" s="543" t="str">
        <f>+K121</f>
        <v>CoStar Rent</v>
      </c>
      <c r="L144" s="543" t="s">
        <v>62</v>
      </c>
      <c r="M144" s="543" t="s">
        <v>238</v>
      </c>
      <c r="N144" s="543" t="s">
        <v>241</v>
      </c>
      <c r="P144" s="543" t="s">
        <v>61</v>
      </c>
      <c r="Q144" s="543" t="s">
        <v>215</v>
      </c>
      <c r="R144" s="543" t="s">
        <v>64</v>
      </c>
      <c r="S144" s="543" t="s">
        <v>231</v>
      </c>
      <c r="T144" s="543" t="s">
        <v>237</v>
      </c>
      <c r="U144" s="543" t="s">
        <v>151</v>
      </c>
      <c r="W144" s="543" t="s">
        <v>61</v>
      </c>
      <c r="X144" s="543" t="s">
        <v>215</v>
      </c>
      <c r="Y144" s="543" t="s">
        <v>64</v>
      </c>
      <c r="Z144" s="543" t="s">
        <v>231</v>
      </c>
      <c r="AA144" s="543" t="s">
        <v>237</v>
      </c>
      <c r="AB144" s="543" t="s">
        <v>152</v>
      </c>
      <c r="AD144" s="543" t="s">
        <v>61</v>
      </c>
      <c r="AE144" s="543" t="s">
        <v>215</v>
      </c>
      <c r="AF144" s="543" t="s">
        <v>64</v>
      </c>
      <c r="AG144" s="543" t="s">
        <v>231</v>
      </c>
      <c r="AH144" s="543" t="s">
        <v>237</v>
      </c>
      <c r="AI144" s="543" t="s">
        <v>424</v>
      </c>
    </row>
    <row r="145" spans="2:35" s="120" customFormat="1" ht="15.75" customHeight="1" x14ac:dyDescent="0.2">
      <c r="B145" s="551" t="str">
        <f t="shared" ref="B145:C150" si="244">B122</f>
        <v>1x1</v>
      </c>
      <c r="C145" s="552" t="str">
        <f t="shared" si="244"/>
        <v>50% AMI</v>
      </c>
      <c r="D145" s="551">
        <f t="shared" ref="D145:D150" si="245">$D122</f>
        <v>2</v>
      </c>
      <c r="E145" s="553">
        <f t="shared" ref="E145:E150" si="246">E122</f>
        <v>701</v>
      </c>
      <c r="F145" s="554">
        <f>F122*(1+Dashboard!$P$12)</f>
        <v>77.613399274384989</v>
      </c>
      <c r="G145" s="555">
        <f>G122*(1+Dashboard!$P$11)</f>
        <v>777.32804504037904</v>
      </c>
      <c r="H145" s="549">
        <f t="shared" ref="H145:H163" si="247">+G145-F145</f>
        <v>699.71464576599408</v>
      </c>
      <c r="I145" s="556">
        <f>I122*(1+Dashboard!$P$11)</f>
        <v>815.53771852930697</v>
      </c>
      <c r="J145" s="557">
        <f t="shared" ref="J145:J163" si="248">I145-F145</f>
        <v>737.92431925492201</v>
      </c>
      <c r="K145" s="558">
        <f>K122*(1+Dashboard!$P$11)</f>
        <v>0</v>
      </c>
      <c r="L145" s="559">
        <f t="shared" ref="L145:L163" si="249">M145+F145</f>
        <v>706.87895954516807</v>
      </c>
      <c r="M145" s="559">
        <f>M122*(1+Dashboard!$P$11)</f>
        <v>629.26556027078311</v>
      </c>
      <c r="N145" s="548">
        <f t="shared" ref="N145:N163" si="250">((M145*D145)*12)</f>
        <v>15102.373446498794</v>
      </c>
      <c r="P145" s="545" t="str">
        <f t="shared" ref="P145:P150" si="251">B145</f>
        <v>1x1</v>
      </c>
      <c r="Q145" s="545" t="str">
        <f t="shared" ref="Q145:Q163" si="252">C145</f>
        <v>50% AMI</v>
      </c>
      <c r="R145" s="545">
        <f t="shared" ref="R145:R163" si="253">D145</f>
        <v>2</v>
      </c>
      <c r="S145" s="546">
        <f t="shared" ref="S145:S163" si="254">E145</f>
        <v>701</v>
      </c>
      <c r="T145" s="547">
        <f t="shared" ref="T145:T163" si="255">F145</f>
        <v>77.613399274384989</v>
      </c>
      <c r="U145" s="548">
        <f>((M145*R145)*12)</f>
        <v>15102.373446498794</v>
      </c>
      <c r="W145" s="545" t="str">
        <f t="shared" ref="W145:W163" si="256">B145</f>
        <v>1x1</v>
      </c>
      <c r="X145" s="545" t="str">
        <f t="shared" ref="X145:X163" si="257">C145</f>
        <v>50% AMI</v>
      </c>
      <c r="Y145" s="545">
        <f t="shared" ref="Y145:Y163" si="258">D145</f>
        <v>2</v>
      </c>
      <c r="Z145" s="546">
        <f t="shared" ref="Z145:Z163" si="259">E145</f>
        <v>701</v>
      </c>
      <c r="AA145" s="547">
        <f t="shared" ref="AA145:AA163" si="260">F145</f>
        <v>77.613399274384989</v>
      </c>
      <c r="AB145" s="549">
        <f>((H145*Y145)*12)</f>
        <v>16793.151498383857</v>
      </c>
      <c r="AD145" s="545" t="str">
        <f>B145</f>
        <v>1x1</v>
      </c>
      <c r="AE145" s="545" t="str">
        <f t="shared" ref="AE145:AE163" si="261">C145</f>
        <v>50% AMI</v>
      </c>
      <c r="AF145" s="545">
        <f t="shared" ref="AF145:AF163" si="262">D145</f>
        <v>2</v>
      </c>
      <c r="AG145" s="546">
        <f t="shared" ref="AG145:AG163" si="263">E145</f>
        <v>701</v>
      </c>
      <c r="AH145" s="547">
        <f t="shared" ref="AH145:AH163" si="264">F145</f>
        <v>77.613399274384989</v>
      </c>
      <c r="AI145" s="548">
        <f>+MAX(U145,AB145)</f>
        <v>16793.151498383857</v>
      </c>
    </row>
    <row r="146" spans="2:35" s="120" customFormat="1" ht="15.75" customHeight="1" x14ac:dyDescent="0.2">
      <c r="B146" s="551" t="str">
        <f t="shared" si="244"/>
        <v>1x1</v>
      </c>
      <c r="C146" s="552" t="str">
        <f t="shared" si="244"/>
        <v>60% AMI</v>
      </c>
      <c r="D146" s="551">
        <f t="shared" si="245"/>
        <v>0</v>
      </c>
      <c r="E146" s="553">
        <f t="shared" si="246"/>
        <v>701</v>
      </c>
      <c r="F146" s="554">
        <f>F123*(1+Dashboard!$P$12)</f>
        <v>77.613399274384989</v>
      </c>
      <c r="G146" s="555">
        <f>G123*(1+Dashboard!$P$11)</f>
        <v>932.55484358914919</v>
      </c>
      <c r="H146" s="549">
        <f t="shared" si="247"/>
        <v>854.94144431476423</v>
      </c>
      <c r="I146" s="556">
        <f>I123*(1+Dashboard!$P$11)</f>
        <v>815.53771852930697</v>
      </c>
      <c r="J146" s="557">
        <f t="shared" si="248"/>
        <v>737.92431925492201</v>
      </c>
      <c r="K146" s="558">
        <f>K123*(1+Dashboard!$P$11)</f>
        <v>0</v>
      </c>
      <c r="L146" s="559">
        <f t="shared" si="249"/>
        <v>77.613399274384989</v>
      </c>
      <c r="M146" s="559">
        <f>M123*(1+Dashboard!$P$11)</f>
        <v>0</v>
      </c>
      <c r="N146" s="548">
        <f t="shared" si="250"/>
        <v>0</v>
      </c>
      <c r="P146" s="545" t="str">
        <f t="shared" si="251"/>
        <v>1x1</v>
      </c>
      <c r="Q146" s="550" t="str">
        <f t="shared" si="252"/>
        <v>60% AMI</v>
      </c>
      <c r="R146" s="545">
        <f t="shared" si="253"/>
        <v>0</v>
      </c>
      <c r="S146" s="546">
        <f t="shared" si="254"/>
        <v>701</v>
      </c>
      <c r="T146" s="547">
        <f t="shared" si="255"/>
        <v>77.613399274384989</v>
      </c>
      <c r="U146" s="548">
        <f t="shared" ref="U146:U163" si="265">((M146*R146)*12)</f>
        <v>0</v>
      </c>
      <c r="W146" s="545" t="str">
        <f t="shared" si="256"/>
        <v>1x1</v>
      </c>
      <c r="X146" s="550" t="str">
        <f t="shared" si="257"/>
        <v>60% AMI</v>
      </c>
      <c r="Y146" s="545">
        <f t="shared" si="258"/>
        <v>0</v>
      </c>
      <c r="Z146" s="546">
        <f t="shared" si="259"/>
        <v>701</v>
      </c>
      <c r="AA146" s="547">
        <f t="shared" si="260"/>
        <v>77.613399274384989</v>
      </c>
      <c r="AB146" s="549">
        <f t="shared" ref="AB146" si="266">((H146*Y146)*12)</f>
        <v>0</v>
      </c>
      <c r="AD146" s="545" t="str">
        <f t="shared" ref="AD146:AD163" si="267">B146</f>
        <v>1x1</v>
      </c>
      <c r="AE146" s="550" t="str">
        <f t="shared" si="261"/>
        <v>60% AMI</v>
      </c>
      <c r="AF146" s="545">
        <f t="shared" si="262"/>
        <v>0</v>
      </c>
      <c r="AG146" s="546">
        <f t="shared" si="263"/>
        <v>701</v>
      </c>
      <c r="AH146" s="547">
        <f t="shared" si="264"/>
        <v>77.613399274384989</v>
      </c>
      <c r="AI146" s="548">
        <f t="shared" ref="AI146:AI163" si="268">+MAX(U146,AB146)</f>
        <v>0</v>
      </c>
    </row>
    <row r="147" spans="2:35" s="120" customFormat="1" ht="15.75" customHeight="1" x14ac:dyDescent="0.2">
      <c r="B147" s="551" t="str">
        <f t="shared" si="244"/>
        <v>1x1</v>
      </c>
      <c r="C147" s="552" t="str">
        <f t="shared" si="244"/>
        <v>Market</v>
      </c>
      <c r="D147" s="551">
        <f t="shared" si="245"/>
        <v>1</v>
      </c>
      <c r="E147" s="553">
        <f t="shared" si="246"/>
        <v>701</v>
      </c>
      <c r="F147" s="554">
        <f>F124*(1+Dashboard!$P$12)</f>
        <v>0</v>
      </c>
      <c r="G147" s="555">
        <f>G124*(1+Dashboard!$P$11)</f>
        <v>0</v>
      </c>
      <c r="H147" s="549">
        <f t="shared" si="247"/>
        <v>0</v>
      </c>
      <c r="I147" s="556">
        <f>I124*(1+Dashboard!$P$11)</f>
        <v>815.53771852930697</v>
      </c>
      <c r="J147" s="557">
        <f t="shared" si="248"/>
        <v>815.53771852930697</v>
      </c>
      <c r="K147" s="558">
        <f>K124*(1+Dashboard!$P$11)</f>
        <v>0</v>
      </c>
      <c r="L147" s="559">
        <f t="shared" si="249"/>
        <v>708.07301184169717</v>
      </c>
      <c r="M147" s="559">
        <f>M124*(1+Dashboard!$P$11)</f>
        <v>708.07301184169717</v>
      </c>
      <c r="N147" s="548">
        <f t="shared" si="250"/>
        <v>8496.8761421003655</v>
      </c>
      <c r="P147" s="545" t="str">
        <f t="shared" si="251"/>
        <v>1x1</v>
      </c>
      <c r="Q147" s="550" t="str">
        <f t="shared" si="252"/>
        <v>Market</v>
      </c>
      <c r="R147" s="545">
        <f t="shared" si="253"/>
        <v>1</v>
      </c>
      <c r="S147" s="546">
        <f t="shared" si="254"/>
        <v>701</v>
      </c>
      <c r="T147" s="547">
        <f t="shared" si="255"/>
        <v>0</v>
      </c>
      <c r="U147" s="548">
        <f t="shared" si="265"/>
        <v>8496.8761421003655</v>
      </c>
      <c r="W147" s="545" t="str">
        <f t="shared" si="256"/>
        <v>1x1</v>
      </c>
      <c r="X147" s="550" t="str">
        <f t="shared" si="257"/>
        <v>Market</v>
      </c>
      <c r="Y147" s="545">
        <f t="shared" si="258"/>
        <v>1</v>
      </c>
      <c r="Z147" s="546">
        <f t="shared" si="259"/>
        <v>701</v>
      </c>
      <c r="AA147" s="547">
        <f t="shared" si="260"/>
        <v>0</v>
      </c>
      <c r="AB147" s="549">
        <f>((H147*Y147)*12)</f>
        <v>0</v>
      </c>
      <c r="AD147" s="545" t="str">
        <f t="shared" si="267"/>
        <v>1x1</v>
      </c>
      <c r="AE147" s="550" t="str">
        <f t="shared" si="261"/>
        <v>Market</v>
      </c>
      <c r="AF147" s="545">
        <f t="shared" si="262"/>
        <v>1</v>
      </c>
      <c r="AG147" s="546">
        <f t="shared" si="263"/>
        <v>701</v>
      </c>
      <c r="AH147" s="547">
        <f t="shared" si="264"/>
        <v>0</v>
      </c>
      <c r="AI147" s="548">
        <f t="shared" si="268"/>
        <v>8496.8761421003655</v>
      </c>
    </row>
    <row r="148" spans="2:35" s="120" customFormat="1" ht="15.75" customHeight="1" x14ac:dyDescent="0.2">
      <c r="B148" s="551" t="str">
        <f t="shared" si="244"/>
        <v>1x1</v>
      </c>
      <c r="C148" s="552" t="str">
        <f t="shared" si="244"/>
        <v>S8 Voucher</v>
      </c>
      <c r="D148" s="551">
        <f t="shared" si="245"/>
        <v>3</v>
      </c>
      <c r="E148" s="553">
        <f t="shared" si="246"/>
        <v>701</v>
      </c>
      <c r="F148" s="554">
        <f>F125*(1+Dashboard!$P$12)</f>
        <v>77.613399274384989</v>
      </c>
      <c r="G148" s="555">
        <f>G125*(1+Dashboard!$P$11)</f>
        <v>932.55484358914919</v>
      </c>
      <c r="H148" s="549">
        <f t="shared" si="247"/>
        <v>854.94144431476423</v>
      </c>
      <c r="I148" s="556">
        <f>I125*(1+Dashboard!$P$11)</f>
        <v>815.53771852930697</v>
      </c>
      <c r="J148" s="557">
        <f t="shared" si="248"/>
        <v>737.92431925492201</v>
      </c>
      <c r="K148" s="558">
        <f>K125*(1+Dashboard!$P$11)</f>
        <v>0</v>
      </c>
      <c r="L148" s="559">
        <f t="shared" si="249"/>
        <v>702.10275035905204</v>
      </c>
      <c r="M148" s="559">
        <f>M125*(1+Dashboard!$P$11)</f>
        <v>624.48935108466708</v>
      </c>
      <c r="N148" s="548">
        <f t="shared" si="250"/>
        <v>22481.616639048014</v>
      </c>
      <c r="P148" s="545" t="str">
        <f t="shared" si="251"/>
        <v>1x1</v>
      </c>
      <c r="Q148" s="550" t="str">
        <f t="shared" si="252"/>
        <v>S8 Voucher</v>
      </c>
      <c r="R148" s="545">
        <f t="shared" si="253"/>
        <v>3</v>
      </c>
      <c r="S148" s="546">
        <f t="shared" si="254"/>
        <v>701</v>
      </c>
      <c r="T148" s="547">
        <f t="shared" si="255"/>
        <v>77.613399274384989</v>
      </c>
      <c r="U148" s="548">
        <f t="shared" si="265"/>
        <v>22481.616639048014</v>
      </c>
      <c r="W148" s="545" t="str">
        <f t="shared" si="256"/>
        <v>1x1</v>
      </c>
      <c r="X148" s="550" t="str">
        <f t="shared" si="257"/>
        <v>S8 Voucher</v>
      </c>
      <c r="Y148" s="545">
        <f t="shared" si="258"/>
        <v>3</v>
      </c>
      <c r="Z148" s="546">
        <f t="shared" si="259"/>
        <v>701</v>
      </c>
      <c r="AA148" s="547">
        <f t="shared" si="260"/>
        <v>77.613399274384989</v>
      </c>
      <c r="AB148" s="549">
        <f t="shared" ref="AB148:AB149" si="269">((H148*Y148)*12)</f>
        <v>30777.891995331513</v>
      </c>
      <c r="AD148" s="545" t="str">
        <f t="shared" si="267"/>
        <v>1x1</v>
      </c>
      <c r="AE148" s="550" t="str">
        <f t="shared" si="261"/>
        <v>S8 Voucher</v>
      </c>
      <c r="AF148" s="545">
        <f t="shared" si="262"/>
        <v>3</v>
      </c>
      <c r="AG148" s="546">
        <f t="shared" si="263"/>
        <v>701</v>
      </c>
      <c r="AH148" s="547">
        <f t="shared" si="264"/>
        <v>77.613399274384989</v>
      </c>
      <c r="AI148" s="548">
        <f t="shared" si="268"/>
        <v>30777.891995331513</v>
      </c>
    </row>
    <row r="149" spans="2:35" s="120" customFormat="1" ht="15.75" customHeight="1" x14ac:dyDescent="0.2">
      <c r="B149" s="551" t="str">
        <f t="shared" si="244"/>
        <v>2x1.5</v>
      </c>
      <c r="C149" s="552" t="str">
        <f t="shared" si="244"/>
        <v>40% AMI</v>
      </c>
      <c r="D149" s="551">
        <f t="shared" si="245"/>
        <v>1</v>
      </c>
      <c r="E149" s="553">
        <f t="shared" si="246"/>
        <v>940</v>
      </c>
      <c r="F149" s="554">
        <f>F126*(1+Dashboard!$P$12)</f>
        <v>102.68849750149401</v>
      </c>
      <c r="G149" s="555">
        <f>G126*(1+Dashboard!$P$11)</f>
        <v>643.5941878291311</v>
      </c>
      <c r="H149" s="549">
        <f t="shared" si="247"/>
        <v>540.9056903276371</v>
      </c>
      <c r="I149" s="556">
        <f>I126*(1+Dashboard!$P$11)</f>
        <v>928.97268669956213</v>
      </c>
      <c r="J149" s="557">
        <f t="shared" si="248"/>
        <v>826.28418919806813</v>
      </c>
      <c r="K149" s="558">
        <f>K126*(1+Dashboard!$P$11)</f>
        <v>0</v>
      </c>
      <c r="L149" s="559">
        <f t="shared" si="249"/>
        <v>657.92281538747898</v>
      </c>
      <c r="M149" s="559">
        <f>M126*(1+Dashboard!$P$11)</f>
        <v>555.23431788598498</v>
      </c>
      <c r="N149" s="548">
        <f t="shared" si="250"/>
        <v>6662.8118146318193</v>
      </c>
      <c r="P149" s="545" t="str">
        <f t="shared" si="251"/>
        <v>2x1.5</v>
      </c>
      <c r="Q149" s="550" t="str">
        <f t="shared" si="252"/>
        <v>40% AMI</v>
      </c>
      <c r="R149" s="545">
        <f t="shared" si="253"/>
        <v>1</v>
      </c>
      <c r="S149" s="546">
        <f t="shared" si="254"/>
        <v>940</v>
      </c>
      <c r="T149" s="547">
        <f t="shared" si="255"/>
        <v>102.68849750149401</v>
      </c>
      <c r="U149" s="548">
        <f t="shared" si="265"/>
        <v>6662.8118146318193</v>
      </c>
      <c r="W149" s="545" t="str">
        <f t="shared" si="256"/>
        <v>2x1.5</v>
      </c>
      <c r="X149" s="550" t="str">
        <f t="shared" si="257"/>
        <v>40% AMI</v>
      </c>
      <c r="Y149" s="545">
        <f t="shared" si="258"/>
        <v>1</v>
      </c>
      <c r="Z149" s="546">
        <f t="shared" si="259"/>
        <v>940</v>
      </c>
      <c r="AA149" s="547">
        <f t="shared" si="260"/>
        <v>102.68849750149401</v>
      </c>
      <c r="AB149" s="549">
        <f t="shared" si="269"/>
        <v>6490.8682839316452</v>
      </c>
      <c r="AD149" s="545" t="str">
        <f t="shared" si="267"/>
        <v>2x1.5</v>
      </c>
      <c r="AE149" s="550" t="str">
        <f t="shared" si="261"/>
        <v>40% AMI</v>
      </c>
      <c r="AF149" s="545">
        <f t="shared" si="262"/>
        <v>1</v>
      </c>
      <c r="AG149" s="546">
        <f t="shared" si="263"/>
        <v>940</v>
      </c>
      <c r="AH149" s="547">
        <f t="shared" si="264"/>
        <v>102.68849750149401</v>
      </c>
      <c r="AI149" s="548">
        <f t="shared" si="268"/>
        <v>6662.8118146318193</v>
      </c>
    </row>
    <row r="150" spans="2:35" s="120" customFormat="1" ht="15.75" customHeight="1" x14ac:dyDescent="0.2">
      <c r="B150" s="551" t="str">
        <f t="shared" si="244"/>
        <v>2x1.5</v>
      </c>
      <c r="C150" s="552" t="str">
        <f t="shared" si="244"/>
        <v>50% AMI</v>
      </c>
      <c r="D150" s="551">
        <f t="shared" si="245"/>
        <v>3</v>
      </c>
      <c r="E150" s="553">
        <f t="shared" si="246"/>
        <v>990</v>
      </c>
      <c r="F150" s="554">
        <f>F127*(1+Dashboard!$P$12)</f>
        <v>102.68849750149401</v>
      </c>
      <c r="G150" s="555">
        <f>G127*(1+Dashboard!$P$11)</f>
        <v>829.86634608765507</v>
      </c>
      <c r="H150" s="549">
        <f t="shared" si="247"/>
        <v>727.17784858616108</v>
      </c>
      <c r="I150" s="556">
        <f>I127*(1+Dashboard!$P$11)</f>
        <v>928.97268669956213</v>
      </c>
      <c r="J150" s="557">
        <f t="shared" si="248"/>
        <v>826.28418919806813</v>
      </c>
      <c r="K150" s="558">
        <f>K127*(1+Dashboard!$P$11)</f>
        <v>0</v>
      </c>
      <c r="L150" s="559">
        <f t="shared" si="249"/>
        <v>795.23882948831408</v>
      </c>
      <c r="M150" s="559">
        <f>M127*(1+Dashboard!$P$11)</f>
        <v>692.55033198682008</v>
      </c>
      <c r="N150" s="548">
        <f t="shared" si="250"/>
        <v>24931.81195152552</v>
      </c>
      <c r="P150" s="545" t="str">
        <f t="shared" si="251"/>
        <v>2x1.5</v>
      </c>
      <c r="Q150" s="550" t="str">
        <f t="shared" si="252"/>
        <v>50% AMI</v>
      </c>
      <c r="R150" s="545">
        <f t="shared" si="253"/>
        <v>3</v>
      </c>
      <c r="S150" s="546">
        <f t="shared" si="254"/>
        <v>990</v>
      </c>
      <c r="T150" s="547">
        <f t="shared" si="255"/>
        <v>102.68849750149401</v>
      </c>
      <c r="U150" s="548">
        <f t="shared" si="265"/>
        <v>24931.81195152552</v>
      </c>
      <c r="W150" s="545" t="str">
        <f t="shared" si="256"/>
        <v>2x1.5</v>
      </c>
      <c r="X150" s="550" t="str">
        <f t="shared" si="257"/>
        <v>50% AMI</v>
      </c>
      <c r="Y150" s="545">
        <f t="shared" si="258"/>
        <v>3</v>
      </c>
      <c r="Z150" s="546">
        <f t="shared" si="259"/>
        <v>990</v>
      </c>
      <c r="AA150" s="547">
        <f t="shared" si="260"/>
        <v>102.68849750149401</v>
      </c>
      <c r="AB150" s="549">
        <f>((H150*Y150)*12)</f>
        <v>26178.4025491018</v>
      </c>
      <c r="AD150" s="545" t="str">
        <f t="shared" si="267"/>
        <v>2x1.5</v>
      </c>
      <c r="AE150" s="550" t="str">
        <f t="shared" si="261"/>
        <v>50% AMI</v>
      </c>
      <c r="AF150" s="545">
        <f t="shared" si="262"/>
        <v>3</v>
      </c>
      <c r="AG150" s="546">
        <f t="shared" si="263"/>
        <v>990</v>
      </c>
      <c r="AH150" s="547">
        <f t="shared" si="264"/>
        <v>102.68849750149401</v>
      </c>
      <c r="AI150" s="548">
        <f t="shared" si="268"/>
        <v>26178.4025491018</v>
      </c>
    </row>
    <row r="151" spans="2:35" s="120" customFormat="1" ht="15.75" customHeight="1" x14ac:dyDescent="0.2">
      <c r="B151" s="551" t="str">
        <f t="shared" ref="B151:C151" si="270">B128</f>
        <v>2x1.5</v>
      </c>
      <c r="C151" s="552" t="str">
        <f t="shared" si="270"/>
        <v>60% AMI</v>
      </c>
      <c r="D151" s="551">
        <f t="shared" ref="D151:D163" si="271">$D128</f>
        <v>2</v>
      </c>
      <c r="E151" s="553">
        <f t="shared" ref="E151:E163" si="272">E128</f>
        <v>980</v>
      </c>
      <c r="F151" s="554">
        <f>F128*(1+Dashboard!$P$12)</f>
        <v>102.68849750149401</v>
      </c>
      <c r="G151" s="555">
        <f>G128*(1+Dashboard!$P$11)</f>
        <v>1016.1385043461793</v>
      </c>
      <c r="H151" s="549">
        <f t="shared" si="247"/>
        <v>913.45000684468528</v>
      </c>
      <c r="I151" s="556">
        <f>I128*(1+Dashboard!$P$11)</f>
        <v>928.97268669956213</v>
      </c>
      <c r="J151" s="557">
        <f t="shared" si="248"/>
        <v>826.28418919806813</v>
      </c>
      <c r="K151" s="558">
        <f>K128*(1+Dashboard!$P$11)</f>
        <v>0</v>
      </c>
      <c r="L151" s="559">
        <f t="shared" si="249"/>
        <v>869.27007187311222</v>
      </c>
      <c r="M151" s="559">
        <f>M128*(1+Dashboard!$P$11)</f>
        <v>766.58157437161822</v>
      </c>
      <c r="N151" s="548">
        <f t="shared" si="250"/>
        <v>18397.957784918835</v>
      </c>
      <c r="P151" s="545" t="str">
        <f>B151</f>
        <v>2x1.5</v>
      </c>
      <c r="Q151" s="550" t="str">
        <f t="shared" si="252"/>
        <v>60% AMI</v>
      </c>
      <c r="R151" s="545">
        <f t="shared" si="253"/>
        <v>2</v>
      </c>
      <c r="S151" s="546">
        <f t="shared" si="254"/>
        <v>980</v>
      </c>
      <c r="T151" s="547">
        <f t="shared" si="255"/>
        <v>102.68849750149401</v>
      </c>
      <c r="U151" s="548">
        <f t="shared" si="265"/>
        <v>18397.957784918835</v>
      </c>
      <c r="W151" s="545" t="str">
        <f t="shared" si="256"/>
        <v>2x1.5</v>
      </c>
      <c r="X151" s="550" t="str">
        <f t="shared" si="257"/>
        <v>60% AMI</v>
      </c>
      <c r="Y151" s="545">
        <f t="shared" si="258"/>
        <v>2</v>
      </c>
      <c r="Z151" s="546">
        <f t="shared" si="259"/>
        <v>980</v>
      </c>
      <c r="AA151" s="547">
        <f t="shared" si="260"/>
        <v>102.68849750149401</v>
      </c>
      <c r="AB151" s="549">
        <f t="shared" ref="AB151:AB163" si="273">((H151*Y151)*12)</f>
        <v>21922.800164272448</v>
      </c>
      <c r="AD151" s="545" t="str">
        <f t="shared" si="267"/>
        <v>2x1.5</v>
      </c>
      <c r="AE151" s="550" t="str">
        <f t="shared" si="261"/>
        <v>60% AMI</v>
      </c>
      <c r="AF151" s="545">
        <f t="shared" si="262"/>
        <v>2</v>
      </c>
      <c r="AG151" s="546">
        <f t="shared" si="263"/>
        <v>980</v>
      </c>
      <c r="AH151" s="547">
        <f t="shared" si="264"/>
        <v>102.68849750149401</v>
      </c>
      <c r="AI151" s="548">
        <f t="shared" si="268"/>
        <v>21922.800164272448</v>
      </c>
    </row>
    <row r="152" spans="2:35" s="120" customFormat="1" ht="15.75" customHeight="1" x14ac:dyDescent="0.2">
      <c r="B152" s="551" t="str">
        <f t="shared" ref="B152:C152" si="274">B129</f>
        <v>2x2</v>
      </c>
      <c r="C152" s="552" t="str">
        <f t="shared" si="274"/>
        <v>50% AMI</v>
      </c>
      <c r="D152" s="551">
        <f t="shared" si="271"/>
        <v>1</v>
      </c>
      <c r="E152" s="553">
        <f t="shared" si="272"/>
        <v>968</v>
      </c>
      <c r="F152" s="554">
        <f>F129*(1+Dashboard!$P$12)</f>
        <v>102.68849750149401</v>
      </c>
      <c r="G152" s="555">
        <f>G129*(1+Dashboard!$P$11)</f>
        <v>829.86634608765507</v>
      </c>
      <c r="H152" s="549">
        <f t="shared" si="247"/>
        <v>727.17784858616108</v>
      </c>
      <c r="I152" s="556">
        <f>I129*(1+Dashboard!$P$11)</f>
        <v>928.97268669956213</v>
      </c>
      <c r="J152" s="557">
        <f t="shared" si="248"/>
        <v>826.28418919806813</v>
      </c>
      <c r="K152" s="558">
        <f>K129*(1+Dashboard!$P$11)</f>
        <v>0</v>
      </c>
      <c r="L152" s="559">
        <f t="shared" si="249"/>
        <v>831.06039838418428</v>
      </c>
      <c r="M152" s="559">
        <f>M129*(1+Dashboard!$P$11)</f>
        <v>728.37190088269028</v>
      </c>
      <c r="N152" s="548">
        <f t="shared" si="250"/>
        <v>8740.4628105922839</v>
      </c>
      <c r="P152" s="545" t="str">
        <f t="shared" ref="P152:P163" si="275">B152</f>
        <v>2x2</v>
      </c>
      <c r="Q152" s="550" t="str">
        <f t="shared" si="252"/>
        <v>50% AMI</v>
      </c>
      <c r="R152" s="545">
        <f t="shared" si="253"/>
        <v>1</v>
      </c>
      <c r="S152" s="546">
        <f t="shared" si="254"/>
        <v>968</v>
      </c>
      <c r="T152" s="547">
        <f t="shared" si="255"/>
        <v>102.68849750149401</v>
      </c>
      <c r="U152" s="548">
        <f t="shared" si="265"/>
        <v>8740.4628105922839</v>
      </c>
      <c r="W152" s="545" t="str">
        <f t="shared" si="256"/>
        <v>2x2</v>
      </c>
      <c r="X152" s="550" t="str">
        <f t="shared" si="257"/>
        <v>50% AMI</v>
      </c>
      <c r="Y152" s="545">
        <f t="shared" si="258"/>
        <v>1</v>
      </c>
      <c r="Z152" s="546">
        <f t="shared" si="259"/>
        <v>968</v>
      </c>
      <c r="AA152" s="547">
        <f t="shared" si="260"/>
        <v>102.68849750149401</v>
      </c>
      <c r="AB152" s="549">
        <f t="shared" si="273"/>
        <v>8726.1341830339334</v>
      </c>
      <c r="AD152" s="545" t="str">
        <f t="shared" si="267"/>
        <v>2x2</v>
      </c>
      <c r="AE152" s="550" t="str">
        <f t="shared" si="261"/>
        <v>50% AMI</v>
      </c>
      <c r="AF152" s="545">
        <f t="shared" si="262"/>
        <v>1</v>
      </c>
      <c r="AG152" s="546">
        <f t="shared" si="263"/>
        <v>968</v>
      </c>
      <c r="AH152" s="547">
        <f t="shared" si="264"/>
        <v>102.68849750149401</v>
      </c>
      <c r="AI152" s="548">
        <f t="shared" si="268"/>
        <v>8740.4628105922839</v>
      </c>
    </row>
    <row r="153" spans="2:35" s="120" customFormat="1" ht="15.75" customHeight="1" x14ac:dyDescent="0.2">
      <c r="B153" s="551" t="str">
        <f t="shared" ref="B153:C153" si="276">B130</f>
        <v>2x2</v>
      </c>
      <c r="C153" s="552" t="str">
        <f t="shared" si="276"/>
        <v>60% AMI</v>
      </c>
      <c r="D153" s="551">
        <f t="shared" si="271"/>
        <v>2</v>
      </c>
      <c r="E153" s="553">
        <f t="shared" si="272"/>
        <v>968</v>
      </c>
      <c r="F153" s="554">
        <f>F130*(1+Dashboard!$P$12)</f>
        <v>102.68849750149401</v>
      </c>
      <c r="G153" s="555">
        <f>G130*(1+Dashboard!$P$11)</f>
        <v>1016.1385043461793</v>
      </c>
      <c r="H153" s="549">
        <f t="shared" si="247"/>
        <v>913.45000684468528</v>
      </c>
      <c r="I153" s="556">
        <f>I130*(1+Dashboard!$P$11)</f>
        <v>928.97268669956213</v>
      </c>
      <c r="J153" s="557">
        <f t="shared" si="248"/>
        <v>826.28418919806813</v>
      </c>
      <c r="K153" s="558">
        <f>K130*(1+Dashboard!$P$11)</f>
        <v>0</v>
      </c>
      <c r="L153" s="559">
        <f t="shared" si="249"/>
        <v>860.91170579740913</v>
      </c>
      <c r="M153" s="559">
        <f>M130*(1+Dashboard!$P$11)</f>
        <v>758.22320829591513</v>
      </c>
      <c r="N153" s="548">
        <f t="shared" si="250"/>
        <v>18197.356999101961</v>
      </c>
      <c r="P153" s="545" t="str">
        <f t="shared" si="275"/>
        <v>2x2</v>
      </c>
      <c r="Q153" s="550" t="str">
        <f t="shared" si="252"/>
        <v>60% AMI</v>
      </c>
      <c r="R153" s="545">
        <f t="shared" si="253"/>
        <v>2</v>
      </c>
      <c r="S153" s="546">
        <f t="shared" si="254"/>
        <v>968</v>
      </c>
      <c r="T153" s="547">
        <f t="shared" si="255"/>
        <v>102.68849750149401</v>
      </c>
      <c r="U153" s="548">
        <f t="shared" si="265"/>
        <v>18197.356999101961</v>
      </c>
      <c r="W153" s="545" t="str">
        <f t="shared" si="256"/>
        <v>2x2</v>
      </c>
      <c r="X153" s="550" t="str">
        <f t="shared" si="257"/>
        <v>60% AMI</v>
      </c>
      <c r="Y153" s="545">
        <f t="shared" si="258"/>
        <v>2</v>
      </c>
      <c r="Z153" s="546">
        <f t="shared" si="259"/>
        <v>968</v>
      </c>
      <c r="AA153" s="547">
        <f t="shared" si="260"/>
        <v>102.68849750149401</v>
      </c>
      <c r="AB153" s="549">
        <f t="shared" si="273"/>
        <v>21922.800164272448</v>
      </c>
      <c r="AD153" s="545" t="str">
        <f t="shared" si="267"/>
        <v>2x2</v>
      </c>
      <c r="AE153" s="550" t="str">
        <f t="shared" si="261"/>
        <v>60% AMI</v>
      </c>
      <c r="AF153" s="545">
        <f t="shared" si="262"/>
        <v>2</v>
      </c>
      <c r="AG153" s="546">
        <f t="shared" si="263"/>
        <v>968</v>
      </c>
      <c r="AH153" s="547">
        <f t="shared" si="264"/>
        <v>102.68849750149401</v>
      </c>
      <c r="AI153" s="548">
        <f t="shared" si="268"/>
        <v>21922.800164272448</v>
      </c>
    </row>
    <row r="154" spans="2:35" s="120" customFormat="1" ht="15.75" customHeight="1" x14ac:dyDescent="0.2">
      <c r="B154" s="551" t="str">
        <f t="shared" ref="B154:C154" si="277">B131</f>
        <v>2x2</v>
      </c>
      <c r="C154" s="552" t="str">
        <f t="shared" si="277"/>
        <v>Market</v>
      </c>
      <c r="D154" s="551">
        <f t="shared" si="271"/>
        <v>0</v>
      </c>
      <c r="E154" s="553">
        <f t="shared" si="272"/>
        <v>968</v>
      </c>
      <c r="F154" s="554">
        <f>F131*(1+Dashboard!$P$12)</f>
        <v>0</v>
      </c>
      <c r="G154" s="555">
        <f>G131*(1+Dashboard!$P$11)</f>
        <v>0</v>
      </c>
      <c r="H154" s="549">
        <f t="shared" si="247"/>
        <v>0</v>
      </c>
      <c r="I154" s="556">
        <f>I131*(1+Dashboard!$P$11)</f>
        <v>928.97268669956213</v>
      </c>
      <c r="J154" s="557">
        <f t="shared" si="248"/>
        <v>928.97268669956213</v>
      </c>
      <c r="K154" s="558">
        <f>K131*(1+Dashboard!$P$11)</f>
        <v>0</v>
      </c>
      <c r="L154" s="559">
        <f t="shared" si="249"/>
        <v>0</v>
      </c>
      <c r="M154" s="559">
        <f>M131*(1+Dashboard!$P$11)</f>
        <v>0</v>
      </c>
      <c r="N154" s="548">
        <f t="shared" si="250"/>
        <v>0</v>
      </c>
      <c r="P154" s="545" t="str">
        <f t="shared" si="275"/>
        <v>2x2</v>
      </c>
      <c r="Q154" s="550" t="str">
        <f t="shared" si="252"/>
        <v>Market</v>
      </c>
      <c r="R154" s="545">
        <f t="shared" si="253"/>
        <v>0</v>
      </c>
      <c r="S154" s="546">
        <f t="shared" si="254"/>
        <v>968</v>
      </c>
      <c r="T154" s="547">
        <f t="shared" si="255"/>
        <v>0</v>
      </c>
      <c r="U154" s="548">
        <f t="shared" si="265"/>
        <v>0</v>
      </c>
      <c r="W154" s="545" t="str">
        <f t="shared" si="256"/>
        <v>2x2</v>
      </c>
      <c r="X154" s="550" t="str">
        <f t="shared" si="257"/>
        <v>Market</v>
      </c>
      <c r="Y154" s="545">
        <f t="shared" si="258"/>
        <v>0</v>
      </c>
      <c r="Z154" s="546">
        <f t="shared" si="259"/>
        <v>968</v>
      </c>
      <c r="AA154" s="547">
        <f t="shared" si="260"/>
        <v>0</v>
      </c>
      <c r="AB154" s="549">
        <f t="shared" si="273"/>
        <v>0</v>
      </c>
      <c r="AD154" s="545" t="str">
        <f t="shared" si="267"/>
        <v>2x2</v>
      </c>
      <c r="AE154" s="550" t="str">
        <f t="shared" si="261"/>
        <v>Market</v>
      </c>
      <c r="AF154" s="545">
        <f t="shared" si="262"/>
        <v>0</v>
      </c>
      <c r="AG154" s="546">
        <f t="shared" si="263"/>
        <v>968</v>
      </c>
      <c r="AH154" s="547">
        <f t="shared" si="264"/>
        <v>0</v>
      </c>
      <c r="AI154" s="548">
        <f t="shared" si="268"/>
        <v>0</v>
      </c>
    </row>
    <row r="155" spans="2:35" s="120" customFormat="1" ht="15.75" customHeight="1" x14ac:dyDescent="0.2">
      <c r="B155" s="551" t="str">
        <f t="shared" ref="B155:C155" si="278">B132</f>
        <v>2x2 (TH)</v>
      </c>
      <c r="C155" s="552" t="str">
        <f t="shared" si="278"/>
        <v>40% AMI</v>
      </c>
      <c r="D155" s="551">
        <f t="shared" si="271"/>
        <v>1</v>
      </c>
      <c r="E155" s="553">
        <f t="shared" si="272"/>
        <v>1058</v>
      </c>
      <c r="F155" s="554">
        <f>F132*(1+Dashboard!$P$12)</f>
        <v>102.68849750149401</v>
      </c>
      <c r="G155" s="555">
        <f>G132*(1+Dashboard!$P$11)</f>
        <v>643.5941878291311</v>
      </c>
      <c r="H155" s="549">
        <f t="shared" si="247"/>
        <v>540.9056903276371</v>
      </c>
      <c r="I155" s="556">
        <f>I132*(1+Dashboard!$P$11)</f>
        <v>928.97268669956213</v>
      </c>
      <c r="J155" s="557">
        <f t="shared" si="248"/>
        <v>826.28418919806813</v>
      </c>
      <c r="K155" s="558">
        <f>K132*(1+Dashboard!$P$11)</f>
        <v>0</v>
      </c>
      <c r="L155" s="559">
        <f t="shared" si="249"/>
        <v>640.01203093954416</v>
      </c>
      <c r="M155" s="559">
        <f>M132*(1+Dashboard!$P$11)</f>
        <v>537.32353343805016</v>
      </c>
      <c r="N155" s="548">
        <f t="shared" si="250"/>
        <v>6447.882401256602</v>
      </c>
      <c r="P155" s="545" t="str">
        <f t="shared" si="275"/>
        <v>2x2 (TH)</v>
      </c>
      <c r="Q155" s="550" t="str">
        <f t="shared" si="252"/>
        <v>40% AMI</v>
      </c>
      <c r="R155" s="545">
        <f t="shared" si="253"/>
        <v>1</v>
      </c>
      <c r="S155" s="546">
        <f t="shared" si="254"/>
        <v>1058</v>
      </c>
      <c r="T155" s="547">
        <f t="shared" si="255"/>
        <v>102.68849750149401</v>
      </c>
      <c r="U155" s="548">
        <f t="shared" si="265"/>
        <v>6447.882401256602</v>
      </c>
      <c r="W155" s="545" t="str">
        <f t="shared" si="256"/>
        <v>2x2 (TH)</v>
      </c>
      <c r="X155" s="550" t="str">
        <f t="shared" si="257"/>
        <v>40% AMI</v>
      </c>
      <c r="Y155" s="545">
        <f t="shared" si="258"/>
        <v>1</v>
      </c>
      <c r="Z155" s="546">
        <f t="shared" si="259"/>
        <v>1058</v>
      </c>
      <c r="AA155" s="547">
        <f t="shared" si="260"/>
        <v>102.68849750149401</v>
      </c>
      <c r="AB155" s="549">
        <f t="shared" si="273"/>
        <v>6490.8682839316452</v>
      </c>
      <c r="AD155" s="545" t="str">
        <f t="shared" si="267"/>
        <v>2x2 (TH)</v>
      </c>
      <c r="AE155" s="550" t="str">
        <f t="shared" si="261"/>
        <v>40% AMI</v>
      </c>
      <c r="AF155" s="545">
        <f t="shared" si="262"/>
        <v>1</v>
      </c>
      <c r="AG155" s="546">
        <f t="shared" si="263"/>
        <v>1058</v>
      </c>
      <c r="AH155" s="547">
        <f t="shared" si="264"/>
        <v>102.68849750149401</v>
      </c>
      <c r="AI155" s="548">
        <f t="shared" si="268"/>
        <v>6490.8682839316452</v>
      </c>
    </row>
    <row r="156" spans="2:35" s="120" customFormat="1" ht="15.75" customHeight="1" x14ac:dyDescent="0.2">
      <c r="B156" s="551" t="str">
        <f t="shared" ref="B156:C156" si="279">B133</f>
        <v>2x2 (TH)</v>
      </c>
      <c r="C156" s="552" t="str">
        <f t="shared" si="279"/>
        <v>50% AMI</v>
      </c>
      <c r="D156" s="551">
        <f t="shared" si="271"/>
        <v>1</v>
      </c>
      <c r="E156" s="553">
        <f t="shared" si="272"/>
        <v>1058</v>
      </c>
      <c r="F156" s="554">
        <f>F133*(1+Dashboard!$P$12)</f>
        <v>102.68849750149401</v>
      </c>
      <c r="G156" s="555">
        <f>G133*(1+Dashboard!$P$11)</f>
        <v>829.86634608765507</v>
      </c>
      <c r="H156" s="549">
        <f t="shared" si="247"/>
        <v>727.17784858616108</v>
      </c>
      <c r="I156" s="556">
        <f>I133*(1+Dashboard!$P$11)</f>
        <v>928.97268669956213</v>
      </c>
      <c r="J156" s="557">
        <f t="shared" si="248"/>
        <v>826.28418919806813</v>
      </c>
      <c r="K156" s="558">
        <f>K133*(1+Dashboard!$P$11)</f>
        <v>0</v>
      </c>
      <c r="L156" s="559">
        <f t="shared" si="249"/>
        <v>174.331635293234</v>
      </c>
      <c r="M156" s="559">
        <f>M133*(1+Dashboard!$P$11)</f>
        <v>71.643137791740003</v>
      </c>
      <c r="N156" s="548">
        <f t="shared" si="250"/>
        <v>859.71765350088003</v>
      </c>
      <c r="P156" s="545" t="str">
        <f t="shared" si="275"/>
        <v>2x2 (TH)</v>
      </c>
      <c r="Q156" s="550" t="str">
        <f t="shared" si="252"/>
        <v>50% AMI</v>
      </c>
      <c r="R156" s="545">
        <f t="shared" si="253"/>
        <v>1</v>
      </c>
      <c r="S156" s="546">
        <f t="shared" si="254"/>
        <v>1058</v>
      </c>
      <c r="T156" s="547">
        <f t="shared" si="255"/>
        <v>102.68849750149401</v>
      </c>
      <c r="U156" s="548">
        <f t="shared" si="265"/>
        <v>859.71765350088003</v>
      </c>
      <c r="W156" s="545" t="str">
        <f t="shared" si="256"/>
        <v>2x2 (TH)</v>
      </c>
      <c r="X156" s="550" t="str">
        <f t="shared" si="257"/>
        <v>50% AMI</v>
      </c>
      <c r="Y156" s="545">
        <f t="shared" si="258"/>
        <v>1</v>
      </c>
      <c r="Z156" s="546">
        <f t="shared" si="259"/>
        <v>1058</v>
      </c>
      <c r="AA156" s="547">
        <f t="shared" si="260"/>
        <v>102.68849750149401</v>
      </c>
      <c r="AB156" s="549">
        <f t="shared" si="273"/>
        <v>8726.1341830339334</v>
      </c>
      <c r="AD156" s="545" t="str">
        <f t="shared" si="267"/>
        <v>2x2 (TH)</v>
      </c>
      <c r="AE156" s="550" t="str">
        <f t="shared" si="261"/>
        <v>50% AMI</v>
      </c>
      <c r="AF156" s="545">
        <f t="shared" si="262"/>
        <v>1</v>
      </c>
      <c r="AG156" s="546">
        <f t="shared" si="263"/>
        <v>1058</v>
      </c>
      <c r="AH156" s="547">
        <f t="shared" si="264"/>
        <v>102.68849750149401</v>
      </c>
      <c r="AI156" s="548">
        <f t="shared" si="268"/>
        <v>8726.1341830339334</v>
      </c>
    </row>
    <row r="157" spans="2:35" s="120" customFormat="1" ht="15.75" customHeight="1" x14ac:dyDescent="0.2">
      <c r="B157" s="551" t="str">
        <f t="shared" ref="B157:C157" si="280">B134</f>
        <v>2x2 (TH)</v>
      </c>
      <c r="C157" s="552" t="str">
        <f t="shared" si="280"/>
        <v>60% AMI</v>
      </c>
      <c r="D157" s="551">
        <f t="shared" si="271"/>
        <v>16</v>
      </c>
      <c r="E157" s="553">
        <f t="shared" si="272"/>
        <v>1058</v>
      </c>
      <c r="F157" s="554">
        <f>F134*(1+Dashboard!$P$12)</f>
        <v>102.68849750149401</v>
      </c>
      <c r="G157" s="555">
        <f>G134*(1+Dashboard!$P$11)</f>
        <v>1016.1385043461793</v>
      </c>
      <c r="H157" s="549">
        <f t="shared" si="247"/>
        <v>913.45000684468528</v>
      </c>
      <c r="I157" s="556">
        <f>I134*(1+Dashboard!$P$11)</f>
        <v>928.97268669956213</v>
      </c>
      <c r="J157" s="557">
        <f t="shared" si="248"/>
        <v>826.28418919806813</v>
      </c>
      <c r="K157" s="558">
        <f>K134*(1+Dashboard!$P$11)</f>
        <v>0</v>
      </c>
      <c r="L157" s="559">
        <f t="shared" si="249"/>
        <v>926.58458210650417</v>
      </c>
      <c r="M157" s="559">
        <f>M134*(1+Dashboard!$P$11)</f>
        <v>823.89608460501017</v>
      </c>
      <c r="N157" s="548">
        <f t="shared" si="250"/>
        <v>158188.04824416194</v>
      </c>
      <c r="P157" s="545" t="str">
        <f t="shared" si="275"/>
        <v>2x2 (TH)</v>
      </c>
      <c r="Q157" s="550" t="str">
        <f t="shared" si="252"/>
        <v>60% AMI</v>
      </c>
      <c r="R157" s="545">
        <f t="shared" si="253"/>
        <v>16</v>
      </c>
      <c r="S157" s="546">
        <f t="shared" si="254"/>
        <v>1058</v>
      </c>
      <c r="T157" s="547">
        <f t="shared" si="255"/>
        <v>102.68849750149401</v>
      </c>
      <c r="U157" s="548">
        <f t="shared" si="265"/>
        <v>158188.04824416194</v>
      </c>
      <c r="W157" s="545" t="str">
        <f t="shared" si="256"/>
        <v>2x2 (TH)</v>
      </c>
      <c r="X157" s="550" t="str">
        <f t="shared" si="257"/>
        <v>60% AMI</v>
      </c>
      <c r="Y157" s="545">
        <f t="shared" si="258"/>
        <v>16</v>
      </c>
      <c r="Z157" s="546">
        <f t="shared" si="259"/>
        <v>1058</v>
      </c>
      <c r="AA157" s="547">
        <f t="shared" si="260"/>
        <v>102.68849750149401</v>
      </c>
      <c r="AB157" s="549">
        <f t="shared" si="273"/>
        <v>175382.40131417959</v>
      </c>
      <c r="AD157" s="545" t="str">
        <f t="shared" si="267"/>
        <v>2x2 (TH)</v>
      </c>
      <c r="AE157" s="550" t="str">
        <f t="shared" si="261"/>
        <v>60% AMI</v>
      </c>
      <c r="AF157" s="545">
        <f t="shared" si="262"/>
        <v>16</v>
      </c>
      <c r="AG157" s="546">
        <f t="shared" si="263"/>
        <v>1058</v>
      </c>
      <c r="AH157" s="547">
        <f t="shared" si="264"/>
        <v>102.68849750149401</v>
      </c>
      <c r="AI157" s="548">
        <f t="shared" si="268"/>
        <v>175382.40131417959</v>
      </c>
    </row>
    <row r="158" spans="2:35" s="120" customFormat="1" ht="15.75" customHeight="1" x14ac:dyDescent="0.2">
      <c r="B158" s="551" t="str">
        <f t="shared" ref="B158:C158" si="281">B135</f>
        <v>2x2 (TH)</v>
      </c>
      <c r="C158" s="552" t="str">
        <f t="shared" si="281"/>
        <v>Market</v>
      </c>
      <c r="D158" s="551">
        <f t="shared" si="271"/>
        <v>1</v>
      </c>
      <c r="E158" s="553">
        <f t="shared" si="272"/>
        <v>1058</v>
      </c>
      <c r="F158" s="554">
        <f>F135*(1+Dashboard!$P$12)</f>
        <v>0</v>
      </c>
      <c r="G158" s="555">
        <f>G135*(1+Dashboard!$P$11)</f>
        <v>0</v>
      </c>
      <c r="H158" s="549">
        <f t="shared" si="247"/>
        <v>0</v>
      </c>
      <c r="I158" s="556">
        <f>I135*(1+Dashboard!$P$11)</f>
        <v>928.97268669956213</v>
      </c>
      <c r="J158" s="557">
        <f t="shared" si="248"/>
        <v>928.97268669956213</v>
      </c>
      <c r="K158" s="558">
        <f>K135*(1+Dashboard!$P$11)</f>
        <v>0</v>
      </c>
      <c r="L158" s="559">
        <f t="shared" si="249"/>
        <v>895.53922239675023</v>
      </c>
      <c r="M158" s="559">
        <f>M135*(1+Dashboard!$P$11)</f>
        <v>895.53922239675023</v>
      </c>
      <c r="N158" s="548">
        <f t="shared" si="250"/>
        <v>10746.470668761003</v>
      </c>
      <c r="P158" s="545" t="str">
        <f t="shared" si="275"/>
        <v>2x2 (TH)</v>
      </c>
      <c r="Q158" s="550" t="str">
        <f t="shared" si="252"/>
        <v>Market</v>
      </c>
      <c r="R158" s="545">
        <f t="shared" si="253"/>
        <v>1</v>
      </c>
      <c r="S158" s="546">
        <f t="shared" si="254"/>
        <v>1058</v>
      </c>
      <c r="T158" s="547">
        <f t="shared" si="255"/>
        <v>0</v>
      </c>
      <c r="U158" s="548">
        <f t="shared" si="265"/>
        <v>10746.470668761003</v>
      </c>
      <c r="W158" s="545" t="str">
        <f t="shared" si="256"/>
        <v>2x2 (TH)</v>
      </c>
      <c r="X158" s="550" t="str">
        <f t="shared" si="257"/>
        <v>Market</v>
      </c>
      <c r="Y158" s="545">
        <f t="shared" si="258"/>
        <v>1</v>
      </c>
      <c r="Z158" s="546">
        <f t="shared" si="259"/>
        <v>1058</v>
      </c>
      <c r="AA158" s="547">
        <f t="shared" si="260"/>
        <v>0</v>
      </c>
      <c r="AB158" s="549">
        <f t="shared" si="273"/>
        <v>0</v>
      </c>
      <c r="AD158" s="545" t="str">
        <f t="shared" si="267"/>
        <v>2x2 (TH)</v>
      </c>
      <c r="AE158" s="550" t="str">
        <f t="shared" si="261"/>
        <v>Market</v>
      </c>
      <c r="AF158" s="545">
        <f t="shared" si="262"/>
        <v>1</v>
      </c>
      <c r="AG158" s="546">
        <f t="shared" si="263"/>
        <v>1058</v>
      </c>
      <c r="AH158" s="547">
        <f t="shared" si="264"/>
        <v>0</v>
      </c>
      <c r="AI158" s="548">
        <f t="shared" si="268"/>
        <v>10746.470668761003</v>
      </c>
    </row>
    <row r="159" spans="2:35" s="120" customFormat="1" ht="15.75" customHeight="1" x14ac:dyDescent="0.2">
      <c r="B159" s="551" t="str">
        <f t="shared" ref="B159:C159" si="282">B136</f>
        <v xml:space="preserve">2x1.5-2x2 </v>
      </c>
      <c r="C159" s="552" t="str">
        <f t="shared" si="282"/>
        <v>S8 Voucher</v>
      </c>
      <c r="D159" s="551">
        <f t="shared" si="271"/>
        <v>18</v>
      </c>
      <c r="E159" s="553">
        <f t="shared" si="272"/>
        <v>0</v>
      </c>
      <c r="F159" s="554">
        <f>F136*(1+Dashboard!$P$12)</f>
        <v>102.68849750149401</v>
      </c>
      <c r="G159" s="555">
        <f>G136*(1+Dashboard!$P$11)</f>
        <v>1016.1385043461793</v>
      </c>
      <c r="H159" s="549">
        <f t="shared" si="247"/>
        <v>913.45000684468528</v>
      </c>
      <c r="I159" s="556">
        <f>I136*(1+Dashboard!$P$11)</f>
        <v>928.97268669956213</v>
      </c>
      <c r="J159" s="557">
        <f t="shared" si="248"/>
        <v>826.28418919806813</v>
      </c>
      <c r="K159" s="558">
        <f>K136*(1+Dashboard!$P$11)</f>
        <v>0</v>
      </c>
      <c r="L159" s="559">
        <f t="shared" si="249"/>
        <v>981.51098774683805</v>
      </c>
      <c r="M159" s="559">
        <f>M136*(1+Dashboard!$P$11)</f>
        <v>878.82249024534406</v>
      </c>
      <c r="N159" s="548">
        <f t="shared" si="250"/>
        <v>189825.65789299432</v>
      </c>
      <c r="P159" s="545" t="str">
        <f t="shared" si="275"/>
        <v xml:space="preserve">2x1.5-2x2 </v>
      </c>
      <c r="Q159" s="550" t="str">
        <f t="shared" si="252"/>
        <v>S8 Voucher</v>
      </c>
      <c r="R159" s="545">
        <f t="shared" si="253"/>
        <v>18</v>
      </c>
      <c r="S159" s="546">
        <f t="shared" si="254"/>
        <v>0</v>
      </c>
      <c r="T159" s="547">
        <f t="shared" si="255"/>
        <v>102.68849750149401</v>
      </c>
      <c r="U159" s="548">
        <f t="shared" si="265"/>
        <v>189825.65789299432</v>
      </c>
      <c r="W159" s="545" t="str">
        <f t="shared" si="256"/>
        <v xml:space="preserve">2x1.5-2x2 </v>
      </c>
      <c r="X159" s="550" t="str">
        <f t="shared" si="257"/>
        <v>S8 Voucher</v>
      </c>
      <c r="Y159" s="545">
        <f t="shared" si="258"/>
        <v>18</v>
      </c>
      <c r="Z159" s="546">
        <f t="shared" si="259"/>
        <v>0</v>
      </c>
      <c r="AA159" s="547">
        <f t="shared" si="260"/>
        <v>102.68849750149401</v>
      </c>
      <c r="AB159" s="549">
        <f t="shared" si="273"/>
        <v>197305.20147845201</v>
      </c>
      <c r="AD159" s="545" t="str">
        <f t="shared" si="267"/>
        <v xml:space="preserve">2x1.5-2x2 </v>
      </c>
      <c r="AE159" s="550" t="str">
        <f t="shared" si="261"/>
        <v>S8 Voucher</v>
      </c>
      <c r="AF159" s="545">
        <f t="shared" si="262"/>
        <v>18</v>
      </c>
      <c r="AG159" s="546">
        <f t="shared" si="263"/>
        <v>0</v>
      </c>
      <c r="AH159" s="547">
        <f t="shared" si="264"/>
        <v>102.68849750149401</v>
      </c>
      <c r="AI159" s="548">
        <f t="shared" si="268"/>
        <v>197305.20147845201</v>
      </c>
    </row>
    <row r="160" spans="2:35" s="120" customFormat="1" ht="15.75" customHeight="1" x14ac:dyDescent="0.2">
      <c r="B160" s="551" t="str">
        <f t="shared" ref="B160:C160" si="283">B137</f>
        <v>3x2 (TH)</v>
      </c>
      <c r="C160" s="552" t="str">
        <f t="shared" si="283"/>
        <v>50% AMI</v>
      </c>
      <c r="D160" s="551">
        <f t="shared" si="271"/>
        <v>2</v>
      </c>
      <c r="E160" s="553">
        <f t="shared" si="272"/>
        <v>1296</v>
      </c>
      <c r="F160" s="554">
        <f>F137*(1+Dashboard!$P$12)</f>
        <v>127.76359572860304</v>
      </c>
      <c r="G160" s="555">
        <f>G137*(1+Dashboard!$P$11)</f>
        <v>949.27157574055514</v>
      </c>
      <c r="H160" s="549">
        <f t="shared" si="247"/>
        <v>821.5079800119521</v>
      </c>
      <c r="I160" s="556">
        <f>I137*(1+Dashboard!$P$11)</f>
        <v>1221.5154993491669</v>
      </c>
      <c r="J160" s="557">
        <f t="shared" si="248"/>
        <v>1093.751903620564</v>
      </c>
      <c r="K160" s="558">
        <f>K137*(1+Dashboard!$P$11)</f>
        <v>0</v>
      </c>
      <c r="L160" s="559">
        <f t="shared" si="249"/>
        <v>939.71915736832318</v>
      </c>
      <c r="M160" s="559">
        <f>M137*(1+Dashboard!$P$11)</f>
        <v>811.95556163972014</v>
      </c>
      <c r="N160" s="548">
        <f t="shared" si="250"/>
        <v>19486.933479353283</v>
      </c>
      <c r="P160" s="545" t="str">
        <f t="shared" si="275"/>
        <v>3x2 (TH)</v>
      </c>
      <c r="Q160" s="550" t="str">
        <f t="shared" si="252"/>
        <v>50% AMI</v>
      </c>
      <c r="R160" s="545">
        <f t="shared" si="253"/>
        <v>2</v>
      </c>
      <c r="S160" s="546">
        <f t="shared" si="254"/>
        <v>1296</v>
      </c>
      <c r="T160" s="547">
        <f t="shared" si="255"/>
        <v>127.76359572860304</v>
      </c>
      <c r="U160" s="548">
        <f t="shared" si="265"/>
        <v>19486.933479353283</v>
      </c>
      <c r="W160" s="545" t="str">
        <f t="shared" si="256"/>
        <v>3x2 (TH)</v>
      </c>
      <c r="X160" s="550" t="str">
        <f t="shared" si="257"/>
        <v>50% AMI</v>
      </c>
      <c r="Y160" s="545">
        <f t="shared" si="258"/>
        <v>2</v>
      </c>
      <c r="Z160" s="546">
        <f t="shared" si="259"/>
        <v>1296</v>
      </c>
      <c r="AA160" s="547">
        <f t="shared" si="260"/>
        <v>127.76359572860304</v>
      </c>
      <c r="AB160" s="549">
        <f t="shared" si="273"/>
        <v>19716.191520286851</v>
      </c>
      <c r="AD160" s="545" t="str">
        <f t="shared" si="267"/>
        <v>3x2 (TH)</v>
      </c>
      <c r="AE160" s="550" t="str">
        <f t="shared" si="261"/>
        <v>50% AMI</v>
      </c>
      <c r="AF160" s="545">
        <f t="shared" si="262"/>
        <v>2</v>
      </c>
      <c r="AG160" s="546">
        <f t="shared" si="263"/>
        <v>1296</v>
      </c>
      <c r="AH160" s="547">
        <f t="shared" si="264"/>
        <v>127.76359572860304</v>
      </c>
      <c r="AI160" s="548">
        <f t="shared" si="268"/>
        <v>19716.191520286851</v>
      </c>
    </row>
    <row r="161" spans="2:36" s="120" customFormat="1" ht="15.75" customHeight="1" x14ac:dyDescent="0.2">
      <c r="B161" s="551" t="str">
        <f t="shared" ref="B161:C161" si="284">B138</f>
        <v>3x2 (TH)</v>
      </c>
      <c r="C161" s="552" t="str">
        <f t="shared" si="284"/>
        <v>60% AMI</v>
      </c>
      <c r="D161" s="551">
        <f t="shared" si="271"/>
        <v>7</v>
      </c>
      <c r="E161" s="553">
        <f t="shared" si="272"/>
        <v>1296</v>
      </c>
      <c r="F161" s="554">
        <f>F138*(1+Dashboard!$P$12)</f>
        <v>127.76359572860304</v>
      </c>
      <c r="G161" s="555">
        <f>G138*(1+Dashboard!$P$11)</f>
        <v>1165.395041412304</v>
      </c>
      <c r="H161" s="549">
        <f t="shared" si="247"/>
        <v>1037.6314456837008</v>
      </c>
      <c r="I161" s="556">
        <f>I138*(1+Dashboard!$P$11)</f>
        <v>1221.5154993491669</v>
      </c>
      <c r="J161" s="557">
        <f t="shared" si="248"/>
        <v>1093.751903620564</v>
      </c>
      <c r="K161" s="558">
        <f>K138*(1+Dashboard!$P$11)</f>
        <v>0</v>
      </c>
      <c r="L161" s="559">
        <f t="shared" si="249"/>
        <v>958.82399411278709</v>
      </c>
      <c r="M161" s="559">
        <f>M138*(1+Dashboard!$P$11)</f>
        <v>831.06039838418405</v>
      </c>
      <c r="N161" s="548">
        <f t="shared" si="250"/>
        <v>69809.073464271467</v>
      </c>
      <c r="P161" s="545" t="str">
        <f t="shared" si="275"/>
        <v>3x2 (TH)</v>
      </c>
      <c r="Q161" s="550" t="str">
        <f t="shared" si="252"/>
        <v>60% AMI</v>
      </c>
      <c r="R161" s="545">
        <f t="shared" si="253"/>
        <v>7</v>
      </c>
      <c r="S161" s="546">
        <f t="shared" si="254"/>
        <v>1296</v>
      </c>
      <c r="T161" s="547">
        <f t="shared" si="255"/>
        <v>127.76359572860304</v>
      </c>
      <c r="U161" s="548">
        <f t="shared" si="265"/>
        <v>69809.073464271467</v>
      </c>
      <c r="W161" s="545" t="str">
        <f t="shared" si="256"/>
        <v>3x2 (TH)</v>
      </c>
      <c r="X161" s="550" t="str">
        <f t="shared" si="257"/>
        <v>60% AMI</v>
      </c>
      <c r="Y161" s="545">
        <f t="shared" si="258"/>
        <v>7</v>
      </c>
      <c r="Z161" s="546">
        <f t="shared" si="259"/>
        <v>1296</v>
      </c>
      <c r="AA161" s="547">
        <f t="shared" si="260"/>
        <v>127.76359572860304</v>
      </c>
      <c r="AB161" s="549">
        <f t="shared" si="273"/>
        <v>87161.04143743086</v>
      </c>
      <c r="AD161" s="545" t="str">
        <f t="shared" si="267"/>
        <v>3x2 (TH)</v>
      </c>
      <c r="AE161" s="550" t="str">
        <f t="shared" si="261"/>
        <v>60% AMI</v>
      </c>
      <c r="AF161" s="545">
        <f t="shared" si="262"/>
        <v>7</v>
      </c>
      <c r="AG161" s="546">
        <f t="shared" si="263"/>
        <v>1296</v>
      </c>
      <c r="AH161" s="547">
        <f t="shared" si="264"/>
        <v>127.76359572860304</v>
      </c>
      <c r="AI161" s="548">
        <f t="shared" si="268"/>
        <v>87161.04143743086</v>
      </c>
    </row>
    <row r="162" spans="2:36" s="120" customFormat="1" ht="15.75" customHeight="1" x14ac:dyDescent="0.2">
      <c r="B162" s="551" t="str">
        <f t="shared" ref="B162:C162" si="285">B139</f>
        <v>3x2 (TH)</v>
      </c>
      <c r="C162" s="552" t="str">
        <f t="shared" si="285"/>
        <v>Market</v>
      </c>
      <c r="D162" s="551">
        <f t="shared" si="271"/>
        <v>0</v>
      </c>
      <c r="E162" s="553">
        <f t="shared" si="272"/>
        <v>1296</v>
      </c>
      <c r="F162" s="554">
        <f>F139*(1+Dashboard!$P$12)</f>
        <v>0</v>
      </c>
      <c r="G162" s="555">
        <f>G139*(1+Dashboard!$P$11)</f>
        <v>0</v>
      </c>
      <c r="H162" s="549">
        <f t="shared" si="247"/>
        <v>0</v>
      </c>
      <c r="I162" s="556">
        <f>I139*(1+Dashboard!$P$11)</f>
        <v>1221.5154993491669</v>
      </c>
      <c r="J162" s="557">
        <f t="shared" si="248"/>
        <v>1221.5154993491669</v>
      </c>
      <c r="K162" s="558">
        <f>K139*(1+Dashboard!$P$11)</f>
        <v>0</v>
      </c>
      <c r="L162" s="559">
        <f t="shared" si="249"/>
        <v>0</v>
      </c>
      <c r="M162" s="559">
        <f>M139*(1+Dashboard!$P$11)</f>
        <v>0</v>
      </c>
      <c r="N162" s="548">
        <f t="shared" si="250"/>
        <v>0</v>
      </c>
      <c r="P162" s="545" t="str">
        <f t="shared" si="275"/>
        <v>3x2 (TH)</v>
      </c>
      <c r="Q162" s="550" t="str">
        <f t="shared" si="252"/>
        <v>Market</v>
      </c>
      <c r="R162" s="545">
        <f t="shared" si="253"/>
        <v>0</v>
      </c>
      <c r="S162" s="546">
        <f t="shared" si="254"/>
        <v>1296</v>
      </c>
      <c r="T162" s="547">
        <f t="shared" si="255"/>
        <v>0</v>
      </c>
      <c r="U162" s="548">
        <f t="shared" si="265"/>
        <v>0</v>
      </c>
      <c r="W162" s="545" t="str">
        <f t="shared" si="256"/>
        <v>3x2 (TH)</v>
      </c>
      <c r="X162" s="550" t="str">
        <f t="shared" si="257"/>
        <v>Market</v>
      </c>
      <c r="Y162" s="545">
        <f t="shared" si="258"/>
        <v>0</v>
      </c>
      <c r="Z162" s="546">
        <f t="shared" si="259"/>
        <v>1296</v>
      </c>
      <c r="AA162" s="547">
        <f t="shared" si="260"/>
        <v>0</v>
      </c>
      <c r="AB162" s="549">
        <f t="shared" si="273"/>
        <v>0</v>
      </c>
      <c r="AD162" s="545" t="str">
        <f t="shared" si="267"/>
        <v>3x2 (TH)</v>
      </c>
      <c r="AE162" s="550" t="str">
        <f t="shared" si="261"/>
        <v>Market</v>
      </c>
      <c r="AF162" s="545">
        <f t="shared" si="262"/>
        <v>0</v>
      </c>
      <c r="AG162" s="546">
        <f t="shared" si="263"/>
        <v>1296</v>
      </c>
      <c r="AH162" s="547">
        <f t="shared" si="264"/>
        <v>0</v>
      </c>
      <c r="AI162" s="548">
        <f t="shared" si="268"/>
        <v>0</v>
      </c>
    </row>
    <row r="163" spans="2:36" s="120" customFormat="1" ht="15.75" customHeight="1" x14ac:dyDescent="0.2">
      <c r="B163" s="551" t="str">
        <f t="shared" ref="B163:C163" si="286">B140</f>
        <v>3x2 (TH)</v>
      </c>
      <c r="C163" s="552" t="str">
        <f t="shared" si="286"/>
        <v>S8 Voucher</v>
      </c>
      <c r="D163" s="551">
        <f t="shared" si="271"/>
        <v>11</v>
      </c>
      <c r="E163" s="553">
        <f t="shared" si="272"/>
        <v>1296</v>
      </c>
      <c r="F163" s="554">
        <f>F140*(1+Dashboard!$P$12)</f>
        <v>127.76359572860304</v>
      </c>
      <c r="G163" s="555">
        <f>G140*(1+Dashboard!$P$11)</f>
        <v>1165.395041412304</v>
      </c>
      <c r="H163" s="549">
        <f t="shared" si="247"/>
        <v>1037.6314456837008</v>
      </c>
      <c r="I163" s="556">
        <f>I140*(1+Dashboard!$P$11)</f>
        <v>1221.5154993491669</v>
      </c>
      <c r="J163" s="557">
        <f t="shared" si="248"/>
        <v>1093.751903620564</v>
      </c>
      <c r="K163" s="558">
        <f>K140*(1+Dashboard!$P$11)</f>
        <v>0</v>
      </c>
      <c r="L163" s="559">
        <f t="shared" si="249"/>
        <v>1116.4388972546153</v>
      </c>
      <c r="M163" s="559">
        <f>M140*(1+Dashboard!$P$11)</f>
        <v>988.67530152601216</v>
      </c>
      <c r="N163" s="548">
        <f t="shared" si="250"/>
        <v>130505.1398014336</v>
      </c>
      <c r="P163" s="545" t="str">
        <f t="shared" si="275"/>
        <v>3x2 (TH)</v>
      </c>
      <c r="Q163" s="550" t="str">
        <f t="shared" si="252"/>
        <v>S8 Voucher</v>
      </c>
      <c r="R163" s="545">
        <f t="shared" si="253"/>
        <v>11</v>
      </c>
      <c r="S163" s="546">
        <f t="shared" si="254"/>
        <v>1296</v>
      </c>
      <c r="T163" s="547">
        <f t="shared" si="255"/>
        <v>127.76359572860304</v>
      </c>
      <c r="U163" s="548">
        <f t="shared" si="265"/>
        <v>130505.1398014336</v>
      </c>
      <c r="W163" s="545" t="str">
        <f t="shared" si="256"/>
        <v>3x2 (TH)</v>
      </c>
      <c r="X163" s="550" t="str">
        <f t="shared" si="257"/>
        <v>S8 Voucher</v>
      </c>
      <c r="Y163" s="545">
        <f t="shared" si="258"/>
        <v>11</v>
      </c>
      <c r="Z163" s="546">
        <f t="shared" si="259"/>
        <v>1296</v>
      </c>
      <c r="AA163" s="547">
        <f t="shared" si="260"/>
        <v>127.76359572860304</v>
      </c>
      <c r="AB163" s="549">
        <f t="shared" si="273"/>
        <v>136967.3508302485</v>
      </c>
      <c r="AD163" s="545" t="str">
        <f t="shared" si="267"/>
        <v>3x2 (TH)</v>
      </c>
      <c r="AE163" s="550" t="str">
        <f t="shared" si="261"/>
        <v>S8 Voucher</v>
      </c>
      <c r="AF163" s="545">
        <f t="shared" si="262"/>
        <v>11</v>
      </c>
      <c r="AG163" s="546">
        <f t="shared" si="263"/>
        <v>1296</v>
      </c>
      <c r="AH163" s="547">
        <f t="shared" si="264"/>
        <v>127.76359572860304</v>
      </c>
      <c r="AI163" s="548">
        <f t="shared" si="268"/>
        <v>136967.3508302485</v>
      </c>
    </row>
    <row r="164" spans="2:36" s="120" customFormat="1" ht="15.75" customHeight="1" x14ac:dyDescent="0.2">
      <c r="B164" s="198" t="s">
        <v>295</v>
      </c>
      <c r="C164" s="122"/>
      <c r="D164" s="166">
        <f>SUM(D145:D163)</f>
        <v>72</v>
      </c>
      <c r="E164" s="166">
        <f t="shared" ref="E164:K164" si="287">+SUMPRODUCT(E145:E163,$D145:$D163)</f>
        <v>59002</v>
      </c>
      <c r="F164" s="165">
        <f t="shared" si="287"/>
        <v>7564.3212985112168</v>
      </c>
      <c r="G164" s="165">
        <f t="shared" si="287"/>
        <v>71277.757789002149</v>
      </c>
      <c r="H164" s="165">
        <f t="shared" si="287"/>
        <v>63713.436490490923</v>
      </c>
      <c r="I164" s="165">
        <f t="shared" si="287"/>
        <v>72056.279886339034</v>
      </c>
      <c r="J164" s="165">
        <f t="shared" si="287"/>
        <v>64491.958587827816</v>
      </c>
      <c r="K164" s="165">
        <f t="shared" si="287"/>
        <v>0</v>
      </c>
      <c r="L164" s="165">
        <f t="shared" ref="L164" si="288">+SUMPRODUCT(L145:L163,$D145:$D163)</f>
        <v>66637.670564690445</v>
      </c>
      <c r="M164" s="165">
        <f t="shared" ref="M164" si="289">+SUMPRODUCT(M145:M163,$D145:$D163)</f>
        <v>59073.349266179226</v>
      </c>
      <c r="N164" s="165">
        <f>SUM(N145:N163)</f>
        <v>708880.1911941506</v>
      </c>
      <c r="P164" s="198" t="s">
        <v>295</v>
      </c>
      <c r="Q164" s="122"/>
      <c r="R164" s="560">
        <f>SUM(R145:R163)</f>
        <v>72</v>
      </c>
      <c r="S164" s="560">
        <f>+SUMPRODUCT(S145:S163,$R145:$R163)</f>
        <v>59002</v>
      </c>
      <c r="T164" s="165">
        <f>+SUMPRODUCT(T145:T163,$R145:$R163)</f>
        <v>7564.3212985112168</v>
      </c>
      <c r="U164" s="165">
        <f>SUM(U145:U163)</f>
        <v>708880.1911941506</v>
      </c>
      <c r="W164" s="198" t="s">
        <v>295</v>
      </c>
      <c r="X164" s="122"/>
      <c r="Y164" s="560">
        <f>SUM(Y145:Y163)</f>
        <v>72</v>
      </c>
      <c r="Z164" s="560">
        <f>+SUMPRODUCT(Z145:Z163,$Y145:$Y163)</f>
        <v>59002</v>
      </c>
      <c r="AA164" s="165">
        <f>+SUMPRODUCT(AA145:AA163,$Y145:$Y163)</f>
        <v>7564.3212985112168</v>
      </c>
      <c r="AB164" s="165">
        <f>SUM(AB145:AB163)</f>
        <v>764561.23788589099</v>
      </c>
      <c r="AC164" s="122"/>
      <c r="AD164" s="198" t="s">
        <v>295</v>
      </c>
      <c r="AE164" s="122"/>
      <c r="AF164" s="560">
        <f>SUM(AF145:AF163)</f>
        <v>72</v>
      </c>
      <c r="AG164" s="560">
        <f>+SUMPRODUCT(AG145:AG163,$AF145:$AF163)</f>
        <v>59002</v>
      </c>
      <c r="AH164" s="165">
        <f>+SUMPRODUCT(AH145:AH163,$AF145:$AF163)</f>
        <v>7564.3212985112168</v>
      </c>
      <c r="AI164" s="165">
        <f>SUM(AI145:AI163)</f>
        <v>783990.85685501085</v>
      </c>
    </row>
    <row r="166" spans="2:36" ht="15.75" customHeight="1" x14ac:dyDescent="0.2">
      <c r="B166" s="170" t="s">
        <v>296</v>
      </c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67"/>
      <c r="P166" s="170" t="str">
        <f>+$B166</f>
        <v>Year 8</v>
      </c>
      <c r="Q166" s="170"/>
      <c r="R166" s="170"/>
      <c r="S166" s="170"/>
      <c r="T166" s="170"/>
      <c r="U166" s="170"/>
      <c r="V166" s="167"/>
      <c r="W166" s="170" t="str">
        <f>+$B166</f>
        <v>Year 8</v>
      </c>
      <c r="X166" s="170"/>
      <c r="Y166" s="170"/>
      <c r="Z166" s="170"/>
      <c r="AA166" s="170"/>
      <c r="AB166" s="170"/>
      <c r="AD166" s="170" t="str">
        <f>+$B166</f>
        <v>Year 8</v>
      </c>
      <c r="AE166" s="170"/>
      <c r="AF166" s="170"/>
      <c r="AG166" s="170"/>
      <c r="AH166" s="170"/>
      <c r="AI166" s="170"/>
      <c r="AJ166" s="167"/>
    </row>
    <row r="167" spans="2:36" s="164" customFormat="1" ht="38.25" x14ac:dyDescent="0.2">
      <c r="B167" s="543" t="s">
        <v>61</v>
      </c>
      <c r="C167" s="543" t="s">
        <v>215</v>
      </c>
      <c r="D167" s="543" t="s">
        <v>64</v>
      </c>
      <c r="E167" s="543" t="s">
        <v>231</v>
      </c>
      <c r="F167" s="543" t="s">
        <v>237</v>
      </c>
      <c r="G167" s="544" t="s">
        <v>232</v>
      </c>
      <c r="H167" s="543" t="s">
        <v>240</v>
      </c>
      <c r="I167" s="543" t="s">
        <v>233</v>
      </c>
      <c r="J167" s="543" t="s">
        <v>63</v>
      </c>
      <c r="K167" s="543" t="str">
        <f>+K144</f>
        <v>CoStar Rent</v>
      </c>
      <c r="L167" s="543" t="s">
        <v>62</v>
      </c>
      <c r="M167" s="543" t="s">
        <v>238</v>
      </c>
      <c r="N167" s="543" t="s">
        <v>241</v>
      </c>
      <c r="P167" s="543" t="s">
        <v>61</v>
      </c>
      <c r="Q167" s="543" t="s">
        <v>215</v>
      </c>
      <c r="R167" s="543" t="s">
        <v>64</v>
      </c>
      <c r="S167" s="543" t="s">
        <v>231</v>
      </c>
      <c r="T167" s="543" t="s">
        <v>237</v>
      </c>
      <c r="U167" s="543" t="s">
        <v>151</v>
      </c>
      <c r="W167" s="543" t="s">
        <v>61</v>
      </c>
      <c r="X167" s="543" t="s">
        <v>215</v>
      </c>
      <c r="Y167" s="543" t="s">
        <v>64</v>
      </c>
      <c r="Z167" s="543" t="s">
        <v>231</v>
      </c>
      <c r="AA167" s="543" t="s">
        <v>237</v>
      </c>
      <c r="AB167" s="543" t="s">
        <v>152</v>
      </c>
      <c r="AD167" s="543" t="s">
        <v>61</v>
      </c>
      <c r="AE167" s="543" t="s">
        <v>215</v>
      </c>
      <c r="AF167" s="543" t="s">
        <v>64</v>
      </c>
      <c r="AG167" s="543" t="s">
        <v>231</v>
      </c>
      <c r="AH167" s="543" t="s">
        <v>237</v>
      </c>
      <c r="AI167" s="543" t="s">
        <v>424</v>
      </c>
    </row>
    <row r="168" spans="2:36" s="120" customFormat="1" ht="15.75" customHeight="1" x14ac:dyDescent="0.2">
      <c r="B168" s="551" t="str">
        <f t="shared" ref="B168:C173" si="290">B145</f>
        <v>1x1</v>
      </c>
      <c r="C168" s="552" t="str">
        <f t="shared" si="290"/>
        <v>50% AMI</v>
      </c>
      <c r="D168" s="551">
        <f t="shared" ref="D168:D173" si="291">$D145</f>
        <v>2</v>
      </c>
      <c r="E168" s="553">
        <f t="shared" ref="E168:E173" si="292">E145</f>
        <v>701</v>
      </c>
      <c r="F168" s="554">
        <f>F145*(1+Dashboard!$P$12)</f>
        <v>79.941801252616543</v>
      </c>
      <c r="G168" s="555">
        <f>G145*(1+Dashboard!$P$11)</f>
        <v>800.64788639159042</v>
      </c>
      <c r="H168" s="549">
        <f t="shared" ref="H168:H186" si="293">+G168-F168</f>
        <v>720.70608513897389</v>
      </c>
      <c r="I168" s="556">
        <f>I145*(1+Dashboard!$P$11)</f>
        <v>840.00385008518617</v>
      </c>
      <c r="J168" s="557">
        <f t="shared" ref="J168:J186" si="294">I168-F168</f>
        <v>760.06204883256964</v>
      </c>
      <c r="K168" s="558">
        <f>K145*(1+Dashboard!$P$11)</f>
        <v>0</v>
      </c>
      <c r="L168" s="559">
        <f t="shared" ref="L168:L186" si="295">M168+F168</f>
        <v>728.0853283315231</v>
      </c>
      <c r="M168" s="559">
        <f>M145*(1+Dashboard!$P$11)</f>
        <v>648.14352707890657</v>
      </c>
      <c r="N168" s="548">
        <f t="shared" ref="N168:N186" si="296">((M168*D168)*12)</f>
        <v>15555.444649893758</v>
      </c>
      <c r="P168" s="545" t="str">
        <f t="shared" ref="P168:P173" si="297">B168</f>
        <v>1x1</v>
      </c>
      <c r="Q168" s="545" t="str">
        <f t="shared" ref="Q168:Q186" si="298">C168</f>
        <v>50% AMI</v>
      </c>
      <c r="R168" s="545">
        <f t="shared" ref="R168:R186" si="299">D168</f>
        <v>2</v>
      </c>
      <c r="S168" s="546">
        <f t="shared" ref="S168:S186" si="300">E168</f>
        <v>701</v>
      </c>
      <c r="T168" s="547">
        <f t="shared" ref="T168:T186" si="301">F168</f>
        <v>79.941801252616543</v>
      </c>
      <c r="U168" s="548">
        <f>((M168*R168)*12)</f>
        <v>15555.444649893758</v>
      </c>
      <c r="W168" s="545" t="str">
        <f t="shared" ref="W168:W186" si="302">B168</f>
        <v>1x1</v>
      </c>
      <c r="X168" s="545" t="str">
        <f t="shared" ref="X168:X186" si="303">C168</f>
        <v>50% AMI</v>
      </c>
      <c r="Y168" s="545">
        <f t="shared" ref="Y168:Y186" si="304">D168</f>
        <v>2</v>
      </c>
      <c r="Z168" s="546">
        <f t="shared" ref="Z168:Z186" si="305">E168</f>
        <v>701</v>
      </c>
      <c r="AA168" s="547">
        <f t="shared" ref="AA168:AA186" si="306">F168</f>
        <v>79.941801252616543</v>
      </c>
      <c r="AB168" s="549">
        <f>((H168*Y168)*12)</f>
        <v>17296.946043335374</v>
      </c>
      <c r="AD168" s="545" t="str">
        <f>B168</f>
        <v>1x1</v>
      </c>
      <c r="AE168" s="545" t="str">
        <f t="shared" ref="AE168:AE186" si="307">C168</f>
        <v>50% AMI</v>
      </c>
      <c r="AF168" s="545">
        <f t="shared" ref="AF168:AF186" si="308">D168</f>
        <v>2</v>
      </c>
      <c r="AG168" s="546">
        <f t="shared" ref="AG168:AG186" si="309">E168</f>
        <v>701</v>
      </c>
      <c r="AH168" s="547">
        <f t="shared" ref="AH168:AH186" si="310">F168</f>
        <v>79.941801252616543</v>
      </c>
      <c r="AI168" s="548">
        <f>+MAX(U168,AB168)</f>
        <v>17296.946043335374</v>
      </c>
    </row>
    <row r="169" spans="2:36" s="120" customFormat="1" ht="15.75" customHeight="1" x14ac:dyDescent="0.2">
      <c r="B169" s="551" t="str">
        <f t="shared" si="290"/>
        <v>1x1</v>
      </c>
      <c r="C169" s="552" t="str">
        <f t="shared" si="290"/>
        <v>60% AMI</v>
      </c>
      <c r="D169" s="551">
        <f t="shared" si="291"/>
        <v>0</v>
      </c>
      <c r="E169" s="553">
        <f t="shared" si="292"/>
        <v>701</v>
      </c>
      <c r="F169" s="554">
        <f>F146*(1+Dashboard!$P$12)</f>
        <v>79.941801252616543</v>
      </c>
      <c r="G169" s="555">
        <f>G146*(1+Dashboard!$P$11)</f>
        <v>960.5314888968237</v>
      </c>
      <c r="H169" s="549">
        <f t="shared" si="293"/>
        <v>880.58968764420717</v>
      </c>
      <c r="I169" s="556">
        <f>I146*(1+Dashboard!$P$11)</f>
        <v>840.00385008518617</v>
      </c>
      <c r="J169" s="557">
        <f t="shared" si="294"/>
        <v>760.06204883256964</v>
      </c>
      <c r="K169" s="558">
        <f>K146*(1+Dashboard!$P$11)</f>
        <v>0</v>
      </c>
      <c r="L169" s="559">
        <f t="shared" si="295"/>
        <v>79.941801252616543</v>
      </c>
      <c r="M169" s="559">
        <f>M146*(1+Dashboard!$P$11)</f>
        <v>0</v>
      </c>
      <c r="N169" s="548">
        <f t="shared" si="296"/>
        <v>0</v>
      </c>
      <c r="P169" s="545" t="str">
        <f t="shared" si="297"/>
        <v>1x1</v>
      </c>
      <c r="Q169" s="550" t="str">
        <f t="shared" si="298"/>
        <v>60% AMI</v>
      </c>
      <c r="R169" s="545">
        <f t="shared" si="299"/>
        <v>0</v>
      </c>
      <c r="S169" s="546">
        <f t="shared" si="300"/>
        <v>701</v>
      </c>
      <c r="T169" s="547">
        <f t="shared" si="301"/>
        <v>79.941801252616543</v>
      </c>
      <c r="U169" s="548">
        <f t="shared" ref="U169:U186" si="311">((M169*R169)*12)</f>
        <v>0</v>
      </c>
      <c r="W169" s="545" t="str">
        <f t="shared" si="302"/>
        <v>1x1</v>
      </c>
      <c r="X169" s="550" t="str">
        <f t="shared" si="303"/>
        <v>60% AMI</v>
      </c>
      <c r="Y169" s="545">
        <f t="shared" si="304"/>
        <v>0</v>
      </c>
      <c r="Z169" s="546">
        <f t="shared" si="305"/>
        <v>701</v>
      </c>
      <c r="AA169" s="547">
        <f t="shared" si="306"/>
        <v>79.941801252616543</v>
      </c>
      <c r="AB169" s="549">
        <f t="shared" ref="AB169" si="312">((H169*Y169)*12)</f>
        <v>0</v>
      </c>
      <c r="AD169" s="545" t="str">
        <f t="shared" ref="AD169:AD186" si="313">B169</f>
        <v>1x1</v>
      </c>
      <c r="AE169" s="550" t="str">
        <f t="shared" si="307"/>
        <v>60% AMI</v>
      </c>
      <c r="AF169" s="545">
        <f t="shared" si="308"/>
        <v>0</v>
      </c>
      <c r="AG169" s="546">
        <f t="shared" si="309"/>
        <v>701</v>
      </c>
      <c r="AH169" s="547">
        <f t="shared" si="310"/>
        <v>79.941801252616543</v>
      </c>
      <c r="AI169" s="548">
        <f t="shared" ref="AI169:AI186" si="314">+MAX(U169,AB169)</f>
        <v>0</v>
      </c>
    </row>
    <row r="170" spans="2:36" s="120" customFormat="1" ht="15.75" customHeight="1" x14ac:dyDescent="0.2">
      <c r="B170" s="551" t="str">
        <f t="shared" si="290"/>
        <v>1x1</v>
      </c>
      <c r="C170" s="552" t="str">
        <f t="shared" si="290"/>
        <v>Market</v>
      </c>
      <c r="D170" s="551">
        <f t="shared" si="291"/>
        <v>1</v>
      </c>
      <c r="E170" s="553">
        <f t="shared" si="292"/>
        <v>701</v>
      </c>
      <c r="F170" s="554">
        <f>F147*(1+Dashboard!$P$12)</f>
        <v>0</v>
      </c>
      <c r="G170" s="555">
        <f>G147*(1+Dashboard!$P$11)</f>
        <v>0</v>
      </c>
      <c r="H170" s="549">
        <f t="shared" si="293"/>
        <v>0</v>
      </c>
      <c r="I170" s="556">
        <f>I147*(1+Dashboard!$P$11)</f>
        <v>840.00385008518617</v>
      </c>
      <c r="J170" s="557">
        <f t="shared" si="294"/>
        <v>840.00385008518617</v>
      </c>
      <c r="K170" s="558">
        <f>K147*(1+Dashboard!$P$11)</f>
        <v>0</v>
      </c>
      <c r="L170" s="559">
        <f t="shared" si="295"/>
        <v>729.31520219694812</v>
      </c>
      <c r="M170" s="559">
        <f>M147*(1+Dashboard!$P$11)</f>
        <v>729.31520219694812</v>
      </c>
      <c r="N170" s="548">
        <f t="shared" si="296"/>
        <v>8751.7824263633775</v>
      </c>
      <c r="P170" s="545" t="str">
        <f t="shared" si="297"/>
        <v>1x1</v>
      </c>
      <c r="Q170" s="550" t="str">
        <f t="shared" si="298"/>
        <v>Market</v>
      </c>
      <c r="R170" s="545">
        <f t="shared" si="299"/>
        <v>1</v>
      </c>
      <c r="S170" s="546">
        <f t="shared" si="300"/>
        <v>701</v>
      </c>
      <c r="T170" s="547">
        <f t="shared" si="301"/>
        <v>0</v>
      </c>
      <c r="U170" s="548">
        <f t="shared" si="311"/>
        <v>8751.7824263633775</v>
      </c>
      <c r="W170" s="545" t="str">
        <f t="shared" si="302"/>
        <v>1x1</v>
      </c>
      <c r="X170" s="550" t="str">
        <f t="shared" si="303"/>
        <v>Market</v>
      </c>
      <c r="Y170" s="545">
        <f t="shared" si="304"/>
        <v>1</v>
      </c>
      <c r="Z170" s="546">
        <f t="shared" si="305"/>
        <v>701</v>
      </c>
      <c r="AA170" s="547">
        <f t="shared" si="306"/>
        <v>0</v>
      </c>
      <c r="AB170" s="549">
        <f>((H170*Y170)*12)</f>
        <v>0</v>
      </c>
      <c r="AD170" s="545" t="str">
        <f t="shared" si="313"/>
        <v>1x1</v>
      </c>
      <c r="AE170" s="550" t="str">
        <f t="shared" si="307"/>
        <v>Market</v>
      </c>
      <c r="AF170" s="545">
        <f t="shared" si="308"/>
        <v>1</v>
      </c>
      <c r="AG170" s="546">
        <f t="shared" si="309"/>
        <v>701</v>
      </c>
      <c r="AH170" s="547">
        <f t="shared" si="310"/>
        <v>0</v>
      </c>
      <c r="AI170" s="548">
        <f t="shared" si="314"/>
        <v>8751.7824263633775</v>
      </c>
    </row>
    <row r="171" spans="2:36" s="120" customFormat="1" ht="15.75" customHeight="1" x14ac:dyDescent="0.2">
      <c r="B171" s="551" t="str">
        <f t="shared" si="290"/>
        <v>1x1</v>
      </c>
      <c r="C171" s="552" t="str">
        <f t="shared" si="290"/>
        <v>S8 Voucher</v>
      </c>
      <c r="D171" s="551">
        <f t="shared" si="291"/>
        <v>3</v>
      </c>
      <c r="E171" s="553">
        <f t="shared" si="292"/>
        <v>701</v>
      </c>
      <c r="F171" s="554">
        <f>F148*(1+Dashboard!$P$12)</f>
        <v>79.941801252616543</v>
      </c>
      <c r="G171" s="555">
        <f>G148*(1+Dashboard!$P$11)</f>
        <v>960.5314888968237</v>
      </c>
      <c r="H171" s="549">
        <f t="shared" si="293"/>
        <v>880.58968764420717</v>
      </c>
      <c r="I171" s="556">
        <f>I148*(1+Dashboard!$P$11)</f>
        <v>840.00385008518617</v>
      </c>
      <c r="J171" s="557">
        <f t="shared" si="294"/>
        <v>760.06204883256964</v>
      </c>
      <c r="K171" s="558">
        <f>K148*(1+Dashboard!$P$11)</f>
        <v>0</v>
      </c>
      <c r="L171" s="559">
        <f t="shared" si="295"/>
        <v>723.16583286982359</v>
      </c>
      <c r="M171" s="559">
        <f>M148*(1+Dashboard!$P$11)</f>
        <v>643.22403161720706</v>
      </c>
      <c r="N171" s="548">
        <f t="shared" si="296"/>
        <v>23156.065138219456</v>
      </c>
      <c r="P171" s="545" t="str">
        <f t="shared" si="297"/>
        <v>1x1</v>
      </c>
      <c r="Q171" s="550" t="str">
        <f t="shared" si="298"/>
        <v>S8 Voucher</v>
      </c>
      <c r="R171" s="545">
        <f t="shared" si="299"/>
        <v>3</v>
      </c>
      <c r="S171" s="546">
        <f t="shared" si="300"/>
        <v>701</v>
      </c>
      <c r="T171" s="547">
        <f t="shared" si="301"/>
        <v>79.941801252616543</v>
      </c>
      <c r="U171" s="548">
        <f t="shared" si="311"/>
        <v>23156.065138219456</v>
      </c>
      <c r="W171" s="545" t="str">
        <f t="shared" si="302"/>
        <v>1x1</v>
      </c>
      <c r="X171" s="550" t="str">
        <f t="shared" si="303"/>
        <v>S8 Voucher</v>
      </c>
      <c r="Y171" s="545">
        <f t="shared" si="304"/>
        <v>3</v>
      </c>
      <c r="Z171" s="546">
        <f t="shared" si="305"/>
        <v>701</v>
      </c>
      <c r="AA171" s="547">
        <f t="shared" si="306"/>
        <v>79.941801252616543</v>
      </c>
      <c r="AB171" s="549">
        <f t="shared" ref="AB171:AB172" si="315">((H171*Y171)*12)</f>
        <v>31701.22875519146</v>
      </c>
      <c r="AD171" s="545" t="str">
        <f t="shared" si="313"/>
        <v>1x1</v>
      </c>
      <c r="AE171" s="550" t="str">
        <f t="shared" si="307"/>
        <v>S8 Voucher</v>
      </c>
      <c r="AF171" s="545">
        <f t="shared" si="308"/>
        <v>3</v>
      </c>
      <c r="AG171" s="546">
        <f t="shared" si="309"/>
        <v>701</v>
      </c>
      <c r="AH171" s="547">
        <f t="shared" si="310"/>
        <v>79.941801252616543</v>
      </c>
      <c r="AI171" s="548">
        <f t="shared" si="314"/>
        <v>31701.22875519146</v>
      </c>
    </row>
    <row r="172" spans="2:36" s="120" customFormat="1" ht="15.75" customHeight="1" x14ac:dyDescent="0.2">
      <c r="B172" s="551" t="str">
        <f t="shared" si="290"/>
        <v>2x1.5</v>
      </c>
      <c r="C172" s="552" t="str">
        <f t="shared" si="290"/>
        <v>40% AMI</v>
      </c>
      <c r="D172" s="551">
        <f t="shared" si="291"/>
        <v>1</v>
      </c>
      <c r="E172" s="553">
        <f t="shared" si="292"/>
        <v>940</v>
      </c>
      <c r="F172" s="554">
        <f>F149*(1+Dashboard!$P$12)</f>
        <v>105.76915242653884</v>
      </c>
      <c r="G172" s="555">
        <f>G149*(1+Dashboard!$P$11)</f>
        <v>662.90201346400511</v>
      </c>
      <c r="H172" s="549">
        <f t="shared" si="293"/>
        <v>557.13286103746623</v>
      </c>
      <c r="I172" s="556">
        <f>I149*(1+Dashboard!$P$11)</f>
        <v>956.84186730054898</v>
      </c>
      <c r="J172" s="557">
        <f t="shared" si="294"/>
        <v>851.0727148740101</v>
      </c>
      <c r="K172" s="558">
        <f>K149*(1+Dashboard!$P$11)</f>
        <v>0</v>
      </c>
      <c r="L172" s="559">
        <f t="shared" si="295"/>
        <v>677.66049984910342</v>
      </c>
      <c r="M172" s="559">
        <f>M149*(1+Dashboard!$P$11)</f>
        <v>571.89134742256454</v>
      </c>
      <c r="N172" s="548">
        <f t="shared" si="296"/>
        <v>6862.696169070774</v>
      </c>
      <c r="P172" s="545" t="str">
        <f t="shared" si="297"/>
        <v>2x1.5</v>
      </c>
      <c r="Q172" s="550" t="str">
        <f t="shared" si="298"/>
        <v>40% AMI</v>
      </c>
      <c r="R172" s="545">
        <f t="shared" si="299"/>
        <v>1</v>
      </c>
      <c r="S172" s="546">
        <f t="shared" si="300"/>
        <v>940</v>
      </c>
      <c r="T172" s="547">
        <f t="shared" si="301"/>
        <v>105.76915242653884</v>
      </c>
      <c r="U172" s="548">
        <f t="shared" si="311"/>
        <v>6862.696169070774</v>
      </c>
      <c r="W172" s="545" t="str">
        <f t="shared" si="302"/>
        <v>2x1.5</v>
      </c>
      <c r="X172" s="550" t="str">
        <f t="shared" si="303"/>
        <v>40% AMI</v>
      </c>
      <c r="Y172" s="545">
        <f t="shared" si="304"/>
        <v>1</v>
      </c>
      <c r="Z172" s="546">
        <f t="shared" si="305"/>
        <v>940</v>
      </c>
      <c r="AA172" s="547">
        <f t="shared" si="306"/>
        <v>105.76915242653884</v>
      </c>
      <c r="AB172" s="549">
        <f t="shared" si="315"/>
        <v>6685.5943324495947</v>
      </c>
      <c r="AD172" s="545" t="str">
        <f t="shared" si="313"/>
        <v>2x1.5</v>
      </c>
      <c r="AE172" s="550" t="str">
        <f t="shared" si="307"/>
        <v>40% AMI</v>
      </c>
      <c r="AF172" s="545">
        <f t="shared" si="308"/>
        <v>1</v>
      </c>
      <c r="AG172" s="546">
        <f t="shared" si="309"/>
        <v>940</v>
      </c>
      <c r="AH172" s="547">
        <f t="shared" si="310"/>
        <v>105.76915242653884</v>
      </c>
      <c r="AI172" s="548">
        <f t="shared" si="314"/>
        <v>6862.696169070774</v>
      </c>
    </row>
    <row r="173" spans="2:36" s="120" customFormat="1" ht="15.75" customHeight="1" x14ac:dyDescent="0.2">
      <c r="B173" s="551" t="str">
        <f t="shared" si="290"/>
        <v>2x1.5</v>
      </c>
      <c r="C173" s="552" t="str">
        <f t="shared" si="290"/>
        <v>50% AMI</v>
      </c>
      <c r="D173" s="551">
        <f t="shared" si="291"/>
        <v>3</v>
      </c>
      <c r="E173" s="553">
        <f t="shared" si="292"/>
        <v>990</v>
      </c>
      <c r="F173" s="554">
        <f>F150*(1+Dashboard!$P$12)</f>
        <v>105.76915242653884</v>
      </c>
      <c r="G173" s="555">
        <f>G150*(1+Dashboard!$P$11)</f>
        <v>854.76233647028471</v>
      </c>
      <c r="H173" s="549">
        <f t="shared" si="293"/>
        <v>748.99318404374583</v>
      </c>
      <c r="I173" s="556">
        <f>I150*(1+Dashboard!$P$11)</f>
        <v>956.84186730054898</v>
      </c>
      <c r="J173" s="557">
        <f t="shared" si="294"/>
        <v>851.0727148740101</v>
      </c>
      <c r="K173" s="558">
        <f>K150*(1+Dashboard!$P$11)</f>
        <v>0</v>
      </c>
      <c r="L173" s="559">
        <f t="shared" si="295"/>
        <v>819.09599437296356</v>
      </c>
      <c r="M173" s="559">
        <f>M150*(1+Dashboard!$P$11)</f>
        <v>713.32684194642468</v>
      </c>
      <c r="N173" s="548">
        <f t="shared" si="296"/>
        <v>25679.766310071289</v>
      </c>
      <c r="P173" s="545" t="str">
        <f t="shared" si="297"/>
        <v>2x1.5</v>
      </c>
      <c r="Q173" s="550" t="str">
        <f t="shared" si="298"/>
        <v>50% AMI</v>
      </c>
      <c r="R173" s="545">
        <f t="shared" si="299"/>
        <v>3</v>
      </c>
      <c r="S173" s="546">
        <f t="shared" si="300"/>
        <v>990</v>
      </c>
      <c r="T173" s="547">
        <f t="shared" si="301"/>
        <v>105.76915242653884</v>
      </c>
      <c r="U173" s="548">
        <f t="shared" si="311"/>
        <v>25679.766310071289</v>
      </c>
      <c r="W173" s="545" t="str">
        <f t="shared" si="302"/>
        <v>2x1.5</v>
      </c>
      <c r="X173" s="550" t="str">
        <f t="shared" si="303"/>
        <v>50% AMI</v>
      </c>
      <c r="Y173" s="545">
        <f t="shared" si="304"/>
        <v>3</v>
      </c>
      <c r="Z173" s="546">
        <f t="shared" si="305"/>
        <v>990</v>
      </c>
      <c r="AA173" s="547">
        <f t="shared" si="306"/>
        <v>105.76915242653884</v>
      </c>
      <c r="AB173" s="549">
        <f>((H173*Y173)*12)</f>
        <v>26963.754625574853</v>
      </c>
      <c r="AD173" s="545" t="str">
        <f t="shared" si="313"/>
        <v>2x1.5</v>
      </c>
      <c r="AE173" s="550" t="str">
        <f t="shared" si="307"/>
        <v>50% AMI</v>
      </c>
      <c r="AF173" s="545">
        <f t="shared" si="308"/>
        <v>3</v>
      </c>
      <c r="AG173" s="546">
        <f t="shared" si="309"/>
        <v>990</v>
      </c>
      <c r="AH173" s="547">
        <f t="shared" si="310"/>
        <v>105.76915242653884</v>
      </c>
      <c r="AI173" s="548">
        <f t="shared" si="314"/>
        <v>26963.754625574853</v>
      </c>
    </row>
    <row r="174" spans="2:36" s="120" customFormat="1" ht="15.75" customHeight="1" x14ac:dyDescent="0.2">
      <c r="B174" s="551" t="str">
        <f t="shared" ref="B174:C174" si="316">B151</f>
        <v>2x1.5</v>
      </c>
      <c r="C174" s="552" t="str">
        <f t="shared" si="316"/>
        <v>60% AMI</v>
      </c>
      <c r="D174" s="551">
        <f t="shared" ref="D174:D186" si="317">$D151</f>
        <v>2</v>
      </c>
      <c r="E174" s="553">
        <f t="shared" ref="E174:E186" si="318">E151</f>
        <v>980</v>
      </c>
      <c r="F174" s="554">
        <f>F151*(1+Dashboard!$P$12)</f>
        <v>105.76915242653884</v>
      </c>
      <c r="G174" s="555">
        <f>G151*(1+Dashboard!$P$11)</f>
        <v>1046.6226594765646</v>
      </c>
      <c r="H174" s="549">
        <f t="shared" si="293"/>
        <v>940.85350705002577</v>
      </c>
      <c r="I174" s="556">
        <f>I151*(1+Dashboard!$P$11)</f>
        <v>956.84186730054898</v>
      </c>
      <c r="J174" s="557">
        <f t="shared" si="294"/>
        <v>851.0727148740101</v>
      </c>
      <c r="K174" s="558">
        <f>K151*(1+Dashboard!$P$11)</f>
        <v>0</v>
      </c>
      <c r="L174" s="559">
        <f t="shared" si="295"/>
        <v>895.34817402930571</v>
      </c>
      <c r="M174" s="559">
        <f>M151*(1+Dashboard!$P$11)</f>
        <v>789.57902160276683</v>
      </c>
      <c r="N174" s="548">
        <f t="shared" si="296"/>
        <v>18949.896518466405</v>
      </c>
      <c r="P174" s="545" t="str">
        <f>B174</f>
        <v>2x1.5</v>
      </c>
      <c r="Q174" s="550" t="str">
        <f t="shared" si="298"/>
        <v>60% AMI</v>
      </c>
      <c r="R174" s="545">
        <f t="shared" si="299"/>
        <v>2</v>
      </c>
      <c r="S174" s="546">
        <f t="shared" si="300"/>
        <v>980</v>
      </c>
      <c r="T174" s="547">
        <f t="shared" si="301"/>
        <v>105.76915242653884</v>
      </c>
      <c r="U174" s="548">
        <f t="shared" si="311"/>
        <v>18949.896518466405</v>
      </c>
      <c r="W174" s="545" t="str">
        <f t="shared" si="302"/>
        <v>2x1.5</v>
      </c>
      <c r="X174" s="550" t="str">
        <f t="shared" si="303"/>
        <v>60% AMI</v>
      </c>
      <c r="Y174" s="545">
        <f t="shared" si="304"/>
        <v>2</v>
      </c>
      <c r="Z174" s="546">
        <f t="shared" si="305"/>
        <v>980</v>
      </c>
      <c r="AA174" s="547">
        <f t="shared" si="306"/>
        <v>105.76915242653884</v>
      </c>
      <c r="AB174" s="549">
        <f t="shared" ref="AB174:AB186" si="319">((H174*Y174)*12)</f>
        <v>22580.484169200619</v>
      </c>
      <c r="AD174" s="545" t="str">
        <f t="shared" si="313"/>
        <v>2x1.5</v>
      </c>
      <c r="AE174" s="550" t="str">
        <f t="shared" si="307"/>
        <v>60% AMI</v>
      </c>
      <c r="AF174" s="545">
        <f t="shared" si="308"/>
        <v>2</v>
      </c>
      <c r="AG174" s="546">
        <f t="shared" si="309"/>
        <v>980</v>
      </c>
      <c r="AH174" s="547">
        <f t="shared" si="310"/>
        <v>105.76915242653884</v>
      </c>
      <c r="AI174" s="548">
        <f t="shared" si="314"/>
        <v>22580.484169200619</v>
      </c>
    </row>
    <row r="175" spans="2:36" s="120" customFormat="1" ht="15.75" customHeight="1" x14ac:dyDescent="0.2">
      <c r="B175" s="551" t="str">
        <f t="shared" ref="B175:C175" si="320">B152</f>
        <v>2x2</v>
      </c>
      <c r="C175" s="552" t="str">
        <f t="shared" si="320"/>
        <v>50% AMI</v>
      </c>
      <c r="D175" s="551">
        <f t="shared" si="317"/>
        <v>1</v>
      </c>
      <c r="E175" s="553">
        <f t="shared" si="318"/>
        <v>968</v>
      </c>
      <c r="F175" s="554">
        <f>F152*(1+Dashboard!$P$12)</f>
        <v>105.76915242653884</v>
      </c>
      <c r="G175" s="555">
        <f>G152*(1+Dashboard!$P$11)</f>
        <v>854.76233647028471</v>
      </c>
      <c r="H175" s="549">
        <f t="shared" si="293"/>
        <v>748.99318404374583</v>
      </c>
      <c r="I175" s="556">
        <f>I152*(1+Dashboard!$P$11)</f>
        <v>956.84186730054898</v>
      </c>
      <c r="J175" s="557">
        <f t="shared" si="294"/>
        <v>851.0727148740101</v>
      </c>
      <c r="K175" s="558">
        <f>K152*(1+Dashboard!$P$11)</f>
        <v>0</v>
      </c>
      <c r="L175" s="559">
        <f t="shared" si="295"/>
        <v>855.99221033570984</v>
      </c>
      <c r="M175" s="559">
        <f>M152*(1+Dashboard!$P$11)</f>
        <v>750.22305790917096</v>
      </c>
      <c r="N175" s="548">
        <f t="shared" si="296"/>
        <v>9002.6766949100511</v>
      </c>
      <c r="P175" s="545" t="str">
        <f t="shared" ref="P175:P186" si="321">B175</f>
        <v>2x2</v>
      </c>
      <c r="Q175" s="550" t="str">
        <f t="shared" si="298"/>
        <v>50% AMI</v>
      </c>
      <c r="R175" s="545">
        <f t="shared" si="299"/>
        <v>1</v>
      </c>
      <c r="S175" s="546">
        <f t="shared" si="300"/>
        <v>968</v>
      </c>
      <c r="T175" s="547">
        <f t="shared" si="301"/>
        <v>105.76915242653884</v>
      </c>
      <c r="U175" s="548">
        <f t="shared" si="311"/>
        <v>9002.6766949100511</v>
      </c>
      <c r="W175" s="545" t="str">
        <f t="shared" si="302"/>
        <v>2x2</v>
      </c>
      <c r="X175" s="550" t="str">
        <f t="shared" si="303"/>
        <v>50% AMI</v>
      </c>
      <c r="Y175" s="545">
        <f t="shared" si="304"/>
        <v>1</v>
      </c>
      <c r="Z175" s="546">
        <f t="shared" si="305"/>
        <v>968</v>
      </c>
      <c r="AA175" s="547">
        <f t="shared" si="306"/>
        <v>105.76915242653884</v>
      </c>
      <c r="AB175" s="549">
        <f t="shared" si="319"/>
        <v>8987.9182085249504</v>
      </c>
      <c r="AD175" s="545" t="str">
        <f t="shared" si="313"/>
        <v>2x2</v>
      </c>
      <c r="AE175" s="550" t="str">
        <f t="shared" si="307"/>
        <v>50% AMI</v>
      </c>
      <c r="AF175" s="545">
        <f t="shared" si="308"/>
        <v>1</v>
      </c>
      <c r="AG175" s="546">
        <f t="shared" si="309"/>
        <v>968</v>
      </c>
      <c r="AH175" s="547">
        <f t="shared" si="310"/>
        <v>105.76915242653884</v>
      </c>
      <c r="AI175" s="548">
        <f t="shared" si="314"/>
        <v>9002.6766949100511</v>
      </c>
    </row>
    <row r="176" spans="2:36" s="120" customFormat="1" ht="15.75" customHeight="1" x14ac:dyDescent="0.2">
      <c r="B176" s="551" t="str">
        <f t="shared" ref="B176:C176" si="322">B153</f>
        <v>2x2</v>
      </c>
      <c r="C176" s="552" t="str">
        <f t="shared" si="322"/>
        <v>60% AMI</v>
      </c>
      <c r="D176" s="551">
        <f t="shared" si="317"/>
        <v>2</v>
      </c>
      <c r="E176" s="553">
        <f t="shared" si="318"/>
        <v>968</v>
      </c>
      <c r="F176" s="554">
        <f>F153*(1+Dashboard!$P$12)</f>
        <v>105.76915242653884</v>
      </c>
      <c r="G176" s="555">
        <f>G153*(1+Dashboard!$P$11)</f>
        <v>1046.6226594765646</v>
      </c>
      <c r="H176" s="549">
        <f t="shared" si="293"/>
        <v>940.85350705002577</v>
      </c>
      <c r="I176" s="556">
        <f>I153*(1+Dashboard!$P$11)</f>
        <v>956.84186730054898</v>
      </c>
      <c r="J176" s="557">
        <f t="shared" si="294"/>
        <v>851.0727148740101</v>
      </c>
      <c r="K176" s="558">
        <f>K153*(1+Dashboard!$P$11)</f>
        <v>0</v>
      </c>
      <c r="L176" s="559">
        <f t="shared" si="295"/>
        <v>886.73905697133148</v>
      </c>
      <c r="M176" s="559">
        <f>M153*(1+Dashboard!$P$11)</f>
        <v>780.9699045447926</v>
      </c>
      <c r="N176" s="548">
        <f t="shared" si="296"/>
        <v>18743.277709075024</v>
      </c>
      <c r="P176" s="545" t="str">
        <f t="shared" si="321"/>
        <v>2x2</v>
      </c>
      <c r="Q176" s="550" t="str">
        <f t="shared" si="298"/>
        <v>60% AMI</v>
      </c>
      <c r="R176" s="545">
        <f t="shared" si="299"/>
        <v>2</v>
      </c>
      <c r="S176" s="546">
        <f t="shared" si="300"/>
        <v>968</v>
      </c>
      <c r="T176" s="547">
        <f t="shared" si="301"/>
        <v>105.76915242653884</v>
      </c>
      <c r="U176" s="548">
        <f t="shared" si="311"/>
        <v>18743.277709075024</v>
      </c>
      <c r="W176" s="545" t="str">
        <f t="shared" si="302"/>
        <v>2x2</v>
      </c>
      <c r="X176" s="550" t="str">
        <f t="shared" si="303"/>
        <v>60% AMI</v>
      </c>
      <c r="Y176" s="545">
        <f t="shared" si="304"/>
        <v>2</v>
      </c>
      <c r="Z176" s="546">
        <f t="shared" si="305"/>
        <v>968</v>
      </c>
      <c r="AA176" s="547">
        <f t="shared" si="306"/>
        <v>105.76915242653884</v>
      </c>
      <c r="AB176" s="549">
        <f t="shared" si="319"/>
        <v>22580.484169200619</v>
      </c>
      <c r="AD176" s="545" t="str">
        <f t="shared" si="313"/>
        <v>2x2</v>
      </c>
      <c r="AE176" s="550" t="str">
        <f t="shared" si="307"/>
        <v>60% AMI</v>
      </c>
      <c r="AF176" s="545">
        <f t="shared" si="308"/>
        <v>2</v>
      </c>
      <c r="AG176" s="546">
        <f t="shared" si="309"/>
        <v>968</v>
      </c>
      <c r="AH176" s="547">
        <f t="shared" si="310"/>
        <v>105.76915242653884</v>
      </c>
      <c r="AI176" s="548">
        <f t="shared" si="314"/>
        <v>22580.484169200619</v>
      </c>
    </row>
    <row r="177" spans="2:36" s="120" customFormat="1" ht="15.75" customHeight="1" x14ac:dyDescent="0.2">
      <c r="B177" s="551" t="str">
        <f t="shared" ref="B177:C177" si="323">B154</f>
        <v>2x2</v>
      </c>
      <c r="C177" s="552" t="str">
        <f t="shared" si="323"/>
        <v>Market</v>
      </c>
      <c r="D177" s="551">
        <f t="shared" si="317"/>
        <v>0</v>
      </c>
      <c r="E177" s="553">
        <f t="shared" si="318"/>
        <v>968</v>
      </c>
      <c r="F177" s="554">
        <f>F154*(1+Dashboard!$P$12)</f>
        <v>0</v>
      </c>
      <c r="G177" s="555">
        <f>G154*(1+Dashboard!$P$11)</f>
        <v>0</v>
      </c>
      <c r="H177" s="549">
        <f t="shared" si="293"/>
        <v>0</v>
      </c>
      <c r="I177" s="556">
        <f>I154*(1+Dashboard!$P$11)</f>
        <v>956.84186730054898</v>
      </c>
      <c r="J177" s="557">
        <f t="shared" si="294"/>
        <v>956.84186730054898</v>
      </c>
      <c r="K177" s="558">
        <f>K154*(1+Dashboard!$P$11)</f>
        <v>0</v>
      </c>
      <c r="L177" s="559">
        <f t="shared" si="295"/>
        <v>0</v>
      </c>
      <c r="M177" s="559">
        <f>M154*(1+Dashboard!$P$11)</f>
        <v>0</v>
      </c>
      <c r="N177" s="548">
        <f t="shared" si="296"/>
        <v>0</v>
      </c>
      <c r="P177" s="545" t="str">
        <f t="shared" si="321"/>
        <v>2x2</v>
      </c>
      <c r="Q177" s="550" t="str">
        <f t="shared" si="298"/>
        <v>Market</v>
      </c>
      <c r="R177" s="545">
        <f t="shared" si="299"/>
        <v>0</v>
      </c>
      <c r="S177" s="546">
        <f t="shared" si="300"/>
        <v>968</v>
      </c>
      <c r="T177" s="547">
        <f t="shared" si="301"/>
        <v>0</v>
      </c>
      <c r="U177" s="548">
        <f t="shared" si="311"/>
        <v>0</v>
      </c>
      <c r="W177" s="545" t="str">
        <f t="shared" si="302"/>
        <v>2x2</v>
      </c>
      <c r="X177" s="550" t="str">
        <f t="shared" si="303"/>
        <v>Market</v>
      </c>
      <c r="Y177" s="545">
        <f t="shared" si="304"/>
        <v>0</v>
      </c>
      <c r="Z177" s="546">
        <f t="shared" si="305"/>
        <v>968</v>
      </c>
      <c r="AA177" s="547">
        <f t="shared" si="306"/>
        <v>0</v>
      </c>
      <c r="AB177" s="549">
        <f t="shared" si="319"/>
        <v>0</v>
      </c>
      <c r="AD177" s="545" t="str">
        <f t="shared" si="313"/>
        <v>2x2</v>
      </c>
      <c r="AE177" s="550" t="str">
        <f t="shared" si="307"/>
        <v>Market</v>
      </c>
      <c r="AF177" s="545">
        <f t="shared" si="308"/>
        <v>0</v>
      </c>
      <c r="AG177" s="546">
        <f t="shared" si="309"/>
        <v>968</v>
      </c>
      <c r="AH177" s="547">
        <f t="shared" si="310"/>
        <v>0</v>
      </c>
      <c r="AI177" s="548">
        <f t="shared" si="314"/>
        <v>0</v>
      </c>
    </row>
    <row r="178" spans="2:36" s="120" customFormat="1" ht="15.75" customHeight="1" x14ac:dyDescent="0.2">
      <c r="B178" s="551" t="str">
        <f t="shared" ref="B178:C178" si="324">B155</f>
        <v>2x2 (TH)</v>
      </c>
      <c r="C178" s="552" t="str">
        <f t="shared" si="324"/>
        <v>40% AMI</v>
      </c>
      <c r="D178" s="551">
        <f t="shared" si="317"/>
        <v>1</v>
      </c>
      <c r="E178" s="553">
        <f t="shared" si="318"/>
        <v>1058</v>
      </c>
      <c r="F178" s="554">
        <f>F155*(1+Dashboard!$P$12)</f>
        <v>105.76915242653884</v>
      </c>
      <c r="G178" s="555">
        <f>G155*(1+Dashboard!$P$11)</f>
        <v>662.90201346400511</v>
      </c>
      <c r="H178" s="549">
        <f t="shared" si="293"/>
        <v>557.13286103746623</v>
      </c>
      <c r="I178" s="556">
        <f>I155*(1+Dashboard!$P$11)</f>
        <v>956.84186730054898</v>
      </c>
      <c r="J178" s="557">
        <f t="shared" si="294"/>
        <v>851.0727148740101</v>
      </c>
      <c r="K178" s="558">
        <f>K155*(1+Dashboard!$P$11)</f>
        <v>0</v>
      </c>
      <c r="L178" s="559">
        <f t="shared" si="295"/>
        <v>659.21239186773062</v>
      </c>
      <c r="M178" s="559">
        <f>M155*(1+Dashboard!$P$11)</f>
        <v>553.44323944119174</v>
      </c>
      <c r="N178" s="548">
        <f t="shared" si="296"/>
        <v>6641.3188732943008</v>
      </c>
      <c r="P178" s="545" t="str">
        <f t="shared" si="321"/>
        <v>2x2 (TH)</v>
      </c>
      <c r="Q178" s="550" t="str">
        <f t="shared" si="298"/>
        <v>40% AMI</v>
      </c>
      <c r="R178" s="545">
        <f t="shared" si="299"/>
        <v>1</v>
      </c>
      <c r="S178" s="546">
        <f t="shared" si="300"/>
        <v>1058</v>
      </c>
      <c r="T178" s="547">
        <f t="shared" si="301"/>
        <v>105.76915242653884</v>
      </c>
      <c r="U178" s="548">
        <f t="shared" si="311"/>
        <v>6641.3188732943008</v>
      </c>
      <c r="W178" s="545" t="str">
        <f t="shared" si="302"/>
        <v>2x2 (TH)</v>
      </c>
      <c r="X178" s="550" t="str">
        <f t="shared" si="303"/>
        <v>40% AMI</v>
      </c>
      <c r="Y178" s="545">
        <f t="shared" si="304"/>
        <v>1</v>
      </c>
      <c r="Z178" s="546">
        <f t="shared" si="305"/>
        <v>1058</v>
      </c>
      <c r="AA178" s="547">
        <f t="shared" si="306"/>
        <v>105.76915242653884</v>
      </c>
      <c r="AB178" s="549">
        <f t="shared" si="319"/>
        <v>6685.5943324495947</v>
      </c>
      <c r="AD178" s="545" t="str">
        <f t="shared" si="313"/>
        <v>2x2 (TH)</v>
      </c>
      <c r="AE178" s="550" t="str">
        <f t="shared" si="307"/>
        <v>40% AMI</v>
      </c>
      <c r="AF178" s="545">
        <f t="shared" si="308"/>
        <v>1</v>
      </c>
      <c r="AG178" s="546">
        <f t="shared" si="309"/>
        <v>1058</v>
      </c>
      <c r="AH178" s="547">
        <f t="shared" si="310"/>
        <v>105.76915242653884</v>
      </c>
      <c r="AI178" s="548">
        <f t="shared" si="314"/>
        <v>6685.5943324495947</v>
      </c>
    </row>
    <row r="179" spans="2:36" s="120" customFormat="1" ht="15.75" customHeight="1" x14ac:dyDescent="0.2">
      <c r="B179" s="551" t="str">
        <f t="shared" ref="B179:C179" si="325">B156</f>
        <v>2x2 (TH)</v>
      </c>
      <c r="C179" s="552" t="str">
        <f t="shared" si="325"/>
        <v>50% AMI</v>
      </c>
      <c r="D179" s="551">
        <f t="shared" si="317"/>
        <v>1</v>
      </c>
      <c r="E179" s="553">
        <f t="shared" si="318"/>
        <v>1058</v>
      </c>
      <c r="F179" s="554">
        <f>F156*(1+Dashboard!$P$12)</f>
        <v>105.76915242653884</v>
      </c>
      <c r="G179" s="555">
        <f>G156*(1+Dashboard!$P$11)</f>
        <v>854.76233647028471</v>
      </c>
      <c r="H179" s="549">
        <f t="shared" si="293"/>
        <v>748.99318404374583</v>
      </c>
      <c r="I179" s="556">
        <f>I156*(1+Dashboard!$P$11)</f>
        <v>956.84186730054898</v>
      </c>
      <c r="J179" s="557">
        <f t="shared" si="294"/>
        <v>851.0727148740101</v>
      </c>
      <c r="K179" s="558">
        <f>K156*(1+Dashboard!$P$11)</f>
        <v>0</v>
      </c>
      <c r="L179" s="559">
        <f t="shared" si="295"/>
        <v>179.56158435203105</v>
      </c>
      <c r="M179" s="559">
        <f>M156*(1+Dashboard!$P$11)</f>
        <v>73.79243192549221</v>
      </c>
      <c r="N179" s="548">
        <f t="shared" si="296"/>
        <v>885.50918310590646</v>
      </c>
      <c r="P179" s="545" t="str">
        <f t="shared" si="321"/>
        <v>2x2 (TH)</v>
      </c>
      <c r="Q179" s="550" t="str">
        <f t="shared" si="298"/>
        <v>50% AMI</v>
      </c>
      <c r="R179" s="545">
        <f t="shared" si="299"/>
        <v>1</v>
      </c>
      <c r="S179" s="546">
        <f t="shared" si="300"/>
        <v>1058</v>
      </c>
      <c r="T179" s="547">
        <f t="shared" si="301"/>
        <v>105.76915242653884</v>
      </c>
      <c r="U179" s="548">
        <f t="shared" si="311"/>
        <v>885.50918310590646</v>
      </c>
      <c r="W179" s="545" t="str">
        <f t="shared" si="302"/>
        <v>2x2 (TH)</v>
      </c>
      <c r="X179" s="550" t="str">
        <f t="shared" si="303"/>
        <v>50% AMI</v>
      </c>
      <c r="Y179" s="545">
        <f t="shared" si="304"/>
        <v>1</v>
      </c>
      <c r="Z179" s="546">
        <f t="shared" si="305"/>
        <v>1058</v>
      </c>
      <c r="AA179" s="547">
        <f t="shared" si="306"/>
        <v>105.76915242653884</v>
      </c>
      <c r="AB179" s="549">
        <f t="shared" si="319"/>
        <v>8987.9182085249504</v>
      </c>
      <c r="AD179" s="545" t="str">
        <f t="shared" si="313"/>
        <v>2x2 (TH)</v>
      </c>
      <c r="AE179" s="550" t="str">
        <f t="shared" si="307"/>
        <v>50% AMI</v>
      </c>
      <c r="AF179" s="545">
        <f t="shared" si="308"/>
        <v>1</v>
      </c>
      <c r="AG179" s="546">
        <f t="shared" si="309"/>
        <v>1058</v>
      </c>
      <c r="AH179" s="547">
        <f t="shared" si="310"/>
        <v>105.76915242653884</v>
      </c>
      <c r="AI179" s="548">
        <f t="shared" si="314"/>
        <v>8987.9182085249504</v>
      </c>
    </row>
    <row r="180" spans="2:36" s="120" customFormat="1" ht="15.75" customHeight="1" x14ac:dyDescent="0.2">
      <c r="B180" s="551" t="str">
        <f t="shared" ref="B180:C180" si="326">B157</f>
        <v>2x2 (TH)</v>
      </c>
      <c r="C180" s="552" t="str">
        <f t="shared" si="326"/>
        <v>60% AMI</v>
      </c>
      <c r="D180" s="551">
        <f t="shared" si="317"/>
        <v>16</v>
      </c>
      <c r="E180" s="553">
        <f t="shared" si="318"/>
        <v>1058</v>
      </c>
      <c r="F180" s="554">
        <f>F157*(1+Dashboard!$P$12)</f>
        <v>105.76915242653884</v>
      </c>
      <c r="G180" s="555">
        <f>G157*(1+Dashboard!$P$11)</f>
        <v>1046.6226594765646</v>
      </c>
      <c r="H180" s="549">
        <f t="shared" si="293"/>
        <v>940.85350705002577</v>
      </c>
      <c r="I180" s="556">
        <f>I157*(1+Dashboard!$P$11)</f>
        <v>956.84186730054898</v>
      </c>
      <c r="J180" s="557">
        <f t="shared" si="294"/>
        <v>851.0727148740101</v>
      </c>
      <c r="K180" s="558">
        <f>K157*(1+Dashboard!$P$11)</f>
        <v>0</v>
      </c>
      <c r="L180" s="559">
        <f t="shared" si="295"/>
        <v>954.3821195696994</v>
      </c>
      <c r="M180" s="559">
        <f>M157*(1+Dashboard!$P$11)</f>
        <v>848.61296714316052</v>
      </c>
      <c r="N180" s="548">
        <f t="shared" si="296"/>
        <v>162933.68969148683</v>
      </c>
      <c r="P180" s="545" t="str">
        <f t="shared" si="321"/>
        <v>2x2 (TH)</v>
      </c>
      <c r="Q180" s="550" t="str">
        <f t="shared" si="298"/>
        <v>60% AMI</v>
      </c>
      <c r="R180" s="545">
        <f t="shared" si="299"/>
        <v>16</v>
      </c>
      <c r="S180" s="546">
        <f t="shared" si="300"/>
        <v>1058</v>
      </c>
      <c r="T180" s="547">
        <f t="shared" si="301"/>
        <v>105.76915242653884</v>
      </c>
      <c r="U180" s="548">
        <f t="shared" si="311"/>
        <v>162933.68969148683</v>
      </c>
      <c r="W180" s="545" t="str">
        <f t="shared" si="302"/>
        <v>2x2 (TH)</v>
      </c>
      <c r="X180" s="550" t="str">
        <f t="shared" si="303"/>
        <v>60% AMI</v>
      </c>
      <c r="Y180" s="545">
        <f t="shared" si="304"/>
        <v>16</v>
      </c>
      <c r="Z180" s="546">
        <f t="shared" si="305"/>
        <v>1058</v>
      </c>
      <c r="AA180" s="547">
        <f t="shared" si="306"/>
        <v>105.76915242653884</v>
      </c>
      <c r="AB180" s="549">
        <f t="shared" si="319"/>
        <v>180643.87335360495</v>
      </c>
      <c r="AD180" s="545" t="str">
        <f t="shared" si="313"/>
        <v>2x2 (TH)</v>
      </c>
      <c r="AE180" s="550" t="str">
        <f t="shared" si="307"/>
        <v>60% AMI</v>
      </c>
      <c r="AF180" s="545">
        <f t="shared" si="308"/>
        <v>16</v>
      </c>
      <c r="AG180" s="546">
        <f t="shared" si="309"/>
        <v>1058</v>
      </c>
      <c r="AH180" s="547">
        <f t="shared" si="310"/>
        <v>105.76915242653884</v>
      </c>
      <c r="AI180" s="548">
        <f t="shared" si="314"/>
        <v>180643.87335360495</v>
      </c>
    </row>
    <row r="181" spans="2:36" s="120" customFormat="1" ht="15.75" customHeight="1" x14ac:dyDescent="0.2">
      <c r="B181" s="551" t="str">
        <f t="shared" ref="B181:C181" si="327">B158</f>
        <v>2x2 (TH)</v>
      </c>
      <c r="C181" s="552" t="str">
        <f t="shared" si="327"/>
        <v>Market</v>
      </c>
      <c r="D181" s="551">
        <f t="shared" si="317"/>
        <v>1</v>
      </c>
      <c r="E181" s="553">
        <f t="shared" si="318"/>
        <v>1058</v>
      </c>
      <c r="F181" s="554">
        <f>F158*(1+Dashboard!$P$12)</f>
        <v>0</v>
      </c>
      <c r="G181" s="555">
        <f>G158*(1+Dashboard!$P$11)</f>
        <v>0</v>
      </c>
      <c r="H181" s="549">
        <f t="shared" si="293"/>
        <v>0</v>
      </c>
      <c r="I181" s="556">
        <f>I158*(1+Dashboard!$P$11)</f>
        <v>956.84186730054898</v>
      </c>
      <c r="J181" s="557">
        <f t="shared" si="294"/>
        <v>956.84186730054898</v>
      </c>
      <c r="K181" s="558">
        <f>K158*(1+Dashboard!$P$11)</f>
        <v>0</v>
      </c>
      <c r="L181" s="559">
        <f t="shared" si="295"/>
        <v>922.40539906865274</v>
      </c>
      <c r="M181" s="559">
        <f>M158*(1+Dashboard!$P$11)</f>
        <v>922.40539906865274</v>
      </c>
      <c r="N181" s="548">
        <f t="shared" si="296"/>
        <v>11068.864788823834</v>
      </c>
      <c r="P181" s="545" t="str">
        <f t="shared" si="321"/>
        <v>2x2 (TH)</v>
      </c>
      <c r="Q181" s="550" t="str">
        <f t="shared" si="298"/>
        <v>Market</v>
      </c>
      <c r="R181" s="545">
        <f t="shared" si="299"/>
        <v>1</v>
      </c>
      <c r="S181" s="546">
        <f t="shared" si="300"/>
        <v>1058</v>
      </c>
      <c r="T181" s="547">
        <f t="shared" si="301"/>
        <v>0</v>
      </c>
      <c r="U181" s="548">
        <f t="shared" si="311"/>
        <v>11068.864788823834</v>
      </c>
      <c r="W181" s="545" t="str">
        <f t="shared" si="302"/>
        <v>2x2 (TH)</v>
      </c>
      <c r="X181" s="550" t="str">
        <f t="shared" si="303"/>
        <v>Market</v>
      </c>
      <c r="Y181" s="545">
        <f t="shared" si="304"/>
        <v>1</v>
      </c>
      <c r="Z181" s="546">
        <f t="shared" si="305"/>
        <v>1058</v>
      </c>
      <c r="AA181" s="547">
        <f t="shared" si="306"/>
        <v>0</v>
      </c>
      <c r="AB181" s="549">
        <f t="shared" si="319"/>
        <v>0</v>
      </c>
      <c r="AD181" s="545" t="str">
        <f t="shared" si="313"/>
        <v>2x2 (TH)</v>
      </c>
      <c r="AE181" s="550" t="str">
        <f t="shared" si="307"/>
        <v>Market</v>
      </c>
      <c r="AF181" s="545">
        <f t="shared" si="308"/>
        <v>1</v>
      </c>
      <c r="AG181" s="546">
        <f t="shared" si="309"/>
        <v>1058</v>
      </c>
      <c r="AH181" s="547">
        <f t="shared" si="310"/>
        <v>0</v>
      </c>
      <c r="AI181" s="548">
        <f t="shared" si="314"/>
        <v>11068.864788823834</v>
      </c>
    </row>
    <row r="182" spans="2:36" s="120" customFormat="1" ht="15.75" customHeight="1" x14ac:dyDescent="0.2">
      <c r="B182" s="551" t="str">
        <f t="shared" ref="B182:C182" si="328">B159</f>
        <v xml:space="preserve">2x1.5-2x2 </v>
      </c>
      <c r="C182" s="552" t="str">
        <f t="shared" si="328"/>
        <v>S8 Voucher</v>
      </c>
      <c r="D182" s="551">
        <f t="shared" si="317"/>
        <v>18</v>
      </c>
      <c r="E182" s="553">
        <f t="shared" si="318"/>
        <v>0</v>
      </c>
      <c r="F182" s="554">
        <f>F159*(1+Dashboard!$P$12)</f>
        <v>105.76915242653884</v>
      </c>
      <c r="G182" s="555">
        <f>G159*(1+Dashboard!$P$11)</f>
        <v>1046.6226594765646</v>
      </c>
      <c r="H182" s="549">
        <f t="shared" si="293"/>
        <v>940.85350705002577</v>
      </c>
      <c r="I182" s="556">
        <f>I159*(1+Dashboard!$P$11)</f>
        <v>956.84186730054898</v>
      </c>
      <c r="J182" s="557">
        <f t="shared" si="294"/>
        <v>851.0727148740101</v>
      </c>
      <c r="K182" s="558">
        <f>K159*(1+Dashboard!$P$11)</f>
        <v>0</v>
      </c>
      <c r="L182" s="559">
        <f t="shared" si="295"/>
        <v>1010.9563173792433</v>
      </c>
      <c r="M182" s="559">
        <f>M159*(1+Dashboard!$P$11)</f>
        <v>905.18716495270439</v>
      </c>
      <c r="N182" s="548">
        <f t="shared" si="296"/>
        <v>195520.42762978416</v>
      </c>
      <c r="P182" s="545" t="str">
        <f t="shared" si="321"/>
        <v xml:space="preserve">2x1.5-2x2 </v>
      </c>
      <c r="Q182" s="550" t="str">
        <f t="shared" si="298"/>
        <v>S8 Voucher</v>
      </c>
      <c r="R182" s="545">
        <f t="shared" si="299"/>
        <v>18</v>
      </c>
      <c r="S182" s="546">
        <f t="shared" si="300"/>
        <v>0</v>
      </c>
      <c r="T182" s="547">
        <f t="shared" si="301"/>
        <v>105.76915242653884</v>
      </c>
      <c r="U182" s="548">
        <f t="shared" si="311"/>
        <v>195520.42762978416</v>
      </c>
      <c r="W182" s="545" t="str">
        <f t="shared" si="302"/>
        <v xml:space="preserve">2x1.5-2x2 </v>
      </c>
      <c r="X182" s="550" t="str">
        <f t="shared" si="303"/>
        <v>S8 Voucher</v>
      </c>
      <c r="Y182" s="545">
        <f t="shared" si="304"/>
        <v>18</v>
      </c>
      <c r="Z182" s="546">
        <f t="shared" si="305"/>
        <v>0</v>
      </c>
      <c r="AA182" s="547">
        <f t="shared" si="306"/>
        <v>105.76915242653884</v>
      </c>
      <c r="AB182" s="549">
        <f t="shared" si="319"/>
        <v>203224.35752280557</v>
      </c>
      <c r="AD182" s="545" t="str">
        <f t="shared" si="313"/>
        <v xml:space="preserve">2x1.5-2x2 </v>
      </c>
      <c r="AE182" s="550" t="str">
        <f t="shared" si="307"/>
        <v>S8 Voucher</v>
      </c>
      <c r="AF182" s="545">
        <f t="shared" si="308"/>
        <v>18</v>
      </c>
      <c r="AG182" s="546">
        <f t="shared" si="309"/>
        <v>0</v>
      </c>
      <c r="AH182" s="547">
        <f t="shared" si="310"/>
        <v>105.76915242653884</v>
      </c>
      <c r="AI182" s="548">
        <f t="shared" si="314"/>
        <v>203224.35752280557</v>
      </c>
    </row>
    <row r="183" spans="2:36" s="120" customFormat="1" ht="15.75" customHeight="1" x14ac:dyDescent="0.2">
      <c r="B183" s="551" t="str">
        <f t="shared" ref="B183:C183" si="329">B160</f>
        <v>3x2 (TH)</v>
      </c>
      <c r="C183" s="552" t="str">
        <f t="shared" si="329"/>
        <v>50% AMI</v>
      </c>
      <c r="D183" s="551">
        <f t="shared" si="317"/>
        <v>2</v>
      </c>
      <c r="E183" s="553">
        <f t="shared" si="318"/>
        <v>1296</v>
      </c>
      <c r="F183" s="554">
        <f>F160*(1+Dashboard!$P$12)</f>
        <v>131.59650360046112</v>
      </c>
      <c r="G183" s="555">
        <f>G160*(1+Dashboard!$P$11)</f>
        <v>977.74972301277182</v>
      </c>
      <c r="H183" s="549">
        <f t="shared" si="293"/>
        <v>846.1532194123107</v>
      </c>
      <c r="I183" s="556">
        <f>I160*(1+Dashboard!$P$11)</f>
        <v>1258.160964329642</v>
      </c>
      <c r="J183" s="557">
        <f t="shared" si="294"/>
        <v>1126.5644607291808</v>
      </c>
      <c r="K183" s="558">
        <f>K160*(1+Dashboard!$P$11)</f>
        <v>0</v>
      </c>
      <c r="L183" s="559">
        <f t="shared" si="295"/>
        <v>967.91073208937291</v>
      </c>
      <c r="M183" s="559">
        <f>M160*(1+Dashboard!$P$11)</f>
        <v>836.31422848891179</v>
      </c>
      <c r="N183" s="548">
        <f t="shared" si="296"/>
        <v>20071.541483733883</v>
      </c>
      <c r="P183" s="545" t="str">
        <f t="shared" si="321"/>
        <v>3x2 (TH)</v>
      </c>
      <c r="Q183" s="550" t="str">
        <f t="shared" si="298"/>
        <v>50% AMI</v>
      </c>
      <c r="R183" s="545">
        <f t="shared" si="299"/>
        <v>2</v>
      </c>
      <c r="S183" s="546">
        <f t="shared" si="300"/>
        <v>1296</v>
      </c>
      <c r="T183" s="547">
        <f t="shared" si="301"/>
        <v>131.59650360046112</v>
      </c>
      <c r="U183" s="548">
        <f t="shared" si="311"/>
        <v>20071.541483733883</v>
      </c>
      <c r="W183" s="545" t="str">
        <f t="shared" si="302"/>
        <v>3x2 (TH)</v>
      </c>
      <c r="X183" s="550" t="str">
        <f t="shared" si="303"/>
        <v>50% AMI</v>
      </c>
      <c r="Y183" s="545">
        <f t="shared" si="304"/>
        <v>2</v>
      </c>
      <c r="Z183" s="546">
        <f t="shared" si="305"/>
        <v>1296</v>
      </c>
      <c r="AA183" s="547">
        <f t="shared" si="306"/>
        <v>131.59650360046112</v>
      </c>
      <c r="AB183" s="549">
        <f t="shared" si="319"/>
        <v>20307.677265895458</v>
      </c>
      <c r="AD183" s="545" t="str">
        <f t="shared" si="313"/>
        <v>3x2 (TH)</v>
      </c>
      <c r="AE183" s="550" t="str">
        <f t="shared" si="307"/>
        <v>50% AMI</v>
      </c>
      <c r="AF183" s="545">
        <f t="shared" si="308"/>
        <v>2</v>
      </c>
      <c r="AG183" s="546">
        <f t="shared" si="309"/>
        <v>1296</v>
      </c>
      <c r="AH183" s="547">
        <f t="shared" si="310"/>
        <v>131.59650360046112</v>
      </c>
      <c r="AI183" s="548">
        <f t="shared" si="314"/>
        <v>20307.677265895458</v>
      </c>
    </row>
    <row r="184" spans="2:36" s="120" customFormat="1" ht="15.75" customHeight="1" x14ac:dyDescent="0.2">
      <c r="B184" s="551" t="str">
        <f t="shared" ref="B184:C184" si="330">B161</f>
        <v>3x2 (TH)</v>
      </c>
      <c r="C184" s="552" t="str">
        <f t="shared" si="330"/>
        <v>60% AMI</v>
      </c>
      <c r="D184" s="551">
        <f t="shared" si="317"/>
        <v>7</v>
      </c>
      <c r="E184" s="553">
        <f t="shared" si="318"/>
        <v>1296</v>
      </c>
      <c r="F184" s="554">
        <f>F161*(1+Dashboard!$P$12)</f>
        <v>131.59650360046112</v>
      </c>
      <c r="G184" s="555">
        <f>G161*(1+Dashboard!$P$11)</f>
        <v>1200.3568926546732</v>
      </c>
      <c r="H184" s="549">
        <f t="shared" si="293"/>
        <v>1068.7603890542121</v>
      </c>
      <c r="I184" s="556">
        <f>I161*(1+Dashboard!$P$11)</f>
        <v>1258.160964329642</v>
      </c>
      <c r="J184" s="557">
        <f t="shared" si="294"/>
        <v>1126.5644607291808</v>
      </c>
      <c r="K184" s="558">
        <f>K161*(1+Dashboard!$P$11)</f>
        <v>0</v>
      </c>
      <c r="L184" s="559">
        <f t="shared" si="295"/>
        <v>987.58871393617073</v>
      </c>
      <c r="M184" s="559">
        <f>M161*(1+Dashboard!$P$11)</f>
        <v>855.99221033570961</v>
      </c>
      <c r="N184" s="548">
        <f t="shared" si="296"/>
        <v>71903.345668199618</v>
      </c>
      <c r="P184" s="545" t="str">
        <f t="shared" si="321"/>
        <v>3x2 (TH)</v>
      </c>
      <c r="Q184" s="550" t="str">
        <f t="shared" si="298"/>
        <v>60% AMI</v>
      </c>
      <c r="R184" s="545">
        <f t="shared" si="299"/>
        <v>7</v>
      </c>
      <c r="S184" s="546">
        <f t="shared" si="300"/>
        <v>1296</v>
      </c>
      <c r="T184" s="547">
        <f t="shared" si="301"/>
        <v>131.59650360046112</v>
      </c>
      <c r="U184" s="548">
        <f t="shared" si="311"/>
        <v>71903.345668199618</v>
      </c>
      <c r="W184" s="545" t="str">
        <f t="shared" si="302"/>
        <v>3x2 (TH)</v>
      </c>
      <c r="X184" s="550" t="str">
        <f t="shared" si="303"/>
        <v>60% AMI</v>
      </c>
      <c r="Y184" s="545">
        <f t="shared" si="304"/>
        <v>7</v>
      </c>
      <c r="Z184" s="546">
        <f t="shared" si="305"/>
        <v>1296</v>
      </c>
      <c r="AA184" s="547">
        <f t="shared" si="306"/>
        <v>131.59650360046112</v>
      </c>
      <c r="AB184" s="549">
        <f t="shared" si="319"/>
        <v>89775.872680553817</v>
      </c>
      <c r="AD184" s="545" t="str">
        <f t="shared" si="313"/>
        <v>3x2 (TH)</v>
      </c>
      <c r="AE184" s="550" t="str">
        <f t="shared" si="307"/>
        <v>60% AMI</v>
      </c>
      <c r="AF184" s="545">
        <f t="shared" si="308"/>
        <v>7</v>
      </c>
      <c r="AG184" s="546">
        <f t="shared" si="309"/>
        <v>1296</v>
      </c>
      <c r="AH184" s="547">
        <f t="shared" si="310"/>
        <v>131.59650360046112</v>
      </c>
      <c r="AI184" s="548">
        <f t="shared" si="314"/>
        <v>89775.872680553817</v>
      </c>
    </row>
    <row r="185" spans="2:36" s="120" customFormat="1" ht="15.75" customHeight="1" x14ac:dyDescent="0.2">
      <c r="B185" s="551" t="str">
        <f t="shared" ref="B185:C185" si="331">B162</f>
        <v>3x2 (TH)</v>
      </c>
      <c r="C185" s="552" t="str">
        <f t="shared" si="331"/>
        <v>Market</v>
      </c>
      <c r="D185" s="551">
        <f t="shared" si="317"/>
        <v>0</v>
      </c>
      <c r="E185" s="553">
        <f t="shared" si="318"/>
        <v>1296</v>
      </c>
      <c r="F185" s="554">
        <f>F162*(1+Dashboard!$P$12)</f>
        <v>0</v>
      </c>
      <c r="G185" s="555">
        <f>G162*(1+Dashboard!$P$11)</f>
        <v>0</v>
      </c>
      <c r="H185" s="549">
        <f t="shared" si="293"/>
        <v>0</v>
      </c>
      <c r="I185" s="556">
        <f>I162*(1+Dashboard!$P$11)</f>
        <v>1258.160964329642</v>
      </c>
      <c r="J185" s="557">
        <f t="shared" si="294"/>
        <v>1258.160964329642</v>
      </c>
      <c r="K185" s="558">
        <f>K162*(1+Dashboard!$P$11)</f>
        <v>0</v>
      </c>
      <c r="L185" s="559">
        <f t="shared" si="295"/>
        <v>0</v>
      </c>
      <c r="M185" s="559">
        <f>M162*(1+Dashboard!$P$11)</f>
        <v>0</v>
      </c>
      <c r="N185" s="548">
        <f t="shared" si="296"/>
        <v>0</v>
      </c>
      <c r="P185" s="545" t="str">
        <f t="shared" si="321"/>
        <v>3x2 (TH)</v>
      </c>
      <c r="Q185" s="550" t="str">
        <f t="shared" si="298"/>
        <v>Market</v>
      </c>
      <c r="R185" s="545">
        <f t="shared" si="299"/>
        <v>0</v>
      </c>
      <c r="S185" s="546">
        <f t="shared" si="300"/>
        <v>1296</v>
      </c>
      <c r="T185" s="547">
        <f t="shared" si="301"/>
        <v>0</v>
      </c>
      <c r="U185" s="548">
        <f t="shared" si="311"/>
        <v>0</v>
      </c>
      <c r="W185" s="545" t="str">
        <f t="shared" si="302"/>
        <v>3x2 (TH)</v>
      </c>
      <c r="X185" s="550" t="str">
        <f t="shared" si="303"/>
        <v>Market</v>
      </c>
      <c r="Y185" s="545">
        <f t="shared" si="304"/>
        <v>0</v>
      </c>
      <c r="Z185" s="546">
        <f t="shared" si="305"/>
        <v>1296</v>
      </c>
      <c r="AA185" s="547">
        <f t="shared" si="306"/>
        <v>0</v>
      </c>
      <c r="AB185" s="549">
        <f t="shared" si="319"/>
        <v>0</v>
      </c>
      <c r="AD185" s="545" t="str">
        <f t="shared" si="313"/>
        <v>3x2 (TH)</v>
      </c>
      <c r="AE185" s="550" t="str">
        <f t="shared" si="307"/>
        <v>Market</v>
      </c>
      <c r="AF185" s="545">
        <f t="shared" si="308"/>
        <v>0</v>
      </c>
      <c r="AG185" s="546">
        <f t="shared" si="309"/>
        <v>1296</v>
      </c>
      <c r="AH185" s="547">
        <f t="shared" si="310"/>
        <v>0</v>
      </c>
      <c r="AI185" s="548">
        <f t="shared" si="314"/>
        <v>0</v>
      </c>
    </row>
    <row r="186" spans="2:36" s="120" customFormat="1" ht="15.75" customHeight="1" x14ac:dyDescent="0.2">
      <c r="B186" s="551" t="str">
        <f t="shared" ref="B186:C186" si="332">B163</f>
        <v>3x2 (TH)</v>
      </c>
      <c r="C186" s="552" t="str">
        <f t="shared" si="332"/>
        <v>S8 Voucher</v>
      </c>
      <c r="D186" s="551">
        <f t="shared" si="317"/>
        <v>11</v>
      </c>
      <c r="E186" s="553">
        <f t="shared" si="318"/>
        <v>1296</v>
      </c>
      <c r="F186" s="554">
        <f>F163*(1+Dashboard!$P$12)</f>
        <v>131.59650360046112</v>
      </c>
      <c r="G186" s="555">
        <f>G163*(1+Dashboard!$P$11)</f>
        <v>1200.3568926546732</v>
      </c>
      <c r="H186" s="549">
        <f t="shared" si="293"/>
        <v>1068.7603890542121</v>
      </c>
      <c r="I186" s="556">
        <f>I163*(1+Dashboard!$P$11)</f>
        <v>1258.160964329642</v>
      </c>
      <c r="J186" s="557">
        <f t="shared" si="294"/>
        <v>1126.5644607291808</v>
      </c>
      <c r="K186" s="558">
        <f>K163*(1+Dashboard!$P$11)</f>
        <v>0</v>
      </c>
      <c r="L186" s="559">
        <f t="shared" si="295"/>
        <v>1149.9320641722538</v>
      </c>
      <c r="M186" s="559">
        <f>M163*(1+Dashboard!$P$11)</f>
        <v>1018.3355605717926</v>
      </c>
      <c r="N186" s="548">
        <f t="shared" si="296"/>
        <v>134420.29399547662</v>
      </c>
      <c r="P186" s="545" t="str">
        <f t="shared" si="321"/>
        <v>3x2 (TH)</v>
      </c>
      <c r="Q186" s="550" t="str">
        <f t="shared" si="298"/>
        <v>S8 Voucher</v>
      </c>
      <c r="R186" s="545">
        <f t="shared" si="299"/>
        <v>11</v>
      </c>
      <c r="S186" s="546">
        <f t="shared" si="300"/>
        <v>1296</v>
      </c>
      <c r="T186" s="547">
        <f t="shared" si="301"/>
        <v>131.59650360046112</v>
      </c>
      <c r="U186" s="548">
        <f t="shared" si="311"/>
        <v>134420.29399547662</v>
      </c>
      <c r="W186" s="545" t="str">
        <f t="shared" si="302"/>
        <v>3x2 (TH)</v>
      </c>
      <c r="X186" s="550" t="str">
        <f t="shared" si="303"/>
        <v>S8 Voucher</v>
      </c>
      <c r="Y186" s="545">
        <f t="shared" si="304"/>
        <v>11</v>
      </c>
      <c r="Z186" s="546">
        <f t="shared" si="305"/>
        <v>1296</v>
      </c>
      <c r="AA186" s="547">
        <f t="shared" si="306"/>
        <v>131.59650360046112</v>
      </c>
      <c r="AB186" s="549">
        <f t="shared" si="319"/>
        <v>141076.37135515601</v>
      </c>
      <c r="AD186" s="545" t="str">
        <f t="shared" si="313"/>
        <v>3x2 (TH)</v>
      </c>
      <c r="AE186" s="550" t="str">
        <f t="shared" si="307"/>
        <v>S8 Voucher</v>
      </c>
      <c r="AF186" s="545">
        <f t="shared" si="308"/>
        <v>11</v>
      </c>
      <c r="AG186" s="546">
        <f t="shared" si="309"/>
        <v>1296</v>
      </c>
      <c r="AH186" s="547">
        <f t="shared" si="310"/>
        <v>131.59650360046112</v>
      </c>
      <c r="AI186" s="548">
        <f t="shared" si="314"/>
        <v>141076.37135515601</v>
      </c>
    </row>
    <row r="187" spans="2:36" s="120" customFormat="1" ht="15.75" customHeight="1" x14ac:dyDescent="0.2">
      <c r="B187" s="198" t="s">
        <v>295</v>
      </c>
      <c r="C187" s="122"/>
      <c r="D187" s="166">
        <f>SUM(D168:D186)</f>
        <v>72</v>
      </c>
      <c r="E187" s="166">
        <f t="shared" ref="E187:K187" si="333">+SUMPRODUCT(E168:E186,$D168:$D186)</f>
        <v>59002</v>
      </c>
      <c r="F187" s="165">
        <f t="shared" si="333"/>
        <v>7791.2509374665524</v>
      </c>
      <c r="G187" s="165">
        <f t="shared" si="333"/>
        <v>73416.090522672195</v>
      </c>
      <c r="H187" s="165">
        <f t="shared" si="333"/>
        <v>65624.839585205656</v>
      </c>
      <c r="I187" s="165">
        <f t="shared" si="333"/>
        <v>74217.968282929214</v>
      </c>
      <c r="J187" s="165">
        <f t="shared" si="333"/>
        <v>66426.717345462661</v>
      </c>
      <c r="K187" s="165">
        <f t="shared" si="333"/>
        <v>0</v>
      </c>
      <c r="L187" s="165">
        <f t="shared" ref="L187" si="334">+SUMPRODUCT(L168:L186,$D168:$D186)</f>
        <v>68636.800681631168</v>
      </c>
      <c r="M187" s="165">
        <f t="shared" ref="M187" si="335">+SUMPRODUCT(M168:M186,$D168:$D186)</f>
        <v>60845.5497441646</v>
      </c>
      <c r="N187" s="165">
        <f>SUM(N168:N186)</f>
        <v>730146.59692997532</v>
      </c>
      <c r="P187" s="198" t="s">
        <v>295</v>
      </c>
      <c r="Q187" s="122"/>
      <c r="R187" s="560">
        <f>SUM(R168:R186)</f>
        <v>72</v>
      </c>
      <c r="S187" s="560">
        <f>+SUMPRODUCT(S168:S186,$R168:$R186)</f>
        <v>59002</v>
      </c>
      <c r="T187" s="165">
        <f>+SUMPRODUCT(T168:T186,$R168:$R186)</f>
        <v>7791.2509374665524</v>
      </c>
      <c r="U187" s="165">
        <f>SUM(U168:U186)</f>
        <v>730146.59692997532</v>
      </c>
      <c r="W187" s="198" t="s">
        <v>295</v>
      </c>
      <c r="X187" s="122"/>
      <c r="Y187" s="560">
        <f>SUM(Y168:Y186)</f>
        <v>72</v>
      </c>
      <c r="Z187" s="560">
        <f>+SUMPRODUCT(Z168:Z186,$Y168:$Y186)</f>
        <v>59002</v>
      </c>
      <c r="AA187" s="165">
        <f>+SUMPRODUCT(AA168:AA186,$Y168:$Y186)</f>
        <v>7791.2509374665524</v>
      </c>
      <c r="AB187" s="165">
        <f>SUM(AB168:AB186)</f>
        <v>787498.07502246788</v>
      </c>
      <c r="AC187" s="122"/>
      <c r="AD187" s="198" t="s">
        <v>295</v>
      </c>
      <c r="AE187" s="122"/>
      <c r="AF187" s="560">
        <f>SUM(AF168:AF186)</f>
        <v>72</v>
      </c>
      <c r="AG187" s="560">
        <f>+SUMPRODUCT(AG168:AG186,$AF168:$AF186)</f>
        <v>59002</v>
      </c>
      <c r="AH187" s="165">
        <f>+SUMPRODUCT(AH168:AH186,$AF168:$AF186)</f>
        <v>7791.2509374665524</v>
      </c>
      <c r="AI187" s="165">
        <f>SUM(AI168:AI186)</f>
        <v>807510.58256066125</v>
      </c>
    </row>
    <row r="189" spans="2:36" ht="15.75" customHeight="1" x14ac:dyDescent="0.2">
      <c r="B189" s="170" t="s">
        <v>297</v>
      </c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67"/>
      <c r="P189" s="170" t="str">
        <f>+$B189</f>
        <v>Year 9</v>
      </c>
      <c r="Q189" s="170"/>
      <c r="R189" s="170"/>
      <c r="S189" s="170"/>
      <c r="T189" s="170"/>
      <c r="U189" s="170"/>
      <c r="V189" s="167"/>
      <c r="W189" s="170" t="str">
        <f>+$B189</f>
        <v>Year 9</v>
      </c>
      <c r="X189" s="170"/>
      <c r="Y189" s="170"/>
      <c r="Z189" s="170"/>
      <c r="AA189" s="170"/>
      <c r="AB189" s="170"/>
      <c r="AD189" s="170" t="str">
        <f>+$B189</f>
        <v>Year 9</v>
      </c>
      <c r="AE189" s="170"/>
      <c r="AF189" s="170"/>
      <c r="AG189" s="170"/>
      <c r="AH189" s="170"/>
      <c r="AI189" s="170"/>
      <c r="AJ189" s="167"/>
    </row>
    <row r="190" spans="2:36" s="164" customFormat="1" ht="38.25" x14ac:dyDescent="0.2">
      <c r="B190" s="543" t="s">
        <v>61</v>
      </c>
      <c r="C190" s="543" t="s">
        <v>215</v>
      </c>
      <c r="D190" s="543" t="s">
        <v>64</v>
      </c>
      <c r="E190" s="543" t="s">
        <v>231</v>
      </c>
      <c r="F190" s="543" t="s">
        <v>237</v>
      </c>
      <c r="G190" s="544" t="s">
        <v>232</v>
      </c>
      <c r="H190" s="543" t="s">
        <v>240</v>
      </c>
      <c r="I190" s="543" t="s">
        <v>233</v>
      </c>
      <c r="J190" s="543" t="s">
        <v>63</v>
      </c>
      <c r="K190" s="543" t="str">
        <f>+K167</f>
        <v>CoStar Rent</v>
      </c>
      <c r="L190" s="543" t="s">
        <v>62</v>
      </c>
      <c r="M190" s="543" t="s">
        <v>238</v>
      </c>
      <c r="N190" s="543" t="s">
        <v>241</v>
      </c>
      <c r="P190" s="543" t="s">
        <v>61</v>
      </c>
      <c r="Q190" s="543" t="s">
        <v>215</v>
      </c>
      <c r="R190" s="543" t="s">
        <v>64</v>
      </c>
      <c r="S190" s="543" t="s">
        <v>231</v>
      </c>
      <c r="T190" s="543" t="s">
        <v>237</v>
      </c>
      <c r="U190" s="543" t="s">
        <v>151</v>
      </c>
      <c r="W190" s="543" t="s">
        <v>61</v>
      </c>
      <c r="X190" s="543" t="s">
        <v>215</v>
      </c>
      <c r="Y190" s="543" t="s">
        <v>64</v>
      </c>
      <c r="Z190" s="543" t="s">
        <v>231</v>
      </c>
      <c r="AA190" s="543" t="s">
        <v>237</v>
      </c>
      <c r="AB190" s="543" t="s">
        <v>152</v>
      </c>
      <c r="AD190" s="543" t="s">
        <v>61</v>
      </c>
      <c r="AE190" s="543" t="s">
        <v>215</v>
      </c>
      <c r="AF190" s="543" t="s">
        <v>64</v>
      </c>
      <c r="AG190" s="543" t="s">
        <v>231</v>
      </c>
      <c r="AH190" s="543" t="s">
        <v>237</v>
      </c>
      <c r="AI190" s="543" t="s">
        <v>424</v>
      </c>
    </row>
    <row r="191" spans="2:36" s="120" customFormat="1" ht="15.75" customHeight="1" x14ac:dyDescent="0.2">
      <c r="B191" s="551" t="str">
        <f t="shared" ref="B191:C196" si="336">B168</f>
        <v>1x1</v>
      </c>
      <c r="C191" s="552" t="str">
        <f t="shared" si="336"/>
        <v>50% AMI</v>
      </c>
      <c r="D191" s="551">
        <f t="shared" ref="D191:D196" si="337">$D168</f>
        <v>2</v>
      </c>
      <c r="E191" s="553">
        <f t="shared" ref="E191:E196" si="338">E168</f>
        <v>701</v>
      </c>
      <c r="F191" s="554">
        <f>F168*(1+Dashboard!$P$12)</f>
        <v>82.340055290195039</v>
      </c>
      <c r="G191" s="555">
        <f>G168*(1+Dashboard!$P$11)</f>
        <v>824.66732298333818</v>
      </c>
      <c r="H191" s="549">
        <f t="shared" ref="H191:H209" si="339">+G191-F191</f>
        <v>742.32726769314309</v>
      </c>
      <c r="I191" s="556">
        <f>I168*(1+Dashboard!$P$11)</f>
        <v>865.20396558774178</v>
      </c>
      <c r="J191" s="557">
        <f t="shared" ref="J191:J209" si="340">I191-F191</f>
        <v>782.86391029754668</v>
      </c>
      <c r="K191" s="558">
        <f>K168*(1+Dashboard!$P$11)</f>
        <v>0</v>
      </c>
      <c r="L191" s="559">
        <f t="shared" ref="L191:L209" si="341">M191+F191</f>
        <v>749.92788818146892</v>
      </c>
      <c r="M191" s="559">
        <f>M168*(1+Dashboard!$P$11)</f>
        <v>667.58783289127382</v>
      </c>
      <c r="N191" s="548">
        <f t="shared" ref="N191:N209" si="342">((M191*D191)*12)</f>
        <v>16022.107989390572</v>
      </c>
      <c r="P191" s="545" t="str">
        <f t="shared" ref="P191:P196" si="343">B191</f>
        <v>1x1</v>
      </c>
      <c r="Q191" s="545" t="str">
        <f t="shared" ref="Q191:Q209" si="344">C191</f>
        <v>50% AMI</v>
      </c>
      <c r="R191" s="545">
        <f t="shared" ref="R191:R209" si="345">D191</f>
        <v>2</v>
      </c>
      <c r="S191" s="546">
        <f t="shared" ref="S191:S209" si="346">E191</f>
        <v>701</v>
      </c>
      <c r="T191" s="547">
        <f t="shared" ref="T191:T209" si="347">F191</f>
        <v>82.340055290195039</v>
      </c>
      <c r="U191" s="548">
        <f>((M191*R191)*12)</f>
        <v>16022.107989390572</v>
      </c>
      <c r="W191" s="545" t="str">
        <f t="shared" ref="W191:W209" si="348">B191</f>
        <v>1x1</v>
      </c>
      <c r="X191" s="545" t="str">
        <f t="shared" ref="X191:X209" si="349">C191</f>
        <v>50% AMI</v>
      </c>
      <c r="Y191" s="545">
        <f t="shared" ref="Y191:Y209" si="350">D191</f>
        <v>2</v>
      </c>
      <c r="Z191" s="546">
        <f t="shared" ref="Z191:Z209" si="351">E191</f>
        <v>701</v>
      </c>
      <c r="AA191" s="547">
        <f t="shared" ref="AA191:AA209" si="352">F191</f>
        <v>82.340055290195039</v>
      </c>
      <c r="AB191" s="549">
        <f>((H191*Y191)*12)</f>
        <v>17815.854424635436</v>
      </c>
      <c r="AD191" s="545" t="str">
        <f>B191</f>
        <v>1x1</v>
      </c>
      <c r="AE191" s="545" t="str">
        <f t="shared" ref="AE191:AE209" si="353">C191</f>
        <v>50% AMI</v>
      </c>
      <c r="AF191" s="545">
        <f t="shared" ref="AF191:AF209" si="354">D191</f>
        <v>2</v>
      </c>
      <c r="AG191" s="546">
        <f t="shared" ref="AG191:AG209" si="355">E191</f>
        <v>701</v>
      </c>
      <c r="AH191" s="547">
        <f t="shared" ref="AH191:AH209" si="356">F191</f>
        <v>82.340055290195039</v>
      </c>
      <c r="AI191" s="548">
        <f>+MAX(U191,AB191)</f>
        <v>17815.854424635436</v>
      </c>
    </row>
    <row r="192" spans="2:36" s="120" customFormat="1" ht="15.75" customHeight="1" x14ac:dyDescent="0.2">
      <c r="B192" s="551" t="str">
        <f t="shared" si="336"/>
        <v>1x1</v>
      </c>
      <c r="C192" s="552" t="str">
        <f t="shared" si="336"/>
        <v>60% AMI</v>
      </c>
      <c r="D192" s="551">
        <f t="shared" si="337"/>
        <v>0</v>
      </c>
      <c r="E192" s="553">
        <f t="shared" si="338"/>
        <v>701</v>
      </c>
      <c r="F192" s="554">
        <f>F169*(1+Dashboard!$P$12)</f>
        <v>82.340055290195039</v>
      </c>
      <c r="G192" s="555">
        <f>G169*(1+Dashboard!$P$11)</f>
        <v>989.34743356372849</v>
      </c>
      <c r="H192" s="549">
        <f t="shared" si="339"/>
        <v>907.0073782735335</v>
      </c>
      <c r="I192" s="556">
        <f>I169*(1+Dashboard!$P$11)</f>
        <v>865.20396558774178</v>
      </c>
      <c r="J192" s="557">
        <f t="shared" si="340"/>
        <v>782.86391029754668</v>
      </c>
      <c r="K192" s="558">
        <f>K169*(1+Dashboard!$P$11)</f>
        <v>0</v>
      </c>
      <c r="L192" s="559">
        <f t="shared" si="341"/>
        <v>82.340055290195039</v>
      </c>
      <c r="M192" s="559">
        <f>M169*(1+Dashboard!$P$11)</f>
        <v>0</v>
      </c>
      <c r="N192" s="548">
        <f t="shared" si="342"/>
        <v>0</v>
      </c>
      <c r="P192" s="545" t="str">
        <f t="shared" si="343"/>
        <v>1x1</v>
      </c>
      <c r="Q192" s="550" t="str">
        <f t="shared" si="344"/>
        <v>60% AMI</v>
      </c>
      <c r="R192" s="545">
        <f t="shared" si="345"/>
        <v>0</v>
      </c>
      <c r="S192" s="546">
        <f t="shared" si="346"/>
        <v>701</v>
      </c>
      <c r="T192" s="547">
        <f t="shared" si="347"/>
        <v>82.340055290195039</v>
      </c>
      <c r="U192" s="548">
        <f t="shared" ref="U192:U209" si="357">((M192*R192)*12)</f>
        <v>0</v>
      </c>
      <c r="W192" s="545" t="str">
        <f t="shared" si="348"/>
        <v>1x1</v>
      </c>
      <c r="X192" s="550" t="str">
        <f t="shared" si="349"/>
        <v>60% AMI</v>
      </c>
      <c r="Y192" s="545">
        <f t="shared" si="350"/>
        <v>0</v>
      </c>
      <c r="Z192" s="546">
        <f t="shared" si="351"/>
        <v>701</v>
      </c>
      <c r="AA192" s="547">
        <f t="shared" si="352"/>
        <v>82.340055290195039</v>
      </c>
      <c r="AB192" s="549">
        <f t="shared" ref="AB192" si="358">((H192*Y192)*12)</f>
        <v>0</v>
      </c>
      <c r="AD192" s="545" t="str">
        <f t="shared" ref="AD192:AD209" si="359">B192</f>
        <v>1x1</v>
      </c>
      <c r="AE192" s="550" t="str">
        <f t="shared" si="353"/>
        <v>60% AMI</v>
      </c>
      <c r="AF192" s="545">
        <f t="shared" si="354"/>
        <v>0</v>
      </c>
      <c r="AG192" s="546">
        <f t="shared" si="355"/>
        <v>701</v>
      </c>
      <c r="AH192" s="547">
        <f t="shared" si="356"/>
        <v>82.340055290195039</v>
      </c>
      <c r="AI192" s="548">
        <f t="shared" ref="AI192:AI209" si="360">+MAX(U192,AB192)</f>
        <v>0</v>
      </c>
    </row>
    <row r="193" spans="2:35" s="120" customFormat="1" ht="15.75" customHeight="1" x14ac:dyDescent="0.2">
      <c r="B193" s="551" t="str">
        <f t="shared" si="336"/>
        <v>1x1</v>
      </c>
      <c r="C193" s="552" t="str">
        <f t="shared" si="336"/>
        <v>Market</v>
      </c>
      <c r="D193" s="551">
        <f t="shared" si="337"/>
        <v>1</v>
      </c>
      <c r="E193" s="553">
        <f t="shared" si="338"/>
        <v>701</v>
      </c>
      <c r="F193" s="554">
        <f>F170*(1+Dashboard!$P$12)</f>
        <v>0</v>
      </c>
      <c r="G193" s="555">
        <f>G170*(1+Dashboard!$P$11)</f>
        <v>0</v>
      </c>
      <c r="H193" s="549">
        <f t="shared" si="339"/>
        <v>0</v>
      </c>
      <c r="I193" s="556">
        <f>I170*(1+Dashboard!$P$11)</f>
        <v>865.20396558774178</v>
      </c>
      <c r="J193" s="557">
        <f t="shared" si="340"/>
        <v>865.20396558774178</v>
      </c>
      <c r="K193" s="558">
        <f>K170*(1+Dashboard!$P$11)</f>
        <v>0</v>
      </c>
      <c r="L193" s="559">
        <f t="shared" si="341"/>
        <v>751.19465826285659</v>
      </c>
      <c r="M193" s="559">
        <f>M170*(1+Dashboard!$P$11)</f>
        <v>751.19465826285659</v>
      </c>
      <c r="N193" s="548">
        <f t="shared" si="342"/>
        <v>9014.3358991542791</v>
      </c>
      <c r="P193" s="545" t="str">
        <f t="shared" si="343"/>
        <v>1x1</v>
      </c>
      <c r="Q193" s="550" t="str">
        <f t="shared" si="344"/>
        <v>Market</v>
      </c>
      <c r="R193" s="545">
        <f t="shared" si="345"/>
        <v>1</v>
      </c>
      <c r="S193" s="546">
        <f t="shared" si="346"/>
        <v>701</v>
      </c>
      <c r="T193" s="547">
        <f t="shared" si="347"/>
        <v>0</v>
      </c>
      <c r="U193" s="548">
        <f t="shared" si="357"/>
        <v>9014.3358991542791</v>
      </c>
      <c r="W193" s="545" t="str">
        <f t="shared" si="348"/>
        <v>1x1</v>
      </c>
      <c r="X193" s="550" t="str">
        <f t="shared" si="349"/>
        <v>Market</v>
      </c>
      <c r="Y193" s="545">
        <f t="shared" si="350"/>
        <v>1</v>
      </c>
      <c r="Z193" s="546">
        <f t="shared" si="351"/>
        <v>701</v>
      </c>
      <c r="AA193" s="547">
        <f t="shared" si="352"/>
        <v>0</v>
      </c>
      <c r="AB193" s="549">
        <f>((H193*Y193)*12)</f>
        <v>0</v>
      </c>
      <c r="AD193" s="545" t="str">
        <f t="shared" si="359"/>
        <v>1x1</v>
      </c>
      <c r="AE193" s="550" t="str">
        <f t="shared" si="353"/>
        <v>Market</v>
      </c>
      <c r="AF193" s="545">
        <f t="shared" si="354"/>
        <v>1</v>
      </c>
      <c r="AG193" s="546">
        <f t="shared" si="355"/>
        <v>701</v>
      </c>
      <c r="AH193" s="547">
        <f t="shared" si="356"/>
        <v>0</v>
      </c>
      <c r="AI193" s="548">
        <f t="shared" si="360"/>
        <v>9014.3358991542791</v>
      </c>
    </row>
    <row r="194" spans="2:35" s="120" customFormat="1" ht="15.75" customHeight="1" x14ac:dyDescent="0.2">
      <c r="B194" s="551" t="str">
        <f t="shared" si="336"/>
        <v>1x1</v>
      </c>
      <c r="C194" s="552" t="str">
        <f t="shared" si="336"/>
        <v>S8 Voucher</v>
      </c>
      <c r="D194" s="551">
        <f t="shared" si="337"/>
        <v>3</v>
      </c>
      <c r="E194" s="553">
        <f t="shared" si="338"/>
        <v>701</v>
      </c>
      <c r="F194" s="554">
        <f>F171*(1+Dashboard!$P$12)</f>
        <v>82.340055290195039</v>
      </c>
      <c r="G194" s="555">
        <f>G171*(1+Dashboard!$P$11)</f>
        <v>989.34743356372849</v>
      </c>
      <c r="H194" s="549">
        <f t="shared" si="339"/>
        <v>907.0073782735335</v>
      </c>
      <c r="I194" s="556">
        <f>I171*(1+Dashboard!$P$11)</f>
        <v>865.20396558774178</v>
      </c>
      <c r="J194" s="557">
        <f t="shared" si="340"/>
        <v>782.86391029754668</v>
      </c>
      <c r="K194" s="558">
        <f>K171*(1+Dashboard!$P$11)</f>
        <v>0</v>
      </c>
      <c r="L194" s="559">
        <f t="shared" si="341"/>
        <v>744.86080785591844</v>
      </c>
      <c r="M194" s="559">
        <f>M171*(1+Dashboard!$P$11)</f>
        <v>662.52075256572334</v>
      </c>
      <c r="N194" s="548">
        <f t="shared" si="342"/>
        <v>23850.74709236604</v>
      </c>
      <c r="P194" s="545" t="str">
        <f t="shared" si="343"/>
        <v>1x1</v>
      </c>
      <c r="Q194" s="550" t="str">
        <f t="shared" si="344"/>
        <v>S8 Voucher</v>
      </c>
      <c r="R194" s="545">
        <f t="shared" si="345"/>
        <v>3</v>
      </c>
      <c r="S194" s="546">
        <f t="shared" si="346"/>
        <v>701</v>
      </c>
      <c r="T194" s="547">
        <f t="shared" si="347"/>
        <v>82.340055290195039</v>
      </c>
      <c r="U194" s="548">
        <f t="shared" si="357"/>
        <v>23850.74709236604</v>
      </c>
      <c r="W194" s="545" t="str">
        <f t="shared" si="348"/>
        <v>1x1</v>
      </c>
      <c r="X194" s="550" t="str">
        <f t="shared" si="349"/>
        <v>S8 Voucher</v>
      </c>
      <c r="Y194" s="545">
        <f t="shared" si="350"/>
        <v>3</v>
      </c>
      <c r="Z194" s="546">
        <f t="shared" si="351"/>
        <v>701</v>
      </c>
      <c r="AA194" s="547">
        <f t="shared" si="352"/>
        <v>82.340055290195039</v>
      </c>
      <c r="AB194" s="549">
        <f t="shared" ref="AB194:AB195" si="361">((H194*Y194)*12)</f>
        <v>32652.265617847206</v>
      </c>
      <c r="AD194" s="545" t="str">
        <f t="shared" si="359"/>
        <v>1x1</v>
      </c>
      <c r="AE194" s="550" t="str">
        <f t="shared" si="353"/>
        <v>S8 Voucher</v>
      </c>
      <c r="AF194" s="545">
        <f t="shared" si="354"/>
        <v>3</v>
      </c>
      <c r="AG194" s="546">
        <f t="shared" si="355"/>
        <v>701</v>
      </c>
      <c r="AH194" s="547">
        <f t="shared" si="356"/>
        <v>82.340055290195039</v>
      </c>
      <c r="AI194" s="548">
        <f t="shared" si="360"/>
        <v>32652.265617847206</v>
      </c>
    </row>
    <row r="195" spans="2:35" s="120" customFormat="1" ht="15.75" customHeight="1" x14ac:dyDescent="0.2">
      <c r="B195" s="551" t="str">
        <f t="shared" si="336"/>
        <v>2x1.5</v>
      </c>
      <c r="C195" s="552" t="str">
        <f t="shared" si="336"/>
        <v>40% AMI</v>
      </c>
      <c r="D195" s="551">
        <f t="shared" si="337"/>
        <v>1</v>
      </c>
      <c r="E195" s="553">
        <f t="shared" si="338"/>
        <v>940</v>
      </c>
      <c r="F195" s="554">
        <f>F172*(1+Dashboard!$P$12)</f>
        <v>108.94222699933501</v>
      </c>
      <c r="G195" s="555">
        <f>G172*(1+Dashboard!$P$11)</f>
        <v>682.78907386792525</v>
      </c>
      <c r="H195" s="549">
        <f t="shared" si="339"/>
        <v>573.84684686859021</v>
      </c>
      <c r="I195" s="556">
        <f>I172*(1+Dashboard!$P$11)</f>
        <v>985.54712331956546</v>
      </c>
      <c r="J195" s="557">
        <f t="shared" si="340"/>
        <v>876.60489632023041</v>
      </c>
      <c r="K195" s="558">
        <f>K172*(1+Dashboard!$P$11)</f>
        <v>0</v>
      </c>
      <c r="L195" s="559">
        <f t="shared" si="341"/>
        <v>697.99031484457657</v>
      </c>
      <c r="M195" s="559">
        <f>M172*(1+Dashboard!$P$11)</f>
        <v>589.04808784524153</v>
      </c>
      <c r="N195" s="548">
        <f t="shared" si="342"/>
        <v>7068.5770541428983</v>
      </c>
      <c r="P195" s="545" t="str">
        <f t="shared" si="343"/>
        <v>2x1.5</v>
      </c>
      <c r="Q195" s="550" t="str">
        <f t="shared" si="344"/>
        <v>40% AMI</v>
      </c>
      <c r="R195" s="545">
        <f t="shared" si="345"/>
        <v>1</v>
      </c>
      <c r="S195" s="546">
        <f t="shared" si="346"/>
        <v>940</v>
      </c>
      <c r="T195" s="547">
        <f t="shared" si="347"/>
        <v>108.94222699933501</v>
      </c>
      <c r="U195" s="548">
        <f t="shared" si="357"/>
        <v>7068.5770541428983</v>
      </c>
      <c r="W195" s="545" t="str">
        <f t="shared" si="348"/>
        <v>2x1.5</v>
      </c>
      <c r="X195" s="550" t="str">
        <f t="shared" si="349"/>
        <v>40% AMI</v>
      </c>
      <c r="Y195" s="545">
        <f t="shared" si="350"/>
        <v>1</v>
      </c>
      <c r="Z195" s="546">
        <f t="shared" si="351"/>
        <v>940</v>
      </c>
      <c r="AA195" s="547">
        <f t="shared" si="352"/>
        <v>108.94222699933501</v>
      </c>
      <c r="AB195" s="549">
        <f t="shared" si="361"/>
        <v>6886.1621624230829</v>
      </c>
      <c r="AD195" s="545" t="str">
        <f t="shared" si="359"/>
        <v>2x1.5</v>
      </c>
      <c r="AE195" s="550" t="str">
        <f t="shared" si="353"/>
        <v>40% AMI</v>
      </c>
      <c r="AF195" s="545">
        <f t="shared" si="354"/>
        <v>1</v>
      </c>
      <c r="AG195" s="546">
        <f t="shared" si="355"/>
        <v>940</v>
      </c>
      <c r="AH195" s="547">
        <f t="shared" si="356"/>
        <v>108.94222699933501</v>
      </c>
      <c r="AI195" s="548">
        <f t="shared" si="360"/>
        <v>7068.5770541428983</v>
      </c>
    </row>
    <row r="196" spans="2:35" s="120" customFormat="1" ht="15.75" customHeight="1" x14ac:dyDescent="0.2">
      <c r="B196" s="551" t="str">
        <f t="shared" si="336"/>
        <v>2x1.5</v>
      </c>
      <c r="C196" s="552" t="str">
        <f t="shared" si="336"/>
        <v>50% AMI</v>
      </c>
      <c r="D196" s="551">
        <f t="shared" si="337"/>
        <v>3</v>
      </c>
      <c r="E196" s="553">
        <f t="shared" si="338"/>
        <v>990</v>
      </c>
      <c r="F196" s="554">
        <f>F173*(1+Dashboard!$P$12)</f>
        <v>108.94222699933501</v>
      </c>
      <c r="G196" s="555">
        <f>G173*(1+Dashboard!$P$11)</f>
        <v>880.40520656439332</v>
      </c>
      <c r="H196" s="549">
        <f t="shared" si="339"/>
        <v>771.46297956505828</v>
      </c>
      <c r="I196" s="556">
        <f>I173*(1+Dashboard!$P$11)</f>
        <v>985.54712331956546</v>
      </c>
      <c r="J196" s="557">
        <f t="shared" si="340"/>
        <v>876.60489632023041</v>
      </c>
      <c r="K196" s="558">
        <f>K173*(1+Dashboard!$P$11)</f>
        <v>0</v>
      </c>
      <c r="L196" s="559">
        <f t="shared" si="341"/>
        <v>843.66887420415253</v>
      </c>
      <c r="M196" s="559">
        <f>M173*(1+Dashboard!$P$11)</f>
        <v>734.72664720481748</v>
      </c>
      <c r="N196" s="548">
        <f t="shared" si="342"/>
        <v>26450.159299373427</v>
      </c>
      <c r="P196" s="545" t="str">
        <f t="shared" si="343"/>
        <v>2x1.5</v>
      </c>
      <c r="Q196" s="550" t="str">
        <f t="shared" si="344"/>
        <v>50% AMI</v>
      </c>
      <c r="R196" s="545">
        <f t="shared" si="345"/>
        <v>3</v>
      </c>
      <c r="S196" s="546">
        <f t="shared" si="346"/>
        <v>990</v>
      </c>
      <c r="T196" s="547">
        <f t="shared" si="347"/>
        <v>108.94222699933501</v>
      </c>
      <c r="U196" s="548">
        <f t="shared" si="357"/>
        <v>26450.159299373427</v>
      </c>
      <c r="W196" s="545" t="str">
        <f t="shared" si="348"/>
        <v>2x1.5</v>
      </c>
      <c r="X196" s="550" t="str">
        <f t="shared" si="349"/>
        <v>50% AMI</v>
      </c>
      <c r="Y196" s="545">
        <f t="shared" si="350"/>
        <v>3</v>
      </c>
      <c r="Z196" s="546">
        <f t="shared" si="351"/>
        <v>990</v>
      </c>
      <c r="AA196" s="547">
        <f t="shared" si="352"/>
        <v>108.94222699933501</v>
      </c>
      <c r="AB196" s="549">
        <f>((H196*Y196)*12)</f>
        <v>27772.667264342101</v>
      </c>
      <c r="AD196" s="545" t="str">
        <f t="shared" si="359"/>
        <v>2x1.5</v>
      </c>
      <c r="AE196" s="550" t="str">
        <f t="shared" si="353"/>
        <v>50% AMI</v>
      </c>
      <c r="AF196" s="545">
        <f t="shared" si="354"/>
        <v>3</v>
      </c>
      <c r="AG196" s="546">
        <f t="shared" si="355"/>
        <v>990</v>
      </c>
      <c r="AH196" s="547">
        <f t="shared" si="356"/>
        <v>108.94222699933501</v>
      </c>
      <c r="AI196" s="548">
        <f t="shared" si="360"/>
        <v>27772.667264342101</v>
      </c>
    </row>
    <row r="197" spans="2:35" s="120" customFormat="1" ht="15.75" customHeight="1" x14ac:dyDescent="0.2">
      <c r="B197" s="551" t="str">
        <f t="shared" ref="B197:C197" si="362">B174</f>
        <v>2x1.5</v>
      </c>
      <c r="C197" s="552" t="str">
        <f t="shared" si="362"/>
        <v>60% AMI</v>
      </c>
      <c r="D197" s="551">
        <f t="shared" ref="D197:D209" si="363">$D174</f>
        <v>2</v>
      </c>
      <c r="E197" s="553">
        <f t="shared" ref="E197:E209" si="364">E174</f>
        <v>980</v>
      </c>
      <c r="F197" s="554">
        <f>F174*(1+Dashboard!$P$12)</f>
        <v>108.94222699933501</v>
      </c>
      <c r="G197" s="555">
        <f>G174*(1+Dashboard!$P$11)</f>
        <v>1078.0213392608616</v>
      </c>
      <c r="H197" s="549">
        <f t="shared" si="339"/>
        <v>969.07911226152657</v>
      </c>
      <c r="I197" s="556">
        <f>I174*(1+Dashboard!$P$11)</f>
        <v>985.54712331956546</v>
      </c>
      <c r="J197" s="557">
        <f t="shared" si="340"/>
        <v>876.60489632023041</v>
      </c>
      <c r="K197" s="558">
        <f>K174*(1+Dashboard!$P$11)</f>
        <v>0</v>
      </c>
      <c r="L197" s="559">
        <f t="shared" si="341"/>
        <v>922.20861925018494</v>
      </c>
      <c r="M197" s="559">
        <f>M174*(1+Dashboard!$P$11)</f>
        <v>813.26639225084989</v>
      </c>
      <c r="N197" s="548">
        <f t="shared" si="342"/>
        <v>19518.393414020396</v>
      </c>
      <c r="P197" s="545" t="str">
        <f>B197</f>
        <v>2x1.5</v>
      </c>
      <c r="Q197" s="550" t="str">
        <f t="shared" si="344"/>
        <v>60% AMI</v>
      </c>
      <c r="R197" s="545">
        <f t="shared" si="345"/>
        <v>2</v>
      </c>
      <c r="S197" s="546">
        <f t="shared" si="346"/>
        <v>980</v>
      </c>
      <c r="T197" s="547">
        <f t="shared" si="347"/>
        <v>108.94222699933501</v>
      </c>
      <c r="U197" s="548">
        <f t="shared" si="357"/>
        <v>19518.393414020396</v>
      </c>
      <c r="W197" s="545" t="str">
        <f t="shared" si="348"/>
        <v>2x1.5</v>
      </c>
      <c r="X197" s="550" t="str">
        <f t="shared" si="349"/>
        <v>60% AMI</v>
      </c>
      <c r="Y197" s="545">
        <f t="shared" si="350"/>
        <v>2</v>
      </c>
      <c r="Z197" s="546">
        <f t="shared" si="351"/>
        <v>980</v>
      </c>
      <c r="AA197" s="547">
        <f t="shared" si="352"/>
        <v>108.94222699933501</v>
      </c>
      <c r="AB197" s="549">
        <f t="shared" ref="AB197:AB209" si="365">((H197*Y197)*12)</f>
        <v>23257.898694276639</v>
      </c>
      <c r="AD197" s="545" t="str">
        <f t="shared" si="359"/>
        <v>2x1.5</v>
      </c>
      <c r="AE197" s="550" t="str">
        <f t="shared" si="353"/>
        <v>60% AMI</v>
      </c>
      <c r="AF197" s="545">
        <f t="shared" si="354"/>
        <v>2</v>
      </c>
      <c r="AG197" s="546">
        <f t="shared" si="355"/>
        <v>980</v>
      </c>
      <c r="AH197" s="547">
        <f t="shared" si="356"/>
        <v>108.94222699933501</v>
      </c>
      <c r="AI197" s="548">
        <f t="shared" si="360"/>
        <v>23257.898694276639</v>
      </c>
    </row>
    <row r="198" spans="2:35" s="120" customFormat="1" ht="15.75" customHeight="1" x14ac:dyDescent="0.2">
      <c r="B198" s="551" t="str">
        <f t="shared" ref="B198:C198" si="366">B175</f>
        <v>2x2</v>
      </c>
      <c r="C198" s="552" t="str">
        <f t="shared" si="366"/>
        <v>50% AMI</v>
      </c>
      <c r="D198" s="551">
        <f t="shared" si="363"/>
        <v>1</v>
      </c>
      <c r="E198" s="553">
        <f t="shared" si="364"/>
        <v>968</v>
      </c>
      <c r="F198" s="554">
        <f>F175*(1+Dashboard!$P$12)</f>
        <v>108.94222699933501</v>
      </c>
      <c r="G198" s="555">
        <f>G175*(1+Dashboard!$P$11)</f>
        <v>880.40520656439332</v>
      </c>
      <c r="H198" s="549">
        <f t="shared" si="339"/>
        <v>771.46297956505828</v>
      </c>
      <c r="I198" s="556">
        <f>I175*(1+Dashboard!$P$11)</f>
        <v>985.54712331956546</v>
      </c>
      <c r="J198" s="557">
        <f t="shared" si="340"/>
        <v>876.60489632023041</v>
      </c>
      <c r="K198" s="558">
        <f>K175*(1+Dashboard!$P$11)</f>
        <v>0</v>
      </c>
      <c r="L198" s="559">
        <f t="shared" si="341"/>
        <v>881.67197664578111</v>
      </c>
      <c r="M198" s="559">
        <f>M175*(1+Dashboard!$P$11)</f>
        <v>772.72974964644607</v>
      </c>
      <c r="N198" s="548">
        <f t="shared" si="342"/>
        <v>9272.7569957573523</v>
      </c>
      <c r="P198" s="545" t="str">
        <f t="shared" ref="P198:P209" si="367">B198</f>
        <v>2x2</v>
      </c>
      <c r="Q198" s="550" t="str">
        <f t="shared" si="344"/>
        <v>50% AMI</v>
      </c>
      <c r="R198" s="545">
        <f t="shared" si="345"/>
        <v>1</v>
      </c>
      <c r="S198" s="546">
        <f t="shared" si="346"/>
        <v>968</v>
      </c>
      <c r="T198" s="547">
        <f t="shared" si="347"/>
        <v>108.94222699933501</v>
      </c>
      <c r="U198" s="548">
        <f t="shared" si="357"/>
        <v>9272.7569957573523</v>
      </c>
      <c r="W198" s="545" t="str">
        <f t="shared" si="348"/>
        <v>2x2</v>
      </c>
      <c r="X198" s="550" t="str">
        <f t="shared" si="349"/>
        <v>50% AMI</v>
      </c>
      <c r="Y198" s="545">
        <f t="shared" si="350"/>
        <v>1</v>
      </c>
      <c r="Z198" s="546">
        <f t="shared" si="351"/>
        <v>968</v>
      </c>
      <c r="AA198" s="547">
        <f t="shared" si="352"/>
        <v>108.94222699933501</v>
      </c>
      <c r="AB198" s="549">
        <f t="shared" si="365"/>
        <v>9257.5557547807002</v>
      </c>
      <c r="AD198" s="545" t="str">
        <f t="shared" si="359"/>
        <v>2x2</v>
      </c>
      <c r="AE198" s="550" t="str">
        <f t="shared" si="353"/>
        <v>50% AMI</v>
      </c>
      <c r="AF198" s="545">
        <f t="shared" si="354"/>
        <v>1</v>
      </c>
      <c r="AG198" s="546">
        <f t="shared" si="355"/>
        <v>968</v>
      </c>
      <c r="AH198" s="547">
        <f t="shared" si="356"/>
        <v>108.94222699933501</v>
      </c>
      <c r="AI198" s="548">
        <f t="shared" si="360"/>
        <v>9272.7569957573523</v>
      </c>
    </row>
    <row r="199" spans="2:35" s="120" customFormat="1" ht="15.75" customHeight="1" x14ac:dyDescent="0.2">
      <c r="B199" s="551" t="str">
        <f t="shared" ref="B199:C199" si="368">B176</f>
        <v>2x2</v>
      </c>
      <c r="C199" s="552" t="str">
        <f t="shared" si="368"/>
        <v>60% AMI</v>
      </c>
      <c r="D199" s="551">
        <f t="shared" si="363"/>
        <v>2</v>
      </c>
      <c r="E199" s="553">
        <f t="shared" si="364"/>
        <v>968</v>
      </c>
      <c r="F199" s="554">
        <f>F176*(1+Dashboard!$P$12)</f>
        <v>108.94222699933501</v>
      </c>
      <c r="G199" s="555">
        <f>G176*(1+Dashboard!$P$11)</f>
        <v>1078.0213392608616</v>
      </c>
      <c r="H199" s="549">
        <f t="shared" si="339"/>
        <v>969.07911226152657</v>
      </c>
      <c r="I199" s="556">
        <f>I176*(1+Dashboard!$P$11)</f>
        <v>985.54712331956546</v>
      </c>
      <c r="J199" s="557">
        <f t="shared" si="340"/>
        <v>876.60489632023041</v>
      </c>
      <c r="K199" s="558">
        <f>K176*(1+Dashboard!$P$11)</f>
        <v>0</v>
      </c>
      <c r="L199" s="559">
        <f t="shared" si="341"/>
        <v>913.34122868047143</v>
      </c>
      <c r="M199" s="559">
        <f>M176*(1+Dashboard!$P$11)</f>
        <v>804.39900168113638</v>
      </c>
      <c r="N199" s="548">
        <f t="shared" si="342"/>
        <v>19305.576040347274</v>
      </c>
      <c r="P199" s="545" t="str">
        <f t="shared" si="367"/>
        <v>2x2</v>
      </c>
      <c r="Q199" s="550" t="str">
        <f t="shared" si="344"/>
        <v>60% AMI</v>
      </c>
      <c r="R199" s="545">
        <f t="shared" si="345"/>
        <v>2</v>
      </c>
      <c r="S199" s="546">
        <f t="shared" si="346"/>
        <v>968</v>
      </c>
      <c r="T199" s="547">
        <f t="shared" si="347"/>
        <v>108.94222699933501</v>
      </c>
      <c r="U199" s="548">
        <f t="shared" si="357"/>
        <v>19305.576040347274</v>
      </c>
      <c r="W199" s="545" t="str">
        <f t="shared" si="348"/>
        <v>2x2</v>
      </c>
      <c r="X199" s="550" t="str">
        <f t="shared" si="349"/>
        <v>60% AMI</v>
      </c>
      <c r="Y199" s="545">
        <f t="shared" si="350"/>
        <v>2</v>
      </c>
      <c r="Z199" s="546">
        <f t="shared" si="351"/>
        <v>968</v>
      </c>
      <c r="AA199" s="547">
        <f t="shared" si="352"/>
        <v>108.94222699933501</v>
      </c>
      <c r="AB199" s="549">
        <f t="shared" si="365"/>
        <v>23257.898694276639</v>
      </c>
      <c r="AD199" s="545" t="str">
        <f t="shared" si="359"/>
        <v>2x2</v>
      </c>
      <c r="AE199" s="550" t="str">
        <f t="shared" si="353"/>
        <v>60% AMI</v>
      </c>
      <c r="AF199" s="545">
        <f t="shared" si="354"/>
        <v>2</v>
      </c>
      <c r="AG199" s="546">
        <f t="shared" si="355"/>
        <v>968</v>
      </c>
      <c r="AH199" s="547">
        <f t="shared" si="356"/>
        <v>108.94222699933501</v>
      </c>
      <c r="AI199" s="548">
        <f t="shared" si="360"/>
        <v>23257.898694276639</v>
      </c>
    </row>
    <row r="200" spans="2:35" s="120" customFormat="1" ht="15.75" customHeight="1" x14ac:dyDescent="0.2">
      <c r="B200" s="551" t="str">
        <f t="shared" ref="B200:C200" si="369">B177</f>
        <v>2x2</v>
      </c>
      <c r="C200" s="552" t="str">
        <f t="shared" si="369"/>
        <v>Market</v>
      </c>
      <c r="D200" s="551">
        <f t="shared" si="363"/>
        <v>0</v>
      </c>
      <c r="E200" s="553">
        <f t="shared" si="364"/>
        <v>968</v>
      </c>
      <c r="F200" s="554">
        <f>F177*(1+Dashboard!$P$12)</f>
        <v>0</v>
      </c>
      <c r="G200" s="555">
        <f>G177*(1+Dashboard!$P$11)</f>
        <v>0</v>
      </c>
      <c r="H200" s="549">
        <f t="shared" si="339"/>
        <v>0</v>
      </c>
      <c r="I200" s="556">
        <f>I177*(1+Dashboard!$P$11)</f>
        <v>985.54712331956546</v>
      </c>
      <c r="J200" s="557">
        <f t="shared" si="340"/>
        <v>985.54712331956546</v>
      </c>
      <c r="K200" s="558">
        <f>K177*(1+Dashboard!$P$11)</f>
        <v>0</v>
      </c>
      <c r="L200" s="559">
        <f t="shared" si="341"/>
        <v>0</v>
      </c>
      <c r="M200" s="559">
        <f>M177*(1+Dashboard!$P$11)</f>
        <v>0</v>
      </c>
      <c r="N200" s="548">
        <f t="shared" si="342"/>
        <v>0</v>
      </c>
      <c r="P200" s="545" t="str">
        <f t="shared" si="367"/>
        <v>2x2</v>
      </c>
      <c r="Q200" s="550" t="str">
        <f t="shared" si="344"/>
        <v>Market</v>
      </c>
      <c r="R200" s="545">
        <f t="shared" si="345"/>
        <v>0</v>
      </c>
      <c r="S200" s="546">
        <f t="shared" si="346"/>
        <v>968</v>
      </c>
      <c r="T200" s="547">
        <f t="shared" si="347"/>
        <v>0</v>
      </c>
      <c r="U200" s="548">
        <f t="shared" si="357"/>
        <v>0</v>
      </c>
      <c r="W200" s="545" t="str">
        <f t="shared" si="348"/>
        <v>2x2</v>
      </c>
      <c r="X200" s="550" t="str">
        <f t="shared" si="349"/>
        <v>Market</v>
      </c>
      <c r="Y200" s="545">
        <f t="shared" si="350"/>
        <v>0</v>
      </c>
      <c r="Z200" s="546">
        <f t="shared" si="351"/>
        <v>968</v>
      </c>
      <c r="AA200" s="547">
        <f t="shared" si="352"/>
        <v>0</v>
      </c>
      <c r="AB200" s="549">
        <f t="shared" si="365"/>
        <v>0</v>
      </c>
      <c r="AD200" s="545" t="str">
        <f t="shared" si="359"/>
        <v>2x2</v>
      </c>
      <c r="AE200" s="550" t="str">
        <f t="shared" si="353"/>
        <v>Market</v>
      </c>
      <c r="AF200" s="545">
        <f t="shared" si="354"/>
        <v>0</v>
      </c>
      <c r="AG200" s="546">
        <f t="shared" si="355"/>
        <v>968</v>
      </c>
      <c r="AH200" s="547">
        <f t="shared" si="356"/>
        <v>0</v>
      </c>
      <c r="AI200" s="548">
        <f t="shared" si="360"/>
        <v>0</v>
      </c>
    </row>
    <row r="201" spans="2:35" s="120" customFormat="1" ht="15.75" customHeight="1" x14ac:dyDescent="0.2">
      <c r="B201" s="551" t="str">
        <f t="shared" ref="B201:C201" si="370">B178</f>
        <v>2x2 (TH)</v>
      </c>
      <c r="C201" s="552" t="str">
        <f t="shared" si="370"/>
        <v>40% AMI</v>
      </c>
      <c r="D201" s="551">
        <f t="shared" si="363"/>
        <v>1</v>
      </c>
      <c r="E201" s="553">
        <f t="shared" si="364"/>
        <v>1058</v>
      </c>
      <c r="F201" s="554">
        <f>F178*(1+Dashboard!$P$12)</f>
        <v>108.94222699933501</v>
      </c>
      <c r="G201" s="555">
        <f>G178*(1+Dashboard!$P$11)</f>
        <v>682.78907386792525</v>
      </c>
      <c r="H201" s="549">
        <f t="shared" si="339"/>
        <v>573.84684686859021</v>
      </c>
      <c r="I201" s="556">
        <f>I178*(1+Dashboard!$P$11)</f>
        <v>985.54712331956546</v>
      </c>
      <c r="J201" s="557">
        <f t="shared" si="340"/>
        <v>876.60489632023041</v>
      </c>
      <c r="K201" s="558">
        <f>K178*(1+Dashboard!$P$11)</f>
        <v>0</v>
      </c>
      <c r="L201" s="559">
        <f t="shared" si="341"/>
        <v>678.98876362376257</v>
      </c>
      <c r="M201" s="559">
        <f>M178*(1+Dashboard!$P$11)</f>
        <v>570.04653662442752</v>
      </c>
      <c r="N201" s="548">
        <f t="shared" si="342"/>
        <v>6840.5584394931302</v>
      </c>
      <c r="P201" s="545" t="str">
        <f t="shared" si="367"/>
        <v>2x2 (TH)</v>
      </c>
      <c r="Q201" s="550" t="str">
        <f t="shared" si="344"/>
        <v>40% AMI</v>
      </c>
      <c r="R201" s="545">
        <f t="shared" si="345"/>
        <v>1</v>
      </c>
      <c r="S201" s="546">
        <f t="shared" si="346"/>
        <v>1058</v>
      </c>
      <c r="T201" s="547">
        <f t="shared" si="347"/>
        <v>108.94222699933501</v>
      </c>
      <c r="U201" s="548">
        <f t="shared" si="357"/>
        <v>6840.5584394931302</v>
      </c>
      <c r="W201" s="545" t="str">
        <f t="shared" si="348"/>
        <v>2x2 (TH)</v>
      </c>
      <c r="X201" s="550" t="str">
        <f t="shared" si="349"/>
        <v>40% AMI</v>
      </c>
      <c r="Y201" s="545">
        <f t="shared" si="350"/>
        <v>1</v>
      </c>
      <c r="Z201" s="546">
        <f t="shared" si="351"/>
        <v>1058</v>
      </c>
      <c r="AA201" s="547">
        <f t="shared" si="352"/>
        <v>108.94222699933501</v>
      </c>
      <c r="AB201" s="549">
        <f t="shared" si="365"/>
        <v>6886.1621624230829</v>
      </c>
      <c r="AD201" s="545" t="str">
        <f t="shared" si="359"/>
        <v>2x2 (TH)</v>
      </c>
      <c r="AE201" s="550" t="str">
        <f t="shared" si="353"/>
        <v>40% AMI</v>
      </c>
      <c r="AF201" s="545">
        <f t="shared" si="354"/>
        <v>1</v>
      </c>
      <c r="AG201" s="546">
        <f t="shared" si="355"/>
        <v>1058</v>
      </c>
      <c r="AH201" s="547">
        <f t="shared" si="356"/>
        <v>108.94222699933501</v>
      </c>
      <c r="AI201" s="548">
        <f t="shared" si="360"/>
        <v>6886.1621624230829</v>
      </c>
    </row>
    <row r="202" spans="2:35" s="120" customFormat="1" ht="15.75" customHeight="1" x14ac:dyDescent="0.2">
      <c r="B202" s="551" t="str">
        <f t="shared" ref="B202:C202" si="371">B179</f>
        <v>2x2 (TH)</v>
      </c>
      <c r="C202" s="552" t="str">
        <f t="shared" si="371"/>
        <v>50% AMI</v>
      </c>
      <c r="D202" s="551">
        <f t="shared" si="363"/>
        <v>1</v>
      </c>
      <c r="E202" s="553">
        <f t="shared" si="364"/>
        <v>1058</v>
      </c>
      <c r="F202" s="554">
        <f>F179*(1+Dashboard!$P$12)</f>
        <v>108.94222699933501</v>
      </c>
      <c r="G202" s="555">
        <f>G179*(1+Dashboard!$P$11)</f>
        <v>880.40520656439332</v>
      </c>
      <c r="H202" s="549">
        <f t="shared" si="339"/>
        <v>771.46297956505828</v>
      </c>
      <c r="I202" s="556">
        <f>I179*(1+Dashboard!$P$11)</f>
        <v>985.54712331956546</v>
      </c>
      <c r="J202" s="557">
        <f t="shared" si="340"/>
        <v>876.60489632023041</v>
      </c>
      <c r="K202" s="558">
        <f>K179*(1+Dashboard!$P$11)</f>
        <v>0</v>
      </c>
      <c r="L202" s="559">
        <f t="shared" si="341"/>
        <v>184.94843188259199</v>
      </c>
      <c r="M202" s="559">
        <f>M179*(1+Dashboard!$P$11)</f>
        <v>76.006204883256984</v>
      </c>
      <c r="N202" s="548">
        <f t="shared" si="342"/>
        <v>912.07445859908375</v>
      </c>
      <c r="P202" s="545" t="str">
        <f t="shared" si="367"/>
        <v>2x2 (TH)</v>
      </c>
      <c r="Q202" s="550" t="str">
        <f t="shared" si="344"/>
        <v>50% AMI</v>
      </c>
      <c r="R202" s="545">
        <f t="shared" si="345"/>
        <v>1</v>
      </c>
      <c r="S202" s="546">
        <f t="shared" si="346"/>
        <v>1058</v>
      </c>
      <c r="T202" s="547">
        <f t="shared" si="347"/>
        <v>108.94222699933501</v>
      </c>
      <c r="U202" s="548">
        <f t="shared" si="357"/>
        <v>912.07445859908375</v>
      </c>
      <c r="W202" s="545" t="str">
        <f t="shared" si="348"/>
        <v>2x2 (TH)</v>
      </c>
      <c r="X202" s="550" t="str">
        <f t="shared" si="349"/>
        <v>50% AMI</v>
      </c>
      <c r="Y202" s="545">
        <f t="shared" si="350"/>
        <v>1</v>
      </c>
      <c r="Z202" s="546">
        <f t="shared" si="351"/>
        <v>1058</v>
      </c>
      <c r="AA202" s="547">
        <f t="shared" si="352"/>
        <v>108.94222699933501</v>
      </c>
      <c r="AB202" s="549">
        <f t="shared" si="365"/>
        <v>9257.5557547807002</v>
      </c>
      <c r="AD202" s="545" t="str">
        <f t="shared" si="359"/>
        <v>2x2 (TH)</v>
      </c>
      <c r="AE202" s="550" t="str">
        <f t="shared" si="353"/>
        <v>50% AMI</v>
      </c>
      <c r="AF202" s="545">
        <f t="shared" si="354"/>
        <v>1</v>
      </c>
      <c r="AG202" s="546">
        <f t="shared" si="355"/>
        <v>1058</v>
      </c>
      <c r="AH202" s="547">
        <f t="shared" si="356"/>
        <v>108.94222699933501</v>
      </c>
      <c r="AI202" s="548">
        <f t="shared" si="360"/>
        <v>9257.5557547807002</v>
      </c>
    </row>
    <row r="203" spans="2:35" s="120" customFormat="1" ht="15.75" customHeight="1" x14ac:dyDescent="0.2">
      <c r="B203" s="551" t="str">
        <f t="shared" ref="B203:C203" si="372">B180</f>
        <v>2x2 (TH)</v>
      </c>
      <c r="C203" s="552" t="str">
        <f t="shared" si="372"/>
        <v>60% AMI</v>
      </c>
      <c r="D203" s="551">
        <f t="shared" si="363"/>
        <v>16</v>
      </c>
      <c r="E203" s="553">
        <f t="shared" si="364"/>
        <v>1058</v>
      </c>
      <c r="F203" s="554">
        <f>F180*(1+Dashboard!$P$12)</f>
        <v>108.94222699933501</v>
      </c>
      <c r="G203" s="555">
        <f>G180*(1+Dashboard!$P$11)</f>
        <v>1078.0213392608616</v>
      </c>
      <c r="H203" s="549">
        <f t="shared" si="339"/>
        <v>969.07911226152657</v>
      </c>
      <c r="I203" s="556">
        <f>I180*(1+Dashboard!$P$11)</f>
        <v>985.54712331956546</v>
      </c>
      <c r="J203" s="557">
        <f t="shared" si="340"/>
        <v>876.60489632023041</v>
      </c>
      <c r="K203" s="558">
        <f>K180*(1+Dashboard!$P$11)</f>
        <v>0</v>
      </c>
      <c r="L203" s="559">
        <f t="shared" si="341"/>
        <v>983.01358315679045</v>
      </c>
      <c r="M203" s="559">
        <f>M180*(1+Dashboard!$P$11)</f>
        <v>874.0713561574554</v>
      </c>
      <c r="N203" s="548">
        <f t="shared" si="342"/>
        <v>167821.70038223144</v>
      </c>
      <c r="P203" s="545" t="str">
        <f t="shared" si="367"/>
        <v>2x2 (TH)</v>
      </c>
      <c r="Q203" s="550" t="str">
        <f t="shared" si="344"/>
        <v>60% AMI</v>
      </c>
      <c r="R203" s="545">
        <f t="shared" si="345"/>
        <v>16</v>
      </c>
      <c r="S203" s="546">
        <f t="shared" si="346"/>
        <v>1058</v>
      </c>
      <c r="T203" s="547">
        <f t="shared" si="347"/>
        <v>108.94222699933501</v>
      </c>
      <c r="U203" s="548">
        <f t="shared" si="357"/>
        <v>167821.70038223144</v>
      </c>
      <c r="W203" s="545" t="str">
        <f t="shared" si="348"/>
        <v>2x2 (TH)</v>
      </c>
      <c r="X203" s="550" t="str">
        <f t="shared" si="349"/>
        <v>60% AMI</v>
      </c>
      <c r="Y203" s="545">
        <f t="shared" si="350"/>
        <v>16</v>
      </c>
      <c r="Z203" s="546">
        <f t="shared" si="351"/>
        <v>1058</v>
      </c>
      <c r="AA203" s="547">
        <f t="shared" si="352"/>
        <v>108.94222699933501</v>
      </c>
      <c r="AB203" s="549">
        <f t="shared" si="365"/>
        <v>186063.18955421311</v>
      </c>
      <c r="AD203" s="545" t="str">
        <f t="shared" si="359"/>
        <v>2x2 (TH)</v>
      </c>
      <c r="AE203" s="550" t="str">
        <f t="shared" si="353"/>
        <v>60% AMI</v>
      </c>
      <c r="AF203" s="545">
        <f t="shared" si="354"/>
        <v>16</v>
      </c>
      <c r="AG203" s="546">
        <f t="shared" si="355"/>
        <v>1058</v>
      </c>
      <c r="AH203" s="547">
        <f t="shared" si="356"/>
        <v>108.94222699933501</v>
      </c>
      <c r="AI203" s="548">
        <f t="shared" si="360"/>
        <v>186063.18955421311</v>
      </c>
    </row>
    <row r="204" spans="2:35" s="120" customFormat="1" ht="15.75" customHeight="1" x14ac:dyDescent="0.2">
      <c r="B204" s="551" t="str">
        <f t="shared" ref="B204:C204" si="373">B181</f>
        <v>2x2 (TH)</v>
      </c>
      <c r="C204" s="552" t="str">
        <f t="shared" si="373"/>
        <v>Market</v>
      </c>
      <c r="D204" s="551">
        <f t="shared" si="363"/>
        <v>1</v>
      </c>
      <c r="E204" s="553">
        <f t="shared" si="364"/>
        <v>1058</v>
      </c>
      <c r="F204" s="554">
        <f>F181*(1+Dashboard!$P$12)</f>
        <v>0</v>
      </c>
      <c r="G204" s="555">
        <f>G181*(1+Dashboard!$P$11)</f>
        <v>0</v>
      </c>
      <c r="H204" s="549">
        <f t="shared" si="339"/>
        <v>0</v>
      </c>
      <c r="I204" s="556">
        <f>I181*(1+Dashboard!$P$11)</f>
        <v>985.54712331956546</v>
      </c>
      <c r="J204" s="557">
        <f t="shared" si="340"/>
        <v>985.54712331956546</v>
      </c>
      <c r="K204" s="558">
        <f>K181*(1+Dashboard!$P$11)</f>
        <v>0</v>
      </c>
      <c r="L204" s="559">
        <f t="shared" si="341"/>
        <v>950.07756104071234</v>
      </c>
      <c r="M204" s="559">
        <f>M181*(1+Dashboard!$P$11)</f>
        <v>950.07756104071234</v>
      </c>
      <c r="N204" s="548">
        <f t="shared" si="342"/>
        <v>11400.930732488549</v>
      </c>
      <c r="P204" s="545" t="str">
        <f t="shared" si="367"/>
        <v>2x2 (TH)</v>
      </c>
      <c r="Q204" s="550" t="str">
        <f t="shared" si="344"/>
        <v>Market</v>
      </c>
      <c r="R204" s="545">
        <f t="shared" si="345"/>
        <v>1</v>
      </c>
      <c r="S204" s="546">
        <f t="shared" si="346"/>
        <v>1058</v>
      </c>
      <c r="T204" s="547">
        <f t="shared" si="347"/>
        <v>0</v>
      </c>
      <c r="U204" s="548">
        <f t="shared" si="357"/>
        <v>11400.930732488549</v>
      </c>
      <c r="W204" s="545" t="str">
        <f t="shared" si="348"/>
        <v>2x2 (TH)</v>
      </c>
      <c r="X204" s="550" t="str">
        <f t="shared" si="349"/>
        <v>Market</v>
      </c>
      <c r="Y204" s="545">
        <f t="shared" si="350"/>
        <v>1</v>
      </c>
      <c r="Z204" s="546">
        <f t="shared" si="351"/>
        <v>1058</v>
      </c>
      <c r="AA204" s="547">
        <f t="shared" si="352"/>
        <v>0</v>
      </c>
      <c r="AB204" s="549">
        <f t="shared" si="365"/>
        <v>0</v>
      </c>
      <c r="AD204" s="545" t="str">
        <f t="shared" si="359"/>
        <v>2x2 (TH)</v>
      </c>
      <c r="AE204" s="550" t="str">
        <f t="shared" si="353"/>
        <v>Market</v>
      </c>
      <c r="AF204" s="545">
        <f t="shared" si="354"/>
        <v>1</v>
      </c>
      <c r="AG204" s="546">
        <f t="shared" si="355"/>
        <v>1058</v>
      </c>
      <c r="AH204" s="547">
        <f t="shared" si="356"/>
        <v>0</v>
      </c>
      <c r="AI204" s="548">
        <f t="shared" si="360"/>
        <v>11400.930732488549</v>
      </c>
    </row>
    <row r="205" spans="2:35" s="120" customFormat="1" ht="15.75" customHeight="1" x14ac:dyDescent="0.2">
      <c r="B205" s="551" t="str">
        <f t="shared" ref="B205:C205" si="374">B182</f>
        <v xml:space="preserve">2x1.5-2x2 </v>
      </c>
      <c r="C205" s="552" t="str">
        <f t="shared" si="374"/>
        <v>S8 Voucher</v>
      </c>
      <c r="D205" s="551">
        <f t="shared" si="363"/>
        <v>18</v>
      </c>
      <c r="E205" s="553">
        <f t="shared" si="364"/>
        <v>0</v>
      </c>
      <c r="F205" s="554">
        <f>F182*(1+Dashboard!$P$12)</f>
        <v>108.94222699933501</v>
      </c>
      <c r="G205" s="555">
        <f>G182*(1+Dashboard!$P$11)</f>
        <v>1078.0213392608616</v>
      </c>
      <c r="H205" s="549">
        <f t="shared" si="339"/>
        <v>969.07911226152657</v>
      </c>
      <c r="I205" s="556">
        <f>I182*(1+Dashboard!$P$11)</f>
        <v>985.54712331956546</v>
      </c>
      <c r="J205" s="557">
        <f t="shared" si="340"/>
        <v>876.60489632023041</v>
      </c>
      <c r="K205" s="558">
        <f>K182*(1+Dashboard!$P$11)</f>
        <v>0</v>
      </c>
      <c r="L205" s="559">
        <f t="shared" si="341"/>
        <v>1041.2850069006206</v>
      </c>
      <c r="M205" s="559">
        <f>M182*(1+Dashboard!$P$11)</f>
        <v>932.34277990128555</v>
      </c>
      <c r="N205" s="548">
        <f t="shared" si="342"/>
        <v>201386.04045867769</v>
      </c>
      <c r="P205" s="545" t="str">
        <f t="shared" si="367"/>
        <v xml:space="preserve">2x1.5-2x2 </v>
      </c>
      <c r="Q205" s="550" t="str">
        <f t="shared" si="344"/>
        <v>S8 Voucher</v>
      </c>
      <c r="R205" s="545">
        <f t="shared" si="345"/>
        <v>18</v>
      </c>
      <c r="S205" s="546">
        <f t="shared" si="346"/>
        <v>0</v>
      </c>
      <c r="T205" s="547">
        <f t="shared" si="347"/>
        <v>108.94222699933501</v>
      </c>
      <c r="U205" s="548">
        <f t="shared" si="357"/>
        <v>201386.04045867769</v>
      </c>
      <c r="W205" s="545" t="str">
        <f t="shared" si="348"/>
        <v xml:space="preserve">2x1.5-2x2 </v>
      </c>
      <c r="X205" s="550" t="str">
        <f t="shared" si="349"/>
        <v>S8 Voucher</v>
      </c>
      <c r="Y205" s="545">
        <f t="shared" si="350"/>
        <v>18</v>
      </c>
      <c r="Z205" s="546">
        <f t="shared" si="351"/>
        <v>0</v>
      </c>
      <c r="AA205" s="547">
        <f t="shared" si="352"/>
        <v>108.94222699933501</v>
      </c>
      <c r="AB205" s="549">
        <f t="shared" si="365"/>
        <v>209321.08824848977</v>
      </c>
      <c r="AD205" s="545" t="str">
        <f t="shared" si="359"/>
        <v xml:space="preserve">2x1.5-2x2 </v>
      </c>
      <c r="AE205" s="550" t="str">
        <f t="shared" si="353"/>
        <v>S8 Voucher</v>
      </c>
      <c r="AF205" s="545">
        <f t="shared" si="354"/>
        <v>18</v>
      </c>
      <c r="AG205" s="546">
        <f t="shared" si="355"/>
        <v>0</v>
      </c>
      <c r="AH205" s="547">
        <f t="shared" si="356"/>
        <v>108.94222699933501</v>
      </c>
      <c r="AI205" s="548">
        <f t="shared" si="360"/>
        <v>209321.08824848977</v>
      </c>
    </row>
    <row r="206" spans="2:35" s="120" customFormat="1" ht="15.75" customHeight="1" x14ac:dyDescent="0.2">
      <c r="B206" s="551" t="str">
        <f t="shared" ref="B206:C206" si="375">B183</f>
        <v>3x2 (TH)</v>
      </c>
      <c r="C206" s="552" t="str">
        <f t="shared" si="375"/>
        <v>50% AMI</v>
      </c>
      <c r="D206" s="551">
        <f t="shared" si="363"/>
        <v>2</v>
      </c>
      <c r="E206" s="553">
        <f t="shared" si="364"/>
        <v>1296</v>
      </c>
      <c r="F206" s="554">
        <f>F183*(1+Dashboard!$P$12)</f>
        <v>135.54439870847494</v>
      </c>
      <c r="G206" s="555">
        <f>G183*(1+Dashboard!$P$11)</f>
        <v>1007.082214703155</v>
      </c>
      <c r="H206" s="549">
        <f t="shared" si="339"/>
        <v>871.53781599468016</v>
      </c>
      <c r="I206" s="556">
        <f>I183*(1+Dashboard!$P$11)</f>
        <v>1295.9057932595313</v>
      </c>
      <c r="J206" s="557">
        <f t="shared" si="340"/>
        <v>1160.3613945510563</v>
      </c>
      <c r="K206" s="558">
        <f>K183*(1+Dashboard!$P$11)</f>
        <v>0</v>
      </c>
      <c r="L206" s="559">
        <f t="shared" si="341"/>
        <v>996.9480540520542</v>
      </c>
      <c r="M206" s="559">
        <f>M183*(1+Dashboard!$P$11)</f>
        <v>861.4036553435792</v>
      </c>
      <c r="N206" s="548">
        <f t="shared" si="342"/>
        <v>20673.687728245903</v>
      </c>
      <c r="P206" s="545" t="str">
        <f t="shared" si="367"/>
        <v>3x2 (TH)</v>
      </c>
      <c r="Q206" s="550" t="str">
        <f t="shared" si="344"/>
        <v>50% AMI</v>
      </c>
      <c r="R206" s="545">
        <f t="shared" si="345"/>
        <v>2</v>
      </c>
      <c r="S206" s="546">
        <f t="shared" si="346"/>
        <v>1296</v>
      </c>
      <c r="T206" s="547">
        <f t="shared" si="347"/>
        <v>135.54439870847494</v>
      </c>
      <c r="U206" s="548">
        <f t="shared" si="357"/>
        <v>20673.687728245903</v>
      </c>
      <c r="W206" s="545" t="str">
        <f t="shared" si="348"/>
        <v>3x2 (TH)</v>
      </c>
      <c r="X206" s="550" t="str">
        <f t="shared" si="349"/>
        <v>50% AMI</v>
      </c>
      <c r="Y206" s="545">
        <f t="shared" si="350"/>
        <v>2</v>
      </c>
      <c r="Z206" s="546">
        <f t="shared" si="351"/>
        <v>1296</v>
      </c>
      <c r="AA206" s="547">
        <f t="shared" si="352"/>
        <v>135.54439870847494</v>
      </c>
      <c r="AB206" s="549">
        <f t="shared" si="365"/>
        <v>20916.907583872322</v>
      </c>
      <c r="AD206" s="545" t="str">
        <f t="shared" si="359"/>
        <v>3x2 (TH)</v>
      </c>
      <c r="AE206" s="550" t="str">
        <f t="shared" si="353"/>
        <v>50% AMI</v>
      </c>
      <c r="AF206" s="545">
        <f t="shared" si="354"/>
        <v>2</v>
      </c>
      <c r="AG206" s="546">
        <f t="shared" si="355"/>
        <v>1296</v>
      </c>
      <c r="AH206" s="547">
        <f t="shared" si="356"/>
        <v>135.54439870847494</v>
      </c>
      <c r="AI206" s="548">
        <f t="shared" si="360"/>
        <v>20916.907583872322</v>
      </c>
    </row>
    <row r="207" spans="2:35" s="120" customFormat="1" ht="15.75" customHeight="1" x14ac:dyDescent="0.2">
      <c r="B207" s="551" t="str">
        <f t="shared" ref="B207:C207" si="376">B184</f>
        <v>3x2 (TH)</v>
      </c>
      <c r="C207" s="552" t="str">
        <f t="shared" si="376"/>
        <v>60% AMI</v>
      </c>
      <c r="D207" s="551">
        <f t="shared" si="363"/>
        <v>7</v>
      </c>
      <c r="E207" s="553">
        <f t="shared" si="364"/>
        <v>1296</v>
      </c>
      <c r="F207" s="554">
        <f>F184*(1+Dashboard!$P$12)</f>
        <v>135.54439870847494</v>
      </c>
      <c r="G207" s="555">
        <f>G184*(1+Dashboard!$P$11)</f>
        <v>1236.3675994343134</v>
      </c>
      <c r="H207" s="549">
        <f t="shared" si="339"/>
        <v>1100.8232007258384</v>
      </c>
      <c r="I207" s="556">
        <f>I184*(1+Dashboard!$P$11)</f>
        <v>1295.9057932595313</v>
      </c>
      <c r="J207" s="557">
        <f t="shared" si="340"/>
        <v>1160.3613945510563</v>
      </c>
      <c r="K207" s="558">
        <f>K184*(1+Dashboard!$P$11)</f>
        <v>0</v>
      </c>
      <c r="L207" s="559">
        <f t="shared" si="341"/>
        <v>1017.2163753542559</v>
      </c>
      <c r="M207" s="559">
        <f>M184*(1+Dashboard!$P$11)</f>
        <v>881.67197664578089</v>
      </c>
      <c r="N207" s="548">
        <f t="shared" si="342"/>
        <v>74060.446038245602</v>
      </c>
      <c r="P207" s="545" t="str">
        <f t="shared" si="367"/>
        <v>3x2 (TH)</v>
      </c>
      <c r="Q207" s="550" t="str">
        <f t="shared" si="344"/>
        <v>60% AMI</v>
      </c>
      <c r="R207" s="545">
        <f t="shared" si="345"/>
        <v>7</v>
      </c>
      <c r="S207" s="546">
        <f t="shared" si="346"/>
        <v>1296</v>
      </c>
      <c r="T207" s="547">
        <f t="shared" si="347"/>
        <v>135.54439870847494</v>
      </c>
      <c r="U207" s="548">
        <f t="shared" si="357"/>
        <v>74060.446038245602</v>
      </c>
      <c r="W207" s="545" t="str">
        <f t="shared" si="348"/>
        <v>3x2 (TH)</v>
      </c>
      <c r="X207" s="550" t="str">
        <f t="shared" si="349"/>
        <v>60% AMI</v>
      </c>
      <c r="Y207" s="545">
        <f t="shared" si="350"/>
        <v>7</v>
      </c>
      <c r="Z207" s="546">
        <f t="shared" si="351"/>
        <v>1296</v>
      </c>
      <c r="AA207" s="547">
        <f t="shared" si="352"/>
        <v>135.54439870847494</v>
      </c>
      <c r="AB207" s="549">
        <f t="shared" si="365"/>
        <v>92469.148860970425</v>
      </c>
      <c r="AD207" s="545" t="str">
        <f t="shared" si="359"/>
        <v>3x2 (TH)</v>
      </c>
      <c r="AE207" s="550" t="str">
        <f t="shared" si="353"/>
        <v>60% AMI</v>
      </c>
      <c r="AF207" s="545">
        <f t="shared" si="354"/>
        <v>7</v>
      </c>
      <c r="AG207" s="546">
        <f t="shared" si="355"/>
        <v>1296</v>
      </c>
      <c r="AH207" s="547">
        <f t="shared" si="356"/>
        <v>135.54439870847494</v>
      </c>
      <c r="AI207" s="548">
        <f t="shared" si="360"/>
        <v>92469.148860970425</v>
      </c>
    </row>
    <row r="208" spans="2:35" s="120" customFormat="1" ht="15.75" customHeight="1" x14ac:dyDescent="0.2">
      <c r="B208" s="551" t="str">
        <f t="shared" ref="B208:C208" si="377">B185</f>
        <v>3x2 (TH)</v>
      </c>
      <c r="C208" s="552" t="str">
        <f t="shared" si="377"/>
        <v>Market</v>
      </c>
      <c r="D208" s="551">
        <f t="shared" si="363"/>
        <v>0</v>
      </c>
      <c r="E208" s="553">
        <f t="shared" si="364"/>
        <v>1296</v>
      </c>
      <c r="F208" s="554">
        <f>F185*(1+Dashboard!$P$12)</f>
        <v>0</v>
      </c>
      <c r="G208" s="555">
        <f>G185*(1+Dashboard!$P$11)</f>
        <v>0</v>
      </c>
      <c r="H208" s="549">
        <f t="shared" si="339"/>
        <v>0</v>
      </c>
      <c r="I208" s="556">
        <f>I185*(1+Dashboard!$P$11)</f>
        <v>1295.9057932595313</v>
      </c>
      <c r="J208" s="557">
        <f t="shared" si="340"/>
        <v>1295.9057932595313</v>
      </c>
      <c r="K208" s="558">
        <f>K185*(1+Dashboard!$P$11)</f>
        <v>0</v>
      </c>
      <c r="L208" s="559">
        <f t="shared" si="341"/>
        <v>0</v>
      </c>
      <c r="M208" s="559">
        <f>M185*(1+Dashboard!$P$11)</f>
        <v>0</v>
      </c>
      <c r="N208" s="548">
        <f t="shared" si="342"/>
        <v>0</v>
      </c>
      <c r="P208" s="545" t="str">
        <f t="shared" si="367"/>
        <v>3x2 (TH)</v>
      </c>
      <c r="Q208" s="550" t="str">
        <f t="shared" si="344"/>
        <v>Market</v>
      </c>
      <c r="R208" s="545">
        <f t="shared" si="345"/>
        <v>0</v>
      </c>
      <c r="S208" s="546">
        <f t="shared" si="346"/>
        <v>1296</v>
      </c>
      <c r="T208" s="547">
        <f t="shared" si="347"/>
        <v>0</v>
      </c>
      <c r="U208" s="548">
        <f t="shared" si="357"/>
        <v>0</v>
      </c>
      <c r="W208" s="545" t="str">
        <f t="shared" si="348"/>
        <v>3x2 (TH)</v>
      </c>
      <c r="X208" s="550" t="str">
        <f t="shared" si="349"/>
        <v>Market</v>
      </c>
      <c r="Y208" s="545">
        <f t="shared" si="350"/>
        <v>0</v>
      </c>
      <c r="Z208" s="546">
        <f t="shared" si="351"/>
        <v>1296</v>
      </c>
      <c r="AA208" s="547">
        <f t="shared" si="352"/>
        <v>0</v>
      </c>
      <c r="AB208" s="549">
        <f t="shared" si="365"/>
        <v>0</v>
      </c>
      <c r="AD208" s="545" t="str">
        <f t="shared" si="359"/>
        <v>3x2 (TH)</v>
      </c>
      <c r="AE208" s="550" t="str">
        <f t="shared" si="353"/>
        <v>Market</v>
      </c>
      <c r="AF208" s="545">
        <f t="shared" si="354"/>
        <v>0</v>
      </c>
      <c r="AG208" s="546">
        <f t="shared" si="355"/>
        <v>1296</v>
      </c>
      <c r="AH208" s="547">
        <f t="shared" si="356"/>
        <v>0</v>
      </c>
      <c r="AI208" s="548">
        <f t="shared" si="360"/>
        <v>0</v>
      </c>
    </row>
    <row r="209" spans="2:36" s="120" customFormat="1" ht="15.75" customHeight="1" x14ac:dyDescent="0.2">
      <c r="B209" s="551" t="str">
        <f t="shared" ref="B209:C209" si="378">B186</f>
        <v>3x2 (TH)</v>
      </c>
      <c r="C209" s="552" t="str">
        <f t="shared" si="378"/>
        <v>S8 Voucher</v>
      </c>
      <c r="D209" s="551">
        <f t="shared" si="363"/>
        <v>11</v>
      </c>
      <c r="E209" s="553">
        <f t="shared" si="364"/>
        <v>1296</v>
      </c>
      <c r="F209" s="554">
        <f>F186*(1+Dashboard!$P$12)</f>
        <v>135.54439870847494</v>
      </c>
      <c r="G209" s="555">
        <f>G186*(1+Dashboard!$P$11)</f>
        <v>1236.3675994343134</v>
      </c>
      <c r="H209" s="549">
        <f t="shared" si="339"/>
        <v>1100.8232007258384</v>
      </c>
      <c r="I209" s="556">
        <f>I186*(1+Dashboard!$P$11)</f>
        <v>1295.9057932595313</v>
      </c>
      <c r="J209" s="557">
        <f t="shared" si="340"/>
        <v>1160.3613945510563</v>
      </c>
      <c r="K209" s="558">
        <f>K186*(1+Dashboard!$P$11)</f>
        <v>0</v>
      </c>
      <c r="L209" s="559">
        <f t="shared" si="341"/>
        <v>1184.4300260974214</v>
      </c>
      <c r="M209" s="559">
        <f>M186*(1+Dashboard!$P$11)</f>
        <v>1048.8856273889464</v>
      </c>
      <c r="N209" s="548">
        <f t="shared" si="342"/>
        <v>138452.90281534093</v>
      </c>
      <c r="P209" s="545" t="str">
        <f t="shared" si="367"/>
        <v>3x2 (TH)</v>
      </c>
      <c r="Q209" s="550" t="str">
        <f t="shared" si="344"/>
        <v>S8 Voucher</v>
      </c>
      <c r="R209" s="545">
        <f t="shared" si="345"/>
        <v>11</v>
      </c>
      <c r="S209" s="546">
        <f t="shared" si="346"/>
        <v>1296</v>
      </c>
      <c r="T209" s="547">
        <f t="shared" si="347"/>
        <v>135.54439870847494</v>
      </c>
      <c r="U209" s="548">
        <f t="shared" si="357"/>
        <v>138452.90281534093</v>
      </c>
      <c r="W209" s="545" t="str">
        <f t="shared" si="348"/>
        <v>3x2 (TH)</v>
      </c>
      <c r="X209" s="550" t="str">
        <f t="shared" si="349"/>
        <v>S8 Voucher</v>
      </c>
      <c r="Y209" s="545">
        <f t="shared" si="350"/>
        <v>11</v>
      </c>
      <c r="Z209" s="546">
        <f t="shared" si="351"/>
        <v>1296</v>
      </c>
      <c r="AA209" s="547">
        <f t="shared" si="352"/>
        <v>135.54439870847494</v>
      </c>
      <c r="AB209" s="549">
        <f t="shared" si="365"/>
        <v>145308.66249581068</v>
      </c>
      <c r="AD209" s="545" t="str">
        <f t="shared" si="359"/>
        <v>3x2 (TH)</v>
      </c>
      <c r="AE209" s="550" t="str">
        <f t="shared" si="353"/>
        <v>S8 Voucher</v>
      </c>
      <c r="AF209" s="545">
        <f t="shared" si="354"/>
        <v>11</v>
      </c>
      <c r="AG209" s="546">
        <f t="shared" si="355"/>
        <v>1296</v>
      </c>
      <c r="AH209" s="547">
        <f t="shared" si="356"/>
        <v>135.54439870847494</v>
      </c>
      <c r="AI209" s="548">
        <f t="shared" si="360"/>
        <v>145308.66249581068</v>
      </c>
    </row>
    <row r="210" spans="2:36" s="120" customFormat="1" ht="15.75" customHeight="1" x14ac:dyDescent="0.2">
      <c r="B210" s="198" t="s">
        <v>295</v>
      </c>
      <c r="C210" s="122"/>
      <c r="D210" s="166">
        <f>SUM(D191:D209)</f>
        <v>72</v>
      </c>
      <c r="E210" s="166">
        <f t="shared" ref="E210:K210" si="379">+SUMPRODUCT(E191:E209,$D191:$D209)</f>
        <v>59002</v>
      </c>
      <c r="F210" s="165">
        <f t="shared" si="379"/>
        <v>8024.9884655905498</v>
      </c>
      <c r="G210" s="165">
        <f t="shared" si="379"/>
        <v>75618.573238352372</v>
      </c>
      <c r="H210" s="165">
        <f t="shared" si="379"/>
        <v>67593.584772761824</v>
      </c>
      <c r="I210" s="165">
        <f t="shared" si="379"/>
        <v>76444.507331417088</v>
      </c>
      <c r="J210" s="165">
        <f t="shared" si="379"/>
        <v>68419.51886582654</v>
      </c>
      <c r="K210" s="165">
        <f t="shared" si="379"/>
        <v>0</v>
      </c>
      <c r="L210" s="165">
        <f t="shared" ref="L210" si="380">+SUMPRODUCT(L191:L209,$D191:$D209)</f>
        <v>70695.904702080094</v>
      </c>
      <c r="M210" s="165">
        <f t="shared" ref="M210" si="381">+SUMPRODUCT(M191:M209,$D191:$D209)</f>
        <v>62670.916236489538</v>
      </c>
      <c r="N210" s="165">
        <f>SUM(N191:N209)</f>
        <v>752050.99483787455</v>
      </c>
      <c r="P210" s="198" t="s">
        <v>295</v>
      </c>
      <c r="Q210" s="122"/>
      <c r="R210" s="560">
        <f>SUM(R191:R209)</f>
        <v>72</v>
      </c>
      <c r="S210" s="560">
        <f>+SUMPRODUCT(S191:S209,$R191:$R209)</f>
        <v>59002</v>
      </c>
      <c r="T210" s="165">
        <f>+SUMPRODUCT(T191:T209,$R191:$R209)</f>
        <v>8024.9884655905498</v>
      </c>
      <c r="U210" s="165">
        <f>SUM(U191:U209)</f>
        <v>752050.99483787455</v>
      </c>
      <c r="W210" s="198" t="s">
        <v>295</v>
      </c>
      <c r="X210" s="122"/>
      <c r="Y210" s="560">
        <f>SUM(Y191:Y209)</f>
        <v>72</v>
      </c>
      <c r="Z210" s="560">
        <f>+SUMPRODUCT(Z191:Z209,$Y191:$Y209)</f>
        <v>59002</v>
      </c>
      <c r="AA210" s="165">
        <f>+SUMPRODUCT(AA191:AA209,$Y191:$Y209)</f>
        <v>8024.9884655905498</v>
      </c>
      <c r="AB210" s="165">
        <f>SUM(AB191:AB209)</f>
        <v>811123.01727314177</v>
      </c>
      <c r="AC210" s="122"/>
      <c r="AD210" s="198" t="s">
        <v>295</v>
      </c>
      <c r="AE210" s="122"/>
      <c r="AF210" s="560">
        <f>SUM(AF191:AF209)</f>
        <v>72</v>
      </c>
      <c r="AG210" s="560">
        <f>+SUMPRODUCT(AG191:AG209,$AF191:$AF209)</f>
        <v>59002</v>
      </c>
      <c r="AH210" s="165">
        <f>+SUMPRODUCT(AH191:AH209,$AF191:$AF209)</f>
        <v>8024.9884655905498</v>
      </c>
      <c r="AI210" s="165">
        <f>SUM(AI191:AI209)</f>
        <v>831735.90003748122</v>
      </c>
    </row>
    <row r="212" spans="2:36" ht="15.75" customHeight="1" x14ac:dyDescent="0.2">
      <c r="B212" s="170" t="s">
        <v>298</v>
      </c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67"/>
      <c r="P212" s="170" t="str">
        <f>+$B212</f>
        <v>Year 10</v>
      </c>
      <c r="Q212" s="170"/>
      <c r="R212" s="170"/>
      <c r="S212" s="170"/>
      <c r="T212" s="170"/>
      <c r="U212" s="170"/>
      <c r="V212" s="167"/>
      <c r="W212" s="170" t="str">
        <f>+$B212</f>
        <v>Year 10</v>
      </c>
      <c r="X212" s="170"/>
      <c r="Y212" s="170"/>
      <c r="Z212" s="170"/>
      <c r="AA212" s="170"/>
      <c r="AB212" s="170"/>
      <c r="AD212" s="170" t="str">
        <f>+$B212</f>
        <v>Year 10</v>
      </c>
      <c r="AE212" s="170"/>
      <c r="AF212" s="170"/>
      <c r="AG212" s="170"/>
      <c r="AH212" s="170"/>
      <c r="AI212" s="170"/>
      <c r="AJ212" s="167"/>
    </row>
    <row r="213" spans="2:36" s="164" customFormat="1" ht="38.25" x14ac:dyDescent="0.2">
      <c r="B213" s="543" t="s">
        <v>61</v>
      </c>
      <c r="C213" s="543" t="s">
        <v>215</v>
      </c>
      <c r="D213" s="543" t="s">
        <v>64</v>
      </c>
      <c r="E213" s="543" t="s">
        <v>231</v>
      </c>
      <c r="F213" s="543" t="s">
        <v>237</v>
      </c>
      <c r="G213" s="544" t="s">
        <v>232</v>
      </c>
      <c r="H213" s="543" t="s">
        <v>240</v>
      </c>
      <c r="I213" s="543" t="s">
        <v>233</v>
      </c>
      <c r="J213" s="543" t="s">
        <v>63</v>
      </c>
      <c r="K213" s="543" t="str">
        <f>+K190</f>
        <v>CoStar Rent</v>
      </c>
      <c r="L213" s="543" t="s">
        <v>62</v>
      </c>
      <c r="M213" s="543" t="s">
        <v>238</v>
      </c>
      <c r="N213" s="543" t="s">
        <v>241</v>
      </c>
      <c r="P213" s="543" t="s">
        <v>61</v>
      </c>
      <c r="Q213" s="543" t="s">
        <v>215</v>
      </c>
      <c r="R213" s="543" t="s">
        <v>64</v>
      </c>
      <c r="S213" s="543" t="s">
        <v>231</v>
      </c>
      <c r="T213" s="543" t="s">
        <v>237</v>
      </c>
      <c r="U213" s="543" t="s">
        <v>151</v>
      </c>
      <c r="W213" s="543" t="s">
        <v>61</v>
      </c>
      <c r="X213" s="543" t="s">
        <v>215</v>
      </c>
      <c r="Y213" s="543" t="s">
        <v>64</v>
      </c>
      <c r="Z213" s="543" t="s">
        <v>231</v>
      </c>
      <c r="AA213" s="543" t="s">
        <v>237</v>
      </c>
      <c r="AB213" s="543" t="s">
        <v>152</v>
      </c>
      <c r="AD213" s="543" t="s">
        <v>61</v>
      </c>
      <c r="AE213" s="543" t="s">
        <v>215</v>
      </c>
      <c r="AF213" s="543" t="s">
        <v>64</v>
      </c>
      <c r="AG213" s="543" t="s">
        <v>231</v>
      </c>
      <c r="AH213" s="543" t="s">
        <v>237</v>
      </c>
      <c r="AI213" s="543" t="s">
        <v>424</v>
      </c>
    </row>
    <row r="214" spans="2:36" s="120" customFormat="1" ht="15.75" customHeight="1" x14ac:dyDescent="0.2">
      <c r="B214" s="551" t="str">
        <f t="shared" ref="B214:C219" si="382">B191</f>
        <v>1x1</v>
      </c>
      <c r="C214" s="552" t="str">
        <f t="shared" si="382"/>
        <v>50% AMI</v>
      </c>
      <c r="D214" s="551">
        <f t="shared" ref="D214:D219" si="383">$D191</f>
        <v>2</v>
      </c>
      <c r="E214" s="553">
        <f t="shared" ref="E214:E219" si="384">E191</f>
        <v>701</v>
      </c>
      <c r="F214" s="554">
        <f>F191*(1+Dashboard!$P$12)</f>
        <v>84.810256948900886</v>
      </c>
      <c r="G214" s="555">
        <f>G191*(1+Dashboard!$P$11)</f>
        <v>849.40734267283835</v>
      </c>
      <c r="H214" s="549">
        <f t="shared" ref="H214:H232" si="385">+G214-F214</f>
        <v>764.59708572393743</v>
      </c>
      <c r="I214" s="556">
        <f>I191*(1+Dashboard!$P$11)</f>
        <v>891.16008455537406</v>
      </c>
      <c r="J214" s="557">
        <f t="shared" ref="J214:J232" si="386">I214-F214</f>
        <v>806.34982760647313</v>
      </c>
      <c r="K214" s="558">
        <f>K191*(1+Dashboard!$P$11)</f>
        <v>0</v>
      </c>
      <c r="L214" s="559">
        <f t="shared" ref="L214:L232" si="387">M214+F214</f>
        <v>772.42572482691298</v>
      </c>
      <c r="M214" s="559">
        <f>M191*(1+Dashboard!$P$11)</f>
        <v>687.61546787801205</v>
      </c>
      <c r="N214" s="548">
        <f t="shared" ref="N214:N232" si="388">((M214*D214)*12)</f>
        <v>16502.771229072288</v>
      </c>
      <c r="P214" s="545" t="str">
        <f t="shared" ref="P214:P219" si="389">B214</f>
        <v>1x1</v>
      </c>
      <c r="Q214" s="545" t="str">
        <f t="shared" ref="Q214:Q232" si="390">C214</f>
        <v>50% AMI</v>
      </c>
      <c r="R214" s="545">
        <f t="shared" ref="R214:R232" si="391">D214</f>
        <v>2</v>
      </c>
      <c r="S214" s="546">
        <f t="shared" ref="S214:S232" si="392">E214</f>
        <v>701</v>
      </c>
      <c r="T214" s="547">
        <f t="shared" ref="T214:T232" si="393">F214</f>
        <v>84.810256948900886</v>
      </c>
      <c r="U214" s="548">
        <f>((M214*R214)*12)</f>
        <v>16502.771229072288</v>
      </c>
      <c r="W214" s="545" t="str">
        <f t="shared" ref="W214:W232" si="394">B214</f>
        <v>1x1</v>
      </c>
      <c r="X214" s="545" t="str">
        <f t="shared" ref="X214:X232" si="395">C214</f>
        <v>50% AMI</v>
      </c>
      <c r="Y214" s="545">
        <f t="shared" ref="Y214:Y232" si="396">D214</f>
        <v>2</v>
      </c>
      <c r="Z214" s="546">
        <f t="shared" ref="Z214:Z232" si="397">E214</f>
        <v>701</v>
      </c>
      <c r="AA214" s="547">
        <f t="shared" ref="AA214:AA232" si="398">F214</f>
        <v>84.810256948900886</v>
      </c>
      <c r="AB214" s="549">
        <f>((H214*Y214)*12)</f>
        <v>18350.3300573745</v>
      </c>
      <c r="AD214" s="545" t="str">
        <f>B214</f>
        <v>1x1</v>
      </c>
      <c r="AE214" s="545" t="str">
        <f t="shared" ref="AE214:AE232" si="399">C214</f>
        <v>50% AMI</v>
      </c>
      <c r="AF214" s="545">
        <f t="shared" ref="AF214:AF232" si="400">D214</f>
        <v>2</v>
      </c>
      <c r="AG214" s="546">
        <f t="shared" ref="AG214:AG232" si="401">E214</f>
        <v>701</v>
      </c>
      <c r="AH214" s="547">
        <f t="shared" ref="AH214:AH232" si="402">F214</f>
        <v>84.810256948900886</v>
      </c>
      <c r="AI214" s="548">
        <f>+MAX(U214,AB214)</f>
        <v>18350.3300573745</v>
      </c>
    </row>
    <row r="215" spans="2:36" s="120" customFormat="1" ht="15.75" customHeight="1" x14ac:dyDescent="0.2">
      <c r="B215" s="551" t="str">
        <f t="shared" si="382"/>
        <v>1x1</v>
      </c>
      <c r="C215" s="552" t="str">
        <f t="shared" si="382"/>
        <v>60% AMI</v>
      </c>
      <c r="D215" s="551">
        <f t="shared" si="383"/>
        <v>0</v>
      </c>
      <c r="E215" s="553">
        <f t="shared" si="384"/>
        <v>701</v>
      </c>
      <c r="F215" s="554">
        <f>F192*(1+Dashboard!$P$12)</f>
        <v>84.810256948900886</v>
      </c>
      <c r="G215" s="555">
        <f>G192*(1+Dashboard!$P$11)</f>
        <v>1019.0278565706403</v>
      </c>
      <c r="H215" s="549">
        <f t="shared" si="385"/>
        <v>934.2175996217394</v>
      </c>
      <c r="I215" s="556">
        <f>I192*(1+Dashboard!$P$11)</f>
        <v>891.16008455537406</v>
      </c>
      <c r="J215" s="557">
        <f t="shared" si="386"/>
        <v>806.34982760647313</v>
      </c>
      <c r="K215" s="558">
        <f>K192*(1+Dashboard!$P$11)</f>
        <v>0</v>
      </c>
      <c r="L215" s="559">
        <f t="shared" si="387"/>
        <v>84.810256948900886</v>
      </c>
      <c r="M215" s="559">
        <f>M192*(1+Dashboard!$P$11)</f>
        <v>0</v>
      </c>
      <c r="N215" s="548">
        <f t="shared" si="388"/>
        <v>0</v>
      </c>
      <c r="P215" s="545" t="str">
        <f t="shared" si="389"/>
        <v>1x1</v>
      </c>
      <c r="Q215" s="550" t="str">
        <f t="shared" si="390"/>
        <v>60% AMI</v>
      </c>
      <c r="R215" s="545">
        <f t="shared" si="391"/>
        <v>0</v>
      </c>
      <c r="S215" s="546">
        <f t="shared" si="392"/>
        <v>701</v>
      </c>
      <c r="T215" s="547">
        <f t="shared" si="393"/>
        <v>84.810256948900886</v>
      </c>
      <c r="U215" s="548">
        <f t="shared" ref="U215:U232" si="403">((M215*R215)*12)</f>
        <v>0</v>
      </c>
      <c r="W215" s="545" t="str">
        <f t="shared" si="394"/>
        <v>1x1</v>
      </c>
      <c r="X215" s="550" t="str">
        <f t="shared" si="395"/>
        <v>60% AMI</v>
      </c>
      <c r="Y215" s="545">
        <f t="shared" si="396"/>
        <v>0</v>
      </c>
      <c r="Z215" s="546">
        <f t="shared" si="397"/>
        <v>701</v>
      </c>
      <c r="AA215" s="547">
        <f t="shared" si="398"/>
        <v>84.810256948900886</v>
      </c>
      <c r="AB215" s="549">
        <f t="shared" ref="AB215" si="404">((H215*Y215)*12)</f>
        <v>0</v>
      </c>
      <c r="AD215" s="545" t="str">
        <f t="shared" ref="AD215:AD232" si="405">B215</f>
        <v>1x1</v>
      </c>
      <c r="AE215" s="550" t="str">
        <f t="shared" si="399"/>
        <v>60% AMI</v>
      </c>
      <c r="AF215" s="545">
        <f t="shared" si="400"/>
        <v>0</v>
      </c>
      <c r="AG215" s="546">
        <f t="shared" si="401"/>
        <v>701</v>
      </c>
      <c r="AH215" s="547">
        <f t="shared" si="402"/>
        <v>84.810256948900886</v>
      </c>
      <c r="AI215" s="548">
        <f t="shared" ref="AI215:AI232" si="406">+MAX(U215,AB215)</f>
        <v>0</v>
      </c>
    </row>
    <row r="216" spans="2:36" s="120" customFormat="1" ht="15.75" customHeight="1" x14ac:dyDescent="0.2">
      <c r="B216" s="551" t="str">
        <f t="shared" si="382"/>
        <v>1x1</v>
      </c>
      <c r="C216" s="552" t="str">
        <f t="shared" si="382"/>
        <v>Market</v>
      </c>
      <c r="D216" s="551">
        <f t="shared" si="383"/>
        <v>1</v>
      </c>
      <c r="E216" s="553">
        <f t="shared" si="384"/>
        <v>701</v>
      </c>
      <c r="F216" s="554">
        <f>F193*(1+Dashboard!$P$12)</f>
        <v>0</v>
      </c>
      <c r="G216" s="555">
        <f>G193*(1+Dashboard!$P$11)</f>
        <v>0</v>
      </c>
      <c r="H216" s="549">
        <f t="shared" si="385"/>
        <v>0</v>
      </c>
      <c r="I216" s="556">
        <f>I193*(1+Dashboard!$P$11)</f>
        <v>891.16008455537406</v>
      </c>
      <c r="J216" s="557">
        <f t="shared" si="386"/>
        <v>891.16008455537406</v>
      </c>
      <c r="K216" s="558">
        <f>K193*(1+Dashboard!$P$11)</f>
        <v>0</v>
      </c>
      <c r="L216" s="559">
        <f t="shared" si="387"/>
        <v>773.73049801074228</v>
      </c>
      <c r="M216" s="559">
        <f>M193*(1+Dashboard!$P$11)</f>
        <v>773.73049801074228</v>
      </c>
      <c r="N216" s="548">
        <f t="shared" si="388"/>
        <v>9284.7659761289069</v>
      </c>
      <c r="P216" s="545" t="str">
        <f t="shared" si="389"/>
        <v>1x1</v>
      </c>
      <c r="Q216" s="550" t="str">
        <f t="shared" si="390"/>
        <v>Market</v>
      </c>
      <c r="R216" s="545">
        <f t="shared" si="391"/>
        <v>1</v>
      </c>
      <c r="S216" s="546">
        <f t="shared" si="392"/>
        <v>701</v>
      </c>
      <c r="T216" s="547">
        <f t="shared" si="393"/>
        <v>0</v>
      </c>
      <c r="U216" s="548">
        <f t="shared" si="403"/>
        <v>9284.7659761289069</v>
      </c>
      <c r="W216" s="545" t="str">
        <f t="shared" si="394"/>
        <v>1x1</v>
      </c>
      <c r="X216" s="550" t="str">
        <f t="shared" si="395"/>
        <v>Market</v>
      </c>
      <c r="Y216" s="545">
        <f t="shared" si="396"/>
        <v>1</v>
      </c>
      <c r="Z216" s="546">
        <f t="shared" si="397"/>
        <v>701</v>
      </c>
      <c r="AA216" s="547">
        <f t="shared" si="398"/>
        <v>0</v>
      </c>
      <c r="AB216" s="549">
        <f>((H216*Y216)*12)</f>
        <v>0</v>
      </c>
      <c r="AD216" s="545" t="str">
        <f t="shared" si="405"/>
        <v>1x1</v>
      </c>
      <c r="AE216" s="550" t="str">
        <f t="shared" si="399"/>
        <v>Market</v>
      </c>
      <c r="AF216" s="545">
        <f t="shared" si="400"/>
        <v>1</v>
      </c>
      <c r="AG216" s="546">
        <f t="shared" si="401"/>
        <v>701</v>
      </c>
      <c r="AH216" s="547">
        <f t="shared" si="402"/>
        <v>0</v>
      </c>
      <c r="AI216" s="548">
        <f t="shared" si="406"/>
        <v>9284.7659761289069</v>
      </c>
    </row>
    <row r="217" spans="2:36" s="120" customFormat="1" ht="15.75" customHeight="1" x14ac:dyDescent="0.2">
      <c r="B217" s="551" t="str">
        <f t="shared" si="382"/>
        <v>1x1</v>
      </c>
      <c r="C217" s="552" t="str">
        <f t="shared" si="382"/>
        <v>S8 Voucher</v>
      </c>
      <c r="D217" s="551">
        <f t="shared" si="383"/>
        <v>3</v>
      </c>
      <c r="E217" s="553">
        <f t="shared" si="384"/>
        <v>701</v>
      </c>
      <c r="F217" s="554">
        <f>F194*(1+Dashboard!$P$12)</f>
        <v>84.810256948900886</v>
      </c>
      <c r="G217" s="555">
        <f>G194*(1+Dashboard!$P$11)</f>
        <v>1019.0278565706403</v>
      </c>
      <c r="H217" s="549">
        <f t="shared" si="385"/>
        <v>934.2175996217394</v>
      </c>
      <c r="I217" s="556">
        <f>I194*(1+Dashboard!$P$11)</f>
        <v>891.16008455537406</v>
      </c>
      <c r="J217" s="557">
        <f t="shared" si="386"/>
        <v>806.34982760647313</v>
      </c>
      <c r="K217" s="558">
        <f>K194*(1+Dashboard!$P$11)</f>
        <v>0</v>
      </c>
      <c r="L217" s="559">
        <f t="shared" si="387"/>
        <v>767.20663209159602</v>
      </c>
      <c r="M217" s="559">
        <f>M194*(1+Dashboard!$P$11)</f>
        <v>682.39637514269509</v>
      </c>
      <c r="N217" s="548">
        <f t="shared" si="388"/>
        <v>24566.269505137025</v>
      </c>
      <c r="P217" s="545" t="str">
        <f t="shared" si="389"/>
        <v>1x1</v>
      </c>
      <c r="Q217" s="550" t="str">
        <f t="shared" si="390"/>
        <v>S8 Voucher</v>
      </c>
      <c r="R217" s="545">
        <f t="shared" si="391"/>
        <v>3</v>
      </c>
      <c r="S217" s="546">
        <f t="shared" si="392"/>
        <v>701</v>
      </c>
      <c r="T217" s="547">
        <f t="shared" si="393"/>
        <v>84.810256948900886</v>
      </c>
      <c r="U217" s="548">
        <f t="shared" si="403"/>
        <v>24566.269505137025</v>
      </c>
      <c r="W217" s="545" t="str">
        <f t="shared" si="394"/>
        <v>1x1</v>
      </c>
      <c r="X217" s="550" t="str">
        <f t="shared" si="395"/>
        <v>S8 Voucher</v>
      </c>
      <c r="Y217" s="545">
        <f t="shared" si="396"/>
        <v>3</v>
      </c>
      <c r="Z217" s="546">
        <f t="shared" si="397"/>
        <v>701</v>
      </c>
      <c r="AA217" s="547">
        <f t="shared" si="398"/>
        <v>84.810256948900886</v>
      </c>
      <c r="AB217" s="549">
        <f t="shared" ref="AB217:AB218" si="407">((H217*Y217)*12)</f>
        <v>33631.833586382621</v>
      </c>
      <c r="AD217" s="545" t="str">
        <f t="shared" si="405"/>
        <v>1x1</v>
      </c>
      <c r="AE217" s="550" t="str">
        <f t="shared" si="399"/>
        <v>S8 Voucher</v>
      </c>
      <c r="AF217" s="545">
        <f t="shared" si="400"/>
        <v>3</v>
      </c>
      <c r="AG217" s="546">
        <f t="shared" si="401"/>
        <v>701</v>
      </c>
      <c r="AH217" s="547">
        <f t="shared" si="402"/>
        <v>84.810256948900886</v>
      </c>
      <c r="AI217" s="548">
        <f t="shared" si="406"/>
        <v>33631.833586382621</v>
      </c>
    </row>
    <row r="218" spans="2:36" s="120" customFormat="1" ht="15.75" customHeight="1" x14ac:dyDescent="0.2">
      <c r="B218" s="551" t="str">
        <f t="shared" si="382"/>
        <v>2x1.5</v>
      </c>
      <c r="C218" s="552" t="str">
        <f t="shared" si="382"/>
        <v>40% AMI</v>
      </c>
      <c r="D218" s="551">
        <f t="shared" si="383"/>
        <v>1</v>
      </c>
      <c r="E218" s="553">
        <f t="shared" si="384"/>
        <v>940</v>
      </c>
      <c r="F218" s="554">
        <f>F195*(1+Dashboard!$P$12)</f>
        <v>112.21049380931505</v>
      </c>
      <c r="G218" s="555">
        <f>G195*(1+Dashboard!$P$11)</f>
        <v>703.27274608396306</v>
      </c>
      <c r="H218" s="549">
        <f t="shared" si="385"/>
        <v>591.06225227464802</v>
      </c>
      <c r="I218" s="556">
        <f>I195*(1+Dashboard!$P$11)</f>
        <v>1015.1135370191524</v>
      </c>
      <c r="J218" s="557">
        <f t="shared" si="386"/>
        <v>902.90304320983739</v>
      </c>
      <c r="K218" s="558">
        <f>K195*(1+Dashboard!$P$11)</f>
        <v>0</v>
      </c>
      <c r="L218" s="559">
        <f t="shared" si="387"/>
        <v>718.93002428991383</v>
      </c>
      <c r="M218" s="559">
        <f>M195*(1+Dashboard!$P$11)</f>
        <v>606.71953048059879</v>
      </c>
      <c r="N218" s="548">
        <f t="shared" si="388"/>
        <v>7280.634365767186</v>
      </c>
      <c r="P218" s="545" t="str">
        <f t="shared" si="389"/>
        <v>2x1.5</v>
      </c>
      <c r="Q218" s="550" t="str">
        <f t="shared" si="390"/>
        <v>40% AMI</v>
      </c>
      <c r="R218" s="545">
        <f t="shared" si="391"/>
        <v>1</v>
      </c>
      <c r="S218" s="546">
        <f t="shared" si="392"/>
        <v>940</v>
      </c>
      <c r="T218" s="547">
        <f t="shared" si="393"/>
        <v>112.21049380931505</v>
      </c>
      <c r="U218" s="548">
        <f t="shared" si="403"/>
        <v>7280.634365767186</v>
      </c>
      <c r="W218" s="545" t="str">
        <f t="shared" si="394"/>
        <v>2x1.5</v>
      </c>
      <c r="X218" s="550" t="str">
        <f t="shared" si="395"/>
        <v>40% AMI</v>
      </c>
      <c r="Y218" s="545">
        <f t="shared" si="396"/>
        <v>1</v>
      </c>
      <c r="Z218" s="546">
        <f t="shared" si="397"/>
        <v>940</v>
      </c>
      <c r="AA218" s="547">
        <f t="shared" si="398"/>
        <v>112.21049380931505</v>
      </c>
      <c r="AB218" s="549">
        <f t="shared" si="407"/>
        <v>7092.7470272957762</v>
      </c>
      <c r="AD218" s="545" t="str">
        <f t="shared" si="405"/>
        <v>2x1.5</v>
      </c>
      <c r="AE218" s="550" t="str">
        <f t="shared" si="399"/>
        <v>40% AMI</v>
      </c>
      <c r="AF218" s="545">
        <f t="shared" si="400"/>
        <v>1</v>
      </c>
      <c r="AG218" s="546">
        <f t="shared" si="401"/>
        <v>940</v>
      </c>
      <c r="AH218" s="547">
        <f t="shared" si="402"/>
        <v>112.21049380931505</v>
      </c>
      <c r="AI218" s="548">
        <f t="shared" si="406"/>
        <v>7280.634365767186</v>
      </c>
    </row>
    <row r="219" spans="2:36" s="120" customFormat="1" ht="15.75" customHeight="1" x14ac:dyDescent="0.2">
      <c r="B219" s="551" t="str">
        <f t="shared" si="382"/>
        <v>2x1.5</v>
      </c>
      <c r="C219" s="552" t="str">
        <f t="shared" si="382"/>
        <v>50% AMI</v>
      </c>
      <c r="D219" s="551">
        <f t="shared" si="383"/>
        <v>3</v>
      </c>
      <c r="E219" s="553">
        <f t="shared" si="384"/>
        <v>990</v>
      </c>
      <c r="F219" s="554">
        <f>F196*(1+Dashboard!$P$12)</f>
        <v>112.21049380931505</v>
      </c>
      <c r="G219" s="555">
        <f>G196*(1+Dashboard!$P$11)</f>
        <v>906.81736276132517</v>
      </c>
      <c r="H219" s="549">
        <f t="shared" si="385"/>
        <v>794.60686895201013</v>
      </c>
      <c r="I219" s="556">
        <f>I196*(1+Dashboard!$P$11)</f>
        <v>1015.1135370191524</v>
      </c>
      <c r="J219" s="557">
        <f t="shared" si="386"/>
        <v>902.90304320983739</v>
      </c>
      <c r="K219" s="558">
        <f>K196*(1+Dashboard!$P$11)</f>
        <v>0</v>
      </c>
      <c r="L219" s="559">
        <f t="shared" si="387"/>
        <v>868.97894043027702</v>
      </c>
      <c r="M219" s="559">
        <f>M196*(1+Dashboard!$P$11)</f>
        <v>756.76844662096198</v>
      </c>
      <c r="N219" s="548">
        <f t="shared" si="388"/>
        <v>27243.664078354632</v>
      </c>
      <c r="P219" s="545" t="str">
        <f t="shared" si="389"/>
        <v>2x1.5</v>
      </c>
      <c r="Q219" s="550" t="str">
        <f t="shared" si="390"/>
        <v>50% AMI</v>
      </c>
      <c r="R219" s="545">
        <f t="shared" si="391"/>
        <v>3</v>
      </c>
      <c r="S219" s="546">
        <f t="shared" si="392"/>
        <v>990</v>
      </c>
      <c r="T219" s="547">
        <f t="shared" si="393"/>
        <v>112.21049380931505</v>
      </c>
      <c r="U219" s="548">
        <f t="shared" si="403"/>
        <v>27243.664078354632</v>
      </c>
      <c r="W219" s="545" t="str">
        <f t="shared" si="394"/>
        <v>2x1.5</v>
      </c>
      <c r="X219" s="550" t="str">
        <f t="shared" si="395"/>
        <v>50% AMI</v>
      </c>
      <c r="Y219" s="545">
        <f t="shared" si="396"/>
        <v>3</v>
      </c>
      <c r="Z219" s="546">
        <f t="shared" si="397"/>
        <v>990</v>
      </c>
      <c r="AA219" s="547">
        <f t="shared" si="398"/>
        <v>112.21049380931505</v>
      </c>
      <c r="AB219" s="549">
        <f>((H219*Y219)*12)</f>
        <v>28605.847282272363</v>
      </c>
      <c r="AD219" s="545" t="str">
        <f t="shared" si="405"/>
        <v>2x1.5</v>
      </c>
      <c r="AE219" s="550" t="str">
        <f t="shared" si="399"/>
        <v>50% AMI</v>
      </c>
      <c r="AF219" s="545">
        <f t="shared" si="400"/>
        <v>3</v>
      </c>
      <c r="AG219" s="546">
        <f t="shared" si="401"/>
        <v>990</v>
      </c>
      <c r="AH219" s="547">
        <f t="shared" si="402"/>
        <v>112.21049380931505</v>
      </c>
      <c r="AI219" s="548">
        <f t="shared" si="406"/>
        <v>28605.847282272363</v>
      </c>
    </row>
    <row r="220" spans="2:36" s="120" customFormat="1" ht="15.75" customHeight="1" x14ac:dyDescent="0.2">
      <c r="B220" s="551" t="str">
        <f t="shared" ref="B220:C220" si="408">B197</f>
        <v>2x1.5</v>
      </c>
      <c r="C220" s="552" t="str">
        <f t="shared" si="408"/>
        <v>60% AMI</v>
      </c>
      <c r="D220" s="551">
        <f t="shared" ref="D220:D232" si="409">$D197</f>
        <v>2</v>
      </c>
      <c r="E220" s="553">
        <f t="shared" ref="E220:E232" si="410">E197</f>
        <v>980</v>
      </c>
      <c r="F220" s="554">
        <f>F197*(1+Dashboard!$P$12)</f>
        <v>112.21049380931505</v>
      </c>
      <c r="G220" s="555">
        <f>G197*(1+Dashboard!$P$11)</f>
        <v>1110.3619794386875</v>
      </c>
      <c r="H220" s="549">
        <f t="shared" si="385"/>
        <v>998.15148562937247</v>
      </c>
      <c r="I220" s="556">
        <f>I197*(1+Dashboard!$P$11)</f>
        <v>1015.1135370191524</v>
      </c>
      <c r="J220" s="557">
        <f t="shared" si="386"/>
        <v>902.90304320983739</v>
      </c>
      <c r="K220" s="558">
        <f>K197*(1+Dashboard!$P$11)</f>
        <v>0</v>
      </c>
      <c r="L220" s="559">
        <f t="shared" si="387"/>
        <v>949.8748778276904</v>
      </c>
      <c r="M220" s="559">
        <f>M197*(1+Dashboard!$P$11)</f>
        <v>837.66438401837536</v>
      </c>
      <c r="N220" s="548">
        <f t="shared" si="388"/>
        <v>20103.94521644101</v>
      </c>
      <c r="P220" s="545" t="str">
        <f>B220</f>
        <v>2x1.5</v>
      </c>
      <c r="Q220" s="550" t="str">
        <f t="shared" si="390"/>
        <v>60% AMI</v>
      </c>
      <c r="R220" s="545">
        <f t="shared" si="391"/>
        <v>2</v>
      </c>
      <c r="S220" s="546">
        <f t="shared" si="392"/>
        <v>980</v>
      </c>
      <c r="T220" s="547">
        <f t="shared" si="393"/>
        <v>112.21049380931505</v>
      </c>
      <c r="U220" s="548">
        <f t="shared" si="403"/>
        <v>20103.94521644101</v>
      </c>
      <c r="W220" s="545" t="str">
        <f t="shared" si="394"/>
        <v>2x1.5</v>
      </c>
      <c r="X220" s="550" t="str">
        <f t="shared" si="395"/>
        <v>60% AMI</v>
      </c>
      <c r="Y220" s="545">
        <f t="shared" si="396"/>
        <v>2</v>
      </c>
      <c r="Z220" s="546">
        <f t="shared" si="397"/>
        <v>980</v>
      </c>
      <c r="AA220" s="547">
        <f t="shared" si="398"/>
        <v>112.21049380931505</v>
      </c>
      <c r="AB220" s="549">
        <f t="shared" ref="AB220:AB232" si="411">((H220*Y220)*12)</f>
        <v>23955.635655104939</v>
      </c>
      <c r="AD220" s="545" t="str">
        <f t="shared" si="405"/>
        <v>2x1.5</v>
      </c>
      <c r="AE220" s="550" t="str">
        <f t="shared" si="399"/>
        <v>60% AMI</v>
      </c>
      <c r="AF220" s="545">
        <f t="shared" si="400"/>
        <v>2</v>
      </c>
      <c r="AG220" s="546">
        <f t="shared" si="401"/>
        <v>980</v>
      </c>
      <c r="AH220" s="547">
        <f t="shared" si="402"/>
        <v>112.21049380931505</v>
      </c>
      <c r="AI220" s="548">
        <f t="shared" si="406"/>
        <v>23955.635655104939</v>
      </c>
    </row>
    <row r="221" spans="2:36" s="120" customFormat="1" ht="15.75" customHeight="1" x14ac:dyDescent="0.2">
      <c r="B221" s="551" t="str">
        <f t="shared" ref="B221:C221" si="412">B198</f>
        <v>2x2</v>
      </c>
      <c r="C221" s="552" t="str">
        <f t="shared" si="412"/>
        <v>50% AMI</v>
      </c>
      <c r="D221" s="551">
        <f t="shared" si="409"/>
        <v>1</v>
      </c>
      <c r="E221" s="553">
        <f t="shared" si="410"/>
        <v>968</v>
      </c>
      <c r="F221" s="554">
        <f>F198*(1+Dashboard!$P$12)</f>
        <v>112.21049380931505</v>
      </c>
      <c r="G221" s="555">
        <f>G198*(1+Dashboard!$P$11)</f>
        <v>906.81736276132517</v>
      </c>
      <c r="H221" s="549">
        <f t="shared" si="385"/>
        <v>794.60686895201013</v>
      </c>
      <c r="I221" s="556">
        <f>I198*(1+Dashboard!$P$11)</f>
        <v>1015.1135370191524</v>
      </c>
      <c r="J221" s="557">
        <f t="shared" si="386"/>
        <v>902.90304320983739</v>
      </c>
      <c r="K221" s="558">
        <f>K198*(1+Dashboard!$P$11)</f>
        <v>0</v>
      </c>
      <c r="L221" s="559">
        <f t="shared" si="387"/>
        <v>908.12213594515447</v>
      </c>
      <c r="M221" s="559">
        <f>M198*(1+Dashboard!$P$11)</f>
        <v>795.91164213583943</v>
      </c>
      <c r="N221" s="548">
        <f t="shared" si="388"/>
        <v>9550.9397056300731</v>
      </c>
      <c r="P221" s="545" t="str">
        <f t="shared" ref="P221:P232" si="413">B221</f>
        <v>2x2</v>
      </c>
      <c r="Q221" s="550" t="str">
        <f t="shared" si="390"/>
        <v>50% AMI</v>
      </c>
      <c r="R221" s="545">
        <f t="shared" si="391"/>
        <v>1</v>
      </c>
      <c r="S221" s="546">
        <f t="shared" si="392"/>
        <v>968</v>
      </c>
      <c r="T221" s="547">
        <f t="shared" si="393"/>
        <v>112.21049380931505</v>
      </c>
      <c r="U221" s="548">
        <f t="shared" si="403"/>
        <v>9550.9397056300731</v>
      </c>
      <c r="W221" s="545" t="str">
        <f t="shared" si="394"/>
        <v>2x2</v>
      </c>
      <c r="X221" s="550" t="str">
        <f t="shared" si="395"/>
        <v>50% AMI</v>
      </c>
      <c r="Y221" s="545">
        <f t="shared" si="396"/>
        <v>1</v>
      </c>
      <c r="Z221" s="546">
        <f t="shared" si="397"/>
        <v>968</v>
      </c>
      <c r="AA221" s="547">
        <f t="shared" si="398"/>
        <v>112.21049380931505</v>
      </c>
      <c r="AB221" s="549">
        <f t="shared" si="411"/>
        <v>9535.2824274241211</v>
      </c>
      <c r="AD221" s="545" t="str">
        <f t="shared" si="405"/>
        <v>2x2</v>
      </c>
      <c r="AE221" s="550" t="str">
        <f t="shared" si="399"/>
        <v>50% AMI</v>
      </c>
      <c r="AF221" s="545">
        <f t="shared" si="400"/>
        <v>1</v>
      </c>
      <c r="AG221" s="546">
        <f t="shared" si="401"/>
        <v>968</v>
      </c>
      <c r="AH221" s="547">
        <f t="shared" si="402"/>
        <v>112.21049380931505</v>
      </c>
      <c r="AI221" s="548">
        <f t="shared" si="406"/>
        <v>9550.9397056300731</v>
      </c>
    </row>
    <row r="222" spans="2:36" s="120" customFormat="1" ht="15.75" customHeight="1" x14ac:dyDescent="0.2">
      <c r="B222" s="551" t="str">
        <f t="shared" ref="B222:C222" si="414">B199</f>
        <v>2x2</v>
      </c>
      <c r="C222" s="552" t="str">
        <f t="shared" si="414"/>
        <v>60% AMI</v>
      </c>
      <c r="D222" s="551">
        <f t="shared" si="409"/>
        <v>2</v>
      </c>
      <c r="E222" s="553">
        <f t="shared" si="410"/>
        <v>968</v>
      </c>
      <c r="F222" s="554">
        <f>F199*(1+Dashboard!$P$12)</f>
        <v>112.21049380931505</v>
      </c>
      <c r="G222" s="555">
        <f>G199*(1+Dashboard!$P$11)</f>
        <v>1110.3619794386875</v>
      </c>
      <c r="H222" s="549">
        <f t="shared" si="385"/>
        <v>998.15148562937247</v>
      </c>
      <c r="I222" s="556">
        <f>I199*(1+Dashboard!$P$11)</f>
        <v>1015.1135370191524</v>
      </c>
      <c r="J222" s="557">
        <f t="shared" si="386"/>
        <v>902.90304320983739</v>
      </c>
      <c r="K222" s="558">
        <f>K199*(1+Dashboard!$P$11)</f>
        <v>0</v>
      </c>
      <c r="L222" s="559">
        <f t="shared" si="387"/>
        <v>940.74146554088554</v>
      </c>
      <c r="M222" s="559">
        <f>M199*(1+Dashboard!$P$11)</f>
        <v>828.5309717315705</v>
      </c>
      <c r="N222" s="548">
        <f t="shared" si="388"/>
        <v>19884.743321557693</v>
      </c>
      <c r="P222" s="545" t="str">
        <f t="shared" si="413"/>
        <v>2x2</v>
      </c>
      <c r="Q222" s="550" t="str">
        <f t="shared" si="390"/>
        <v>60% AMI</v>
      </c>
      <c r="R222" s="545">
        <f t="shared" si="391"/>
        <v>2</v>
      </c>
      <c r="S222" s="546">
        <f t="shared" si="392"/>
        <v>968</v>
      </c>
      <c r="T222" s="547">
        <f t="shared" si="393"/>
        <v>112.21049380931505</v>
      </c>
      <c r="U222" s="548">
        <f t="shared" si="403"/>
        <v>19884.743321557693</v>
      </c>
      <c r="W222" s="545" t="str">
        <f t="shared" si="394"/>
        <v>2x2</v>
      </c>
      <c r="X222" s="550" t="str">
        <f t="shared" si="395"/>
        <v>60% AMI</v>
      </c>
      <c r="Y222" s="545">
        <f t="shared" si="396"/>
        <v>2</v>
      </c>
      <c r="Z222" s="546">
        <f t="shared" si="397"/>
        <v>968</v>
      </c>
      <c r="AA222" s="547">
        <f t="shared" si="398"/>
        <v>112.21049380931505</v>
      </c>
      <c r="AB222" s="549">
        <f t="shared" si="411"/>
        <v>23955.635655104939</v>
      </c>
      <c r="AD222" s="545" t="str">
        <f t="shared" si="405"/>
        <v>2x2</v>
      </c>
      <c r="AE222" s="550" t="str">
        <f t="shared" si="399"/>
        <v>60% AMI</v>
      </c>
      <c r="AF222" s="545">
        <f t="shared" si="400"/>
        <v>2</v>
      </c>
      <c r="AG222" s="546">
        <f t="shared" si="401"/>
        <v>968</v>
      </c>
      <c r="AH222" s="547">
        <f t="shared" si="402"/>
        <v>112.21049380931505</v>
      </c>
      <c r="AI222" s="548">
        <f t="shared" si="406"/>
        <v>23955.635655104939</v>
      </c>
    </row>
    <row r="223" spans="2:36" s="120" customFormat="1" ht="15.75" customHeight="1" x14ac:dyDescent="0.2">
      <c r="B223" s="551" t="str">
        <f t="shared" ref="B223:C223" si="415">B200</f>
        <v>2x2</v>
      </c>
      <c r="C223" s="552" t="str">
        <f t="shared" si="415"/>
        <v>Market</v>
      </c>
      <c r="D223" s="551">
        <f t="shared" si="409"/>
        <v>0</v>
      </c>
      <c r="E223" s="553">
        <f t="shared" si="410"/>
        <v>968</v>
      </c>
      <c r="F223" s="554">
        <f>F200*(1+Dashboard!$P$12)</f>
        <v>0</v>
      </c>
      <c r="G223" s="555">
        <f>G200*(1+Dashboard!$P$11)</f>
        <v>0</v>
      </c>
      <c r="H223" s="549">
        <f t="shared" si="385"/>
        <v>0</v>
      </c>
      <c r="I223" s="556">
        <f>I200*(1+Dashboard!$P$11)</f>
        <v>1015.1135370191524</v>
      </c>
      <c r="J223" s="557">
        <f t="shared" si="386"/>
        <v>1015.1135370191524</v>
      </c>
      <c r="K223" s="558">
        <f>K200*(1+Dashboard!$P$11)</f>
        <v>0</v>
      </c>
      <c r="L223" s="559">
        <f t="shared" si="387"/>
        <v>0</v>
      </c>
      <c r="M223" s="559">
        <f>M200*(1+Dashboard!$P$11)</f>
        <v>0</v>
      </c>
      <c r="N223" s="548">
        <f t="shared" si="388"/>
        <v>0</v>
      </c>
      <c r="P223" s="545" t="str">
        <f t="shared" si="413"/>
        <v>2x2</v>
      </c>
      <c r="Q223" s="550" t="str">
        <f t="shared" si="390"/>
        <v>Market</v>
      </c>
      <c r="R223" s="545">
        <f t="shared" si="391"/>
        <v>0</v>
      </c>
      <c r="S223" s="546">
        <f t="shared" si="392"/>
        <v>968</v>
      </c>
      <c r="T223" s="547">
        <f t="shared" si="393"/>
        <v>0</v>
      </c>
      <c r="U223" s="548">
        <f t="shared" si="403"/>
        <v>0</v>
      </c>
      <c r="W223" s="545" t="str">
        <f t="shared" si="394"/>
        <v>2x2</v>
      </c>
      <c r="X223" s="550" t="str">
        <f t="shared" si="395"/>
        <v>Market</v>
      </c>
      <c r="Y223" s="545">
        <f t="shared" si="396"/>
        <v>0</v>
      </c>
      <c r="Z223" s="546">
        <f t="shared" si="397"/>
        <v>968</v>
      </c>
      <c r="AA223" s="547">
        <f t="shared" si="398"/>
        <v>0</v>
      </c>
      <c r="AB223" s="549">
        <f t="shared" si="411"/>
        <v>0</v>
      </c>
      <c r="AD223" s="545" t="str">
        <f t="shared" si="405"/>
        <v>2x2</v>
      </c>
      <c r="AE223" s="550" t="str">
        <f t="shared" si="399"/>
        <v>Market</v>
      </c>
      <c r="AF223" s="545">
        <f t="shared" si="400"/>
        <v>0</v>
      </c>
      <c r="AG223" s="546">
        <f t="shared" si="401"/>
        <v>968</v>
      </c>
      <c r="AH223" s="547">
        <f t="shared" si="402"/>
        <v>0</v>
      </c>
      <c r="AI223" s="548">
        <f t="shared" si="406"/>
        <v>0</v>
      </c>
    </row>
    <row r="224" spans="2:36" s="120" customFormat="1" ht="15.75" customHeight="1" x14ac:dyDescent="0.2">
      <c r="B224" s="551" t="str">
        <f t="shared" ref="B224:C224" si="416">B201</f>
        <v>2x2 (TH)</v>
      </c>
      <c r="C224" s="552" t="str">
        <f t="shared" si="416"/>
        <v>40% AMI</v>
      </c>
      <c r="D224" s="551">
        <f t="shared" si="409"/>
        <v>1</v>
      </c>
      <c r="E224" s="553">
        <f t="shared" si="410"/>
        <v>1058</v>
      </c>
      <c r="F224" s="554">
        <f>F201*(1+Dashboard!$P$12)</f>
        <v>112.21049380931505</v>
      </c>
      <c r="G224" s="555">
        <f>G201*(1+Dashboard!$P$11)</f>
        <v>703.27274608396306</v>
      </c>
      <c r="H224" s="549">
        <f t="shared" si="385"/>
        <v>591.06225227464802</v>
      </c>
      <c r="I224" s="556">
        <f>I201*(1+Dashboard!$P$11)</f>
        <v>1015.1135370191524</v>
      </c>
      <c r="J224" s="557">
        <f t="shared" si="386"/>
        <v>902.90304320983739</v>
      </c>
      <c r="K224" s="558">
        <f>K201*(1+Dashboard!$P$11)</f>
        <v>0</v>
      </c>
      <c r="L224" s="559">
        <f t="shared" si="387"/>
        <v>699.35842653247539</v>
      </c>
      <c r="M224" s="559">
        <f>M201*(1+Dashboard!$P$11)</f>
        <v>587.14793272316035</v>
      </c>
      <c r="N224" s="548">
        <f t="shared" si="388"/>
        <v>7045.7751926779238</v>
      </c>
      <c r="P224" s="545" t="str">
        <f t="shared" si="413"/>
        <v>2x2 (TH)</v>
      </c>
      <c r="Q224" s="550" t="str">
        <f t="shared" si="390"/>
        <v>40% AMI</v>
      </c>
      <c r="R224" s="545">
        <f t="shared" si="391"/>
        <v>1</v>
      </c>
      <c r="S224" s="546">
        <f t="shared" si="392"/>
        <v>1058</v>
      </c>
      <c r="T224" s="547">
        <f t="shared" si="393"/>
        <v>112.21049380931505</v>
      </c>
      <c r="U224" s="548">
        <f t="shared" si="403"/>
        <v>7045.7751926779238</v>
      </c>
      <c r="W224" s="545" t="str">
        <f t="shared" si="394"/>
        <v>2x2 (TH)</v>
      </c>
      <c r="X224" s="550" t="str">
        <f t="shared" si="395"/>
        <v>40% AMI</v>
      </c>
      <c r="Y224" s="545">
        <f t="shared" si="396"/>
        <v>1</v>
      </c>
      <c r="Z224" s="546">
        <f t="shared" si="397"/>
        <v>1058</v>
      </c>
      <c r="AA224" s="547">
        <f t="shared" si="398"/>
        <v>112.21049380931505</v>
      </c>
      <c r="AB224" s="549">
        <f t="shared" si="411"/>
        <v>7092.7470272957762</v>
      </c>
      <c r="AD224" s="545" t="str">
        <f t="shared" si="405"/>
        <v>2x2 (TH)</v>
      </c>
      <c r="AE224" s="550" t="str">
        <f t="shared" si="399"/>
        <v>40% AMI</v>
      </c>
      <c r="AF224" s="545">
        <f t="shared" si="400"/>
        <v>1</v>
      </c>
      <c r="AG224" s="546">
        <f t="shared" si="401"/>
        <v>1058</v>
      </c>
      <c r="AH224" s="547">
        <f t="shared" si="402"/>
        <v>112.21049380931505</v>
      </c>
      <c r="AI224" s="548">
        <f t="shared" si="406"/>
        <v>7092.7470272957762</v>
      </c>
    </row>
    <row r="225" spans="2:35" s="120" customFormat="1" ht="15.75" customHeight="1" x14ac:dyDescent="0.2">
      <c r="B225" s="551" t="str">
        <f t="shared" ref="B225:C225" si="417">B202</f>
        <v>2x2 (TH)</v>
      </c>
      <c r="C225" s="552" t="str">
        <f t="shared" si="417"/>
        <v>50% AMI</v>
      </c>
      <c r="D225" s="551">
        <f t="shared" si="409"/>
        <v>1</v>
      </c>
      <c r="E225" s="553">
        <f t="shared" si="410"/>
        <v>1058</v>
      </c>
      <c r="F225" s="554">
        <f>F202*(1+Dashboard!$P$12)</f>
        <v>112.21049380931505</v>
      </c>
      <c r="G225" s="555">
        <f>G202*(1+Dashboard!$P$11)</f>
        <v>906.81736276132517</v>
      </c>
      <c r="H225" s="549">
        <f t="shared" si="385"/>
        <v>794.60686895201013</v>
      </c>
      <c r="I225" s="556">
        <f>I202*(1+Dashboard!$P$11)</f>
        <v>1015.1135370191524</v>
      </c>
      <c r="J225" s="557">
        <f t="shared" si="386"/>
        <v>902.90304320983739</v>
      </c>
      <c r="K225" s="558">
        <f>K202*(1+Dashboard!$P$11)</f>
        <v>0</v>
      </c>
      <c r="L225" s="559">
        <f t="shared" si="387"/>
        <v>190.49688483906976</v>
      </c>
      <c r="M225" s="559">
        <f>M202*(1+Dashboard!$P$11)</f>
        <v>78.286391029754697</v>
      </c>
      <c r="N225" s="548">
        <f t="shared" si="388"/>
        <v>939.43669235705636</v>
      </c>
      <c r="P225" s="545" t="str">
        <f t="shared" si="413"/>
        <v>2x2 (TH)</v>
      </c>
      <c r="Q225" s="550" t="str">
        <f t="shared" si="390"/>
        <v>50% AMI</v>
      </c>
      <c r="R225" s="545">
        <f t="shared" si="391"/>
        <v>1</v>
      </c>
      <c r="S225" s="546">
        <f t="shared" si="392"/>
        <v>1058</v>
      </c>
      <c r="T225" s="547">
        <f t="shared" si="393"/>
        <v>112.21049380931505</v>
      </c>
      <c r="U225" s="548">
        <f t="shared" si="403"/>
        <v>939.43669235705636</v>
      </c>
      <c r="W225" s="545" t="str">
        <f t="shared" si="394"/>
        <v>2x2 (TH)</v>
      </c>
      <c r="X225" s="550" t="str">
        <f t="shared" si="395"/>
        <v>50% AMI</v>
      </c>
      <c r="Y225" s="545">
        <f t="shared" si="396"/>
        <v>1</v>
      </c>
      <c r="Z225" s="546">
        <f t="shared" si="397"/>
        <v>1058</v>
      </c>
      <c r="AA225" s="547">
        <f t="shared" si="398"/>
        <v>112.21049380931505</v>
      </c>
      <c r="AB225" s="549">
        <f t="shared" si="411"/>
        <v>9535.2824274241211</v>
      </c>
      <c r="AD225" s="545" t="str">
        <f t="shared" si="405"/>
        <v>2x2 (TH)</v>
      </c>
      <c r="AE225" s="550" t="str">
        <f t="shared" si="399"/>
        <v>50% AMI</v>
      </c>
      <c r="AF225" s="545">
        <f t="shared" si="400"/>
        <v>1</v>
      </c>
      <c r="AG225" s="546">
        <f t="shared" si="401"/>
        <v>1058</v>
      </c>
      <c r="AH225" s="547">
        <f t="shared" si="402"/>
        <v>112.21049380931505</v>
      </c>
      <c r="AI225" s="548">
        <f t="shared" si="406"/>
        <v>9535.2824274241211</v>
      </c>
    </row>
    <row r="226" spans="2:35" s="120" customFormat="1" ht="15.75" customHeight="1" x14ac:dyDescent="0.2">
      <c r="B226" s="551" t="str">
        <f t="shared" ref="B226:C226" si="418">B203</f>
        <v>2x2 (TH)</v>
      </c>
      <c r="C226" s="552" t="str">
        <f t="shared" si="418"/>
        <v>60% AMI</v>
      </c>
      <c r="D226" s="551">
        <f t="shared" si="409"/>
        <v>16</v>
      </c>
      <c r="E226" s="553">
        <f t="shared" si="410"/>
        <v>1058</v>
      </c>
      <c r="F226" s="554">
        <f>F203*(1+Dashboard!$P$12)</f>
        <v>112.21049380931505</v>
      </c>
      <c r="G226" s="555">
        <f>G203*(1+Dashboard!$P$11)</f>
        <v>1110.3619794386875</v>
      </c>
      <c r="H226" s="549">
        <f t="shared" si="385"/>
        <v>998.15148562937247</v>
      </c>
      <c r="I226" s="556">
        <f>I203*(1+Dashboard!$P$11)</f>
        <v>1015.1135370191524</v>
      </c>
      <c r="J226" s="557">
        <f t="shared" si="386"/>
        <v>902.90304320983739</v>
      </c>
      <c r="K226" s="558">
        <f>K203*(1+Dashboard!$P$11)</f>
        <v>0</v>
      </c>
      <c r="L226" s="559">
        <f t="shared" si="387"/>
        <v>1012.5039906514942</v>
      </c>
      <c r="M226" s="559">
        <f>M203*(1+Dashboard!$P$11)</f>
        <v>900.29349684217914</v>
      </c>
      <c r="N226" s="548">
        <f t="shared" si="388"/>
        <v>172856.35139369839</v>
      </c>
      <c r="P226" s="545" t="str">
        <f t="shared" si="413"/>
        <v>2x2 (TH)</v>
      </c>
      <c r="Q226" s="550" t="str">
        <f t="shared" si="390"/>
        <v>60% AMI</v>
      </c>
      <c r="R226" s="545">
        <f t="shared" si="391"/>
        <v>16</v>
      </c>
      <c r="S226" s="546">
        <f t="shared" si="392"/>
        <v>1058</v>
      </c>
      <c r="T226" s="547">
        <f t="shared" si="393"/>
        <v>112.21049380931505</v>
      </c>
      <c r="U226" s="548">
        <f t="shared" si="403"/>
        <v>172856.35139369839</v>
      </c>
      <c r="W226" s="545" t="str">
        <f t="shared" si="394"/>
        <v>2x2 (TH)</v>
      </c>
      <c r="X226" s="550" t="str">
        <f t="shared" si="395"/>
        <v>60% AMI</v>
      </c>
      <c r="Y226" s="545">
        <f t="shared" si="396"/>
        <v>16</v>
      </c>
      <c r="Z226" s="546">
        <f t="shared" si="397"/>
        <v>1058</v>
      </c>
      <c r="AA226" s="547">
        <f t="shared" si="398"/>
        <v>112.21049380931505</v>
      </c>
      <c r="AB226" s="549">
        <f t="shared" si="411"/>
        <v>191645.08524083951</v>
      </c>
      <c r="AD226" s="545" t="str">
        <f t="shared" si="405"/>
        <v>2x2 (TH)</v>
      </c>
      <c r="AE226" s="550" t="str">
        <f t="shared" si="399"/>
        <v>60% AMI</v>
      </c>
      <c r="AF226" s="545">
        <f t="shared" si="400"/>
        <v>16</v>
      </c>
      <c r="AG226" s="546">
        <f t="shared" si="401"/>
        <v>1058</v>
      </c>
      <c r="AH226" s="547">
        <f t="shared" si="402"/>
        <v>112.21049380931505</v>
      </c>
      <c r="AI226" s="548">
        <f t="shared" si="406"/>
        <v>191645.08524083951</v>
      </c>
    </row>
    <row r="227" spans="2:35" s="120" customFormat="1" ht="15.75" customHeight="1" x14ac:dyDescent="0.2">
      <c r="B227" s="551" t="str">
        <f t="shared" ref="B227:C227" si="419">B204</f>
        <v>2x2 (TH)</v>
      </c>
      <c r="C227" s="552" t="str">
        <f t="shared" si="419"/>
        <v>Market</v>
      </c>
      <c r="D227" s="551">
        <f t="shared" si="409"/>
        <v>1</v>
      </c>
      <c r="E227" s="553">
        <f t="shared" si="410"/>
        <v>1058</v>
      </c>
      <c r="F227" s="554">
        <f>F204*(1+Dashboard!$P$12)</f>
        <v>0</v>
      </c>
      <c r="G227" s="555">
        <f>G204*(1+Dashboard!$P$11)</f>
        <v>0</v>
      </c>
      <c r="H227" s="549">
        <f t="shared" si="385"/>
        <v>0</v>
      </c>
      <c r="I227" s="556">
        <f>I204*(1+Dashboard!$P$11)</f>
        <v>1015.1135370191524</v>
      </c>
      <c r="J227" s="557">
        <f t="shared" si="386"/>
        <v>1015.1135370191524</v>
      </c>
      <c r="K227" s="558">
        <f>K204*(1+Dashboard!$P$11)</f>
        <v>0</v>
      </c>
      <c r="L227" s="559">
        <f t="shared" si="387"/>
        <v>978.57988787193369</v>
      </c>
      <c r="M227" s="559">
        <f>M204*(1+Dashboard!$P$11)</f>
        <v>978.57988787193369</v>
      </c>
      <c r="N227" s="548">
        <f t="shared" si="388"/>
        <v>11742.958654463204</v>
      </c>
      <c r="P227" s="545" t="str">
        <f t="shared" si="413"/>
        <v>2x2 (TH)</v>
      </c>
      <c r="Q227" s="550" t="str">
        <f t="shared" si="390"/>
        <v>Market</v>
      </c>
      <c r="R227" s="545">
        <f t="shared" si="391"/>
        <v>1</v>
      </c>
      <c r="S227" s="546">
        <f t="shared" si="392"/>
        <v>1058</v>
      </c>
      <c r="T227" s="547">
        <f t="shared" si="393"/>
        <v>0</v>
      </c>
      <c r="U227" s="548">
        <f t="shared" si="403"/>
        <v>11742.958654463204</v>
      </c>
      <c r="W227" s="545" t="str">
        <f t="shared" si="394"/>
        <v>2x2 (TH)</v>
      </c>
      <c r="X227" s="550" t="str">
        <f t="shared" si="395"/>
        <v>Market</v>
      </c>
      <c r="Y227" s="545">
        <f t="shared" si="396"/>
        <v>1</v>
      </c>
      <c r="Z227" s="546">
        <f t="shared" si="397"/>
        <v>1058</v>
      </c>
      <c r="AA227" s="547">
        <f t="shared" si="398"/>
        <v>0</v>
      </c>
      <c r="AB227" s="549">
        <f t="shared" si="411"/>
        <v>0</v>
      </c>
      <c r="AD227" s="545" t="str">
        <f t="shared" si="405"/>
        <v>2x2 (TH)</v>
      </c>
      <c r="AE227" s="550" t="str">
        <f t="shared" si="399"/>
        <v>Market</v>
      </c>
      <c r="AF227" s="545">
        <f t="shared" si="400"/>
        <v>1</v>
      </c>
      <c r="AG227" s="546">
        <f t="shared" si="401"/>
        <v>1058</v>
      </c>
      <c r="AH227" s="547">
        <f t="shared" si="402"/>
        <v>0</v>
      </c>
      <c r="AI227" s="548">
        <f t="shared" si="406"/>
        <v>11742.958654463204</v>
      </c>
    </row>
    <row r="228" spans="2:35" s="120" customFormat="1" ht="15.75" customHeight="1" x14ac:dyDescent="0.2">
      <c r="B228" s="551" t="str">
        <f t="shared" ref="B228:C228" si="420">B205</f>
        <v xml:space="preserve">2x1.5-2x2 </v>
      </c>
      <c r="C228" s="552" t="str">
        <f t="shared" si="420"/>
        <v>S8 Voucher</v>
      </c>
      <c r="D228" s="551">
        <f t="shared" si="409"/>
        <v>18</v>
      </c>
      <c r="E228" s="553">
        <f t="shared" si="410"/>
        <v>0</v>
      </c>
      <c r="F228" s="554">
        <f>F205*(1+Dashboard!$P$12)</f>
        <v>112.21049380931505</v>
      </c>
      <c r="G228" s="555">
        <f>G205*(1+Dashboard!$P$11)</f>
        <v>1110.3619794386875</v>
      </c>
      <c r="H228" s="549">
        <f t="shared" si="385"/>
        <v>998.15148562937247</v>
      </c>
      <c r="I228" s="556">
        <f>I205*(1+Dashboard!$P$11)</f>
        <v>1015.1135370191524</v>
      </c>
      <c r="J228" s="557">
        <f t="shared" si="386"/>
        <v>902.90304320983739</v>
      </c>
      <c r="K228" s="558">
        <f>K205*(1+Dashboard!$P$11)</f>
        <v>0</v>
      </c>
      <c r="L228" s="559">
        <f t="shared" si="387"/>
        <v>1072.5235571076391</v>
      </c>
      <c r="M228" s="559">
        <f>M205*(1+Dashboard!$P$11)</f>
        <v>960.3130632983241</v>
      </c>
      <c r="N228" s="548">
        <f t="shared" si="388"/>
        <v>207427.62167243802</v>
      </c>
      <c r="P228" s="545" t="str">
        <f t="shared" si="413"/>
        <v xml:space="preserve">2x1.5-2x2 </v>
      </c>
      <c r="Q228" s="550" t="str">
        <f t="shared" si="390"/>
        <v>S8 Voucher</v>
      </c>
      <c r="R228" s="545">
        <f t="shared" si="391"/>
        <v>18</v>
      </c>
      <c r="S228" s="546">
        <f t="shared" si="392"/>
        <v>0</v>
      </c>
      <c r="T228" s="547">
        <f t="shared" si="393"/>
        <v>112.21049380931505</v>
      </c>
      <c r="U228" s="548">
        <f t="shared" si="403"/>
        <v>207427.62167243802</v>
      </c>
      <c r="W228" s="545" t="str">
        <f t="shared" si="394"/>
        <v xml:space="preserve">2x1.5-2x2 </v>
      </c>
      <c r="X228" s="550" t="str">
        <f t="shared" si="395"/>
        <v>S8 Voucher</v>
      </c>
      <c r="Y228" s="545">
        <f t="shared" si="396"/>
        <v>18</v>
      </c>
      <c r="Z228" s="546">
        <f t="shared" si="397"/>
        <v>0</v>
      </c>
      <c r="AA228" s="547">
        <f t="shared" si="398"/>
        <v>112.21049380931505</v>
      </c>
      <c r="AB228" s="549">
        <f t="shared" si="411"/>
        <v>215600.72089594445</v>
      </c>
      <c r="AD228" s="545" t="str">
        <f t="shared" si="405"/>
        <v xml:space="preserve">2x1.5-2x2 </v>
      </c>
      <c r="AE228" s="550" t="str">
        <f t="shared" si="399"/>
        <v>S8 Voucher</v>
      </c>
      <c r="AF228" s="545">
        <f t="shared" si="400"/>
        <v>18</v>
      </c>
      <c r="AG228" s="546">
        <f t="shared" si="401"/>
        <v>0</v>
      </c>
      <c r="AH228" s="547">
        <f t="shared" si="402"/>
        <v>112.21049380931505</v>
      </c>
      <c r="AI228" s="548">
        <f t="shared" si="406"/>
        <v>215600.72089594445</v>
      </c>
    </row>
    <row r="229" spans="2:35" s="120" customFormat="1" ht="15.75" customHeight="1" x14ac:dyDescent="0.2">
      <c r="B229" s="551" t="str">
        <f t="shared" ref="B229:C229" si="421">B206</f>
        <v>3x2 (TH)</v>
      </c>
      <c r="C229" s="552" t="str">
        <f t="shared" si="421"/>
        <v>50% AMI</v>
      </c>
      <c r="D229" s="551">
        <f t="shared" si="409"/>
        <v>2</v>
      </c>
      <c r="E229" s="553">
        <f t="shared" si="410"/>
        <v>1296</v>
      </c>
      <c r="F229" s="554">
        <f>F206*(1+Dashboard!$P$12)</f>
        <v>139.61073066972921</v>
      </c>
      <c r="G229" s="555">
        <f>G206*(1+Dashboard!$P$11)</f>
        <v>1037.2946811442498</v>
      </c>
      <c r="H229" s="549">
        <f t="shared" si="385"/>
        <v>897.68395047452054</v>
      </c>
      <c r="I229" s="556">
        <f>I206*(1+Dashboard!$P$11)</f>
        <v>1334.7829670573171</v>
      </c>
      <c r="J229" s="557">
        <f t="shared" si="386"/>
        <v>1195.1722363875879</v>
      </c>
      <c r="K229" s="558">
        <f>K206*(1+Dashboard!$P$11)</f>
        <v>0</v>
      </c>
      <c r="L229" s="559">
        <f t="shared" si="387"/>
        <v>1026.8564956736159</v>
      </c>
      <c r="M229" s="559">
        <f>M206*(1+Dashboard!$P$11)</f>
        <v>887.24576500388662</v>
      </c>
      <c r="N229" s="548">
        <f t="shared" si="388"/>
        <v>21293.898360093277</v>
      </c>
      <c r="P229" s="545" t="str">
        <f t="shared" si="413"/>
        <v>3x2 (TH)</v>
      </c>
      <c r="Q229" s="550" t="str">
        <f t="shared" si="390"/>
        <v>50% AMI</v>
      </c>
      <c r="R229" s="545">
        <f t="shared" si="391"/>
        <v>2</v>
      </c>
      <c r="S229" s="546">
        <f t="shared" si="392"/>
        <v>1296</v>
      </c>
      <c r="T229" s="547">
        <f t="shared" si="393"/>
        <v>139.61073066972921</v>
      </c>
      <c r="U229" s="548">
        <f t="shared" si="403"/>
        <v>21293.898360093277</v>
      </c>
      <c r="W229" s="545" t="str">
        <f t="shared" si="394"/>
        <v>3x2 (TH)</v>
      </c>
      <c r="X229" s="550" t="str">
        <f t="shared" si="395"/>
        <v>50% AMI</v>
      </c>
      <c r="Y229" s="545">
        <f t="shared" si="396"/>
        <v>2</v>
      </c>
      <c r="Z229" s="546">
        <f t="shared" si="397"/>
        <v>1296</v>
      </c>
      <c r="AA229" s="547">
        <f t="shared" si="398"/>
        <v>139.61073066972921</v>
      </c>
      <c r="AB229" s="549">
        <f t="shared" si="411"/>
        <v>21544.414811388495</v>
      </c>
      <c r="AD229" s="545" t="str">
        <f t="shared" si="405"/>
        <v>3x2 (TH)</v>
      </c>
      <c r="AE229" s="550" t="str">
        <f t="shared" si="399"/>
        <v>50% AMI</v>
      </c>
      <c r="AF229" s="545">
        <f t="shared" si="400"/>
        <v>2</v>
      </c>
      <c r="AG229" s="546">
        <f t="shared" si="401"/>
        <v>1296</v>
      </c>
      <c r="AH229" s="547">
        <f t="shared" si="402"/>
        <v>139.61073066972921</v>
      </c>
      <c r="AI229" s="548">
        <f t="shared" si="406"/>
        <v>21544.414811388495</v>
      </c>
    </row>
    <row r="230" spans="2:35" s="120" customFormat="1" ht="15.75" customHeight="1" x14ac:dyDescent="0.2">
      <c r="B230" s="551" t="str">
        <f t="shared" ref="B230:C230" si="422">B207</f>
        <v>3x2 (TH)</v>
      </c>
      <c r="C230" s="552" t="str">
        <f t="shared" si="422"/>
        <v>60% AMI</v>
      </c>
      <c r="D230" s="551">
        <f t="shared" si="409"/>
        <v>7</v>
      </c>
      <c r="E230" s="553">
        <f t="shared" si="410"/>
        <v>1296</v>
      </c>
      <c r="F230" s="554">
        <f>F207*(1+Dashboard!$P$12)</f>
        <v>139.61073066972921</v>
      </c>
      <c r="G230" s="555">
        <f>G207*(1+Dashboard!$P$11)</f>
        <v>1273.4586274173428</v>
      </c>
      <c r="H230" s="549">
        <f t="shared" si="385"/>
        <v>1133.8478967476135</v>
      </c>
      <c r="I230" s="556">
        <f>I207*(1+Dashboard!$P$11)</f>
        <v>1334.7829670573171</v>
      </c>
      <c r="J230" s="557">
        <f t="shared" si="386"/>
        <v>1195.1722363875879</v>
      </c>
      <c r="K230" s="558">
        <f>K207*(1+Dashboard!$P$11)</f>
        <v>0</v>
      </c>
      <c r="L230" s="559">
        <f t="shared" si="387"/>
        <v>1047.7328666148835</v>
      </c>
      <c r="M230" s="559">
        <f>M207*(1+Dashboard!$P$11)</f>
        <v>908.12213594515435</v>
      </c>
      <c r="N230" s="548">
        <f t="shared" si="388"/>
        <v>76282.259419392969</v>
      </c>
      <c r="P230" s="545" t="str">
        <f t="shared" si="413"/>
        <v>3x2 (TH)</v>
      </c>
      <c r="Q230" s="550" t="str">
        <f t="shared" si="390"/>
        <v>60% AMI</v>
      </c>
      <c r="R230" s="545">
        <f t="shared" si="391"/>
        <v>7</v>
      </c>
      <c r="S230" s="546">
        <f t="shared" si="392"/>
        <v>1296</v>
      </c>
      <c r="T230" s="547">
        <f t="shared" si="393"/>
        <v>139.61073066972921</v>
      </c>
      <c r="U230" s="548">
        <f t="shared" si="403"/>
        <v>76282.259419392969</v>
      </c>
      <c r="W230" s="545" t="str">
        <f t="shared" si="394"/>
        <v>3x2 (TH)</v>
      </c>
      <c r="X230" s="550" t="str">
        <f t="shared" si="395"/>
        <v>60% AMI</v>
      </c>
      <c r="Y230" s="545">
        <f t="shared" si="396"/>
        <v>7</v>
      </c>
      <c r="Z230" s="546">
        <f t="shared" si="397"/>
        <v>1296</v>
      </c>
      <c r="AA230" s="547">
        <f t="shared" si="398"/>
        <v>139.61073066972921</v>
      </c>
      <c r="AB230" s="549">
        <f t="shared" si="411"/>
        <v>95243.223326799547</v>
      </c>
      <c r="AD230" s="545" t="str">
        <f t="shared" si="405"/>
        <v>3x2 (TH)</v>
      </c>
      <c r="AE230" s="550" t="str">
        <f t="shared" si="399"/>
        <v>60% AMI</v>
      </c>
      <c r="AF230" s="545">
        <f t="shared" si="400"/>
        <v>7</v>
      </c>
      <c r="AG230" s="546">
        <f t="shared" si="401"/>
        <v>1296</v>
      </c>
      <c r="AH230" s="547">
        <f t="shared" si="402"/>
        <v>139.61073066972921</v>
      </c>
      <c r="AI230" s="548">
        <f t="shared" si="406"/>
        <v>95243.223326799547</v>
      </c>
    </row>
    <row r="231" spans="2:35" s="120" customFormat="1" ht="15.75" customHeight="1" x14ac:dyDescent="0.2">
      <c r="B231" s="551" t="str">
        <f t="shared" ref="B231:C231" si="423">B208</f>
        <v>3x2 (TH)</v>
      </c>
      <c r="C231" s="552" t="str">
        <f t="shared" si="423"/>
        <v>Market</v>
      </c>
      <c r="D231" s="551">
        <f t="shared" si="409"/>
        <v>0</v>
      </c>
      <c r="E231" s="553">
        <f t="shared" si="410"/>
        <v>1296</v>
      </c>
      <c r="F231" s="554">
        <f>F208*(1+Dashboard!$P$12)</f>
        <v>0</v>
      </c>
      <c r="G231" s="555">
        <f>G208*(1+Dashboard!$P$11)</f>
        <v>0</v>
      </c>
      <c r="H231" s="549">
        <f t="shared" si="385"/>
        <v>0</v>
      </c>
      <c r="I231" s="556">
        <f>I208*(1+Dashboard!$P$11)</f>
        <v>1334.7829670573171</v>
      </c>
      <c r="J231" s="557">
        <f t="shared" si="386"/>
        <v>1334.7829670573171</v>
      </c>
      <c r="K231" s="558">
        <f>K208*(1+Dashboard!$P$11)</f>
        <v>0</v>
      </c>
      <c r="L231" s="559">
        <f t="shared" si="387"/>
        <v>0</v>
      </c>
      <c r="M231" s="559">
        <f>M208*(1+Dashboard!$P$11)</f>
        <v>0</v>
      </c>
      <c r="N231" s="548">
        <f t="shared" si="388"/>
        <v>0</v>
      </c>
      <c r="P231" s="545" t="str">
        <f t="shared" si="413"/>
        <v>3x2 (TH)</v>
      </c>
      <c r="Q231" s="550" t="str">
        <f t="shared" si="390"/>
        <v>Market</v>
      </c>
      <c r="R231" s="545">
        <f t="shared" si="391"/>
        <v>0</v>
      </c>
      <c r="S231" s="546">
        <f t="shared" si="392"/>
        <v>1296</v>
      </c>
      <c r="T231" s="547">
        <f t="shared" si="393"/>
        <v>0</v>
      </c>
      <c r="U231" s="548">
        <f t="shared" si="403"/>
        <v>0</v>
      </c>
      <c r="W231" s="545" t="str">
        <f t="shared" si="394"/>
        <v>3x2 (TH)</v>
      </c>
      <c r="X231" s="550" t="str">
        <f t="shared" si="395"/>
        <v>Market</v>
      </c>
      <c r="Y231" s="545">
        <f t="shared" si="396"/>
        <v>0</v>
      </c>
      <c r="Z231" s="546">
        <f t="shared" si="397"/>
        <v>1296</v>
      </c>
      <c r="AA231" s="547">
        <f t="shared" si="398"/>
        <v>0</v>
      </c>
      <c r="AB231" s="549">
        <f t="shared" si="411"/>
        <v>0</v>
      </c>
      <c r="AD231" s="545" t="str">
        <f t="shared" si="405"/>
        <v>3x2 (TH)</v>
      </c>
      <c r="AE231" s="550" t="str">
        <f t="shared" si="399"/>
        <v>Market</v>
      </c>
      <c r="AF231" s="545">
        <f t="shared" si="400"/>
        <v>0</v>
      </c>
      <c r="AG231" s="546">
        <f t="shared" si="401"/>
        <v>1296</v>
      </c>
      <c r="AH231" s="547">
        <f t="shared" si="402"/>
        <v>0</v>
      </c>
      <c r="AI231" s="548">
        <f t="shared" si="406"/>
        <v>0</v>
      </c>
    </row>
    <row r="232" spans="2:35" s="120" customFormat="1" ht="15.75" customHeight="1" x14ac:dyDescent="0.2">
      <c r="B232" s="551" t="str">
        <f t="shared" ref="B232:C232" si="424">B209</f>
        <v>3x2 (TH)</v>
      </c>
      <c r="C232" s="552" t="str">
        <f t="shared" si="424"/>
        <v>S8 Voucher</v>
      </c>
      <c r="D232" s="551">
        <f t="shared" si="409"/>
        <v>11</v>
      </c>
      <c r="E232" s="553">
        <f t="shared" si="410"/>
        <v>1296</v>
      </c>
      <c r="F232" s="554">
        <f>F209*(1+Dashboard!$P$12)</f>
        <v>139.61073066972921</v>
      </c>
      <c r="G232" s="555">
        <f>G209*(1+Dashboard!$P$11)</f>
        <v>1273.4586274173428</v>
      </c>
      <c r="H232" s="549">
        <f t="shared" si="385"/>
        <v>1133.8478967476135</v>
      </c>
      <c r="I232" s="556">
        <f>I209*(1+Dashboard!$P$11)</f>
        <v>1334.7829670573171</v>
      </c>
      <c r="J232" s="557">
        <f t="shared" si="386"/>
        <v>1195.1722363875879</v>
      </c>
      <c r="K232" s="558">
        <f>K209*(1+Dashboard!$P$11)</f>
        <v>0</v>
      </c>
      <c r="L232" s="559">
        <f t="shared" si="387"/>
        <v>1219.9629268803442</v>
      </c>
      <c r="M232" s="559">
        <f>M209*(1+Dashboard!$P$11)</f>
        <v>1080.3521962106149</v>
      </c>
      <c r="N232" s="548">
        <f t="shared" si="388"/>
        <v>142606.48989980118</v>
      </c>
      <c r="P232" s="545" t="str">
        <f t="shared" si="413"/>
        <v>3x2 (TH)</v>
      </c>
      <c r="Q232" s="550" t="str">
        <f t="shared" si="390"/>
        <v>S8 Voucher</v>
      </c>
      <c r="R232" s="545">
        <f t="shared" si="391"/>
        <v>11</v>
      </c>
      <c r="S232" s="546">
        <f t="shared" si="392"/>
        <v>1296</v>
      </c>
      <c r="T232" s="547">
        <f t="shared" si="393"/>
        <v>139.61073066972921</v>
      </c>
      <c r="U232" s="548">
        <f t="shared" si="403"/>
        <v>142606.48989980118</v>
      </c>
      <c r="W232" s="545" t="str">
        <f t="shared" si="394"/>
        <v>3x2 (TH)</v>
      </c>
      <c r="X232" s="550" t="str">
        <f t="shared" si="395"/>
        <v>S8 Voucher</v>
      </c>
      <c r="Y232" s="545">
        <f t="shared" si="396"/>
        <v>11</v>
      </c>
      <c r="Z232" s="546">
        <f t="shared" si="397"/>
        <v>1296</v>
      </c>
      <c r="AA232" s="547">
        <f t="shared" si="398"/>
        <v>139.61073066972921</v>
      </c>
      <c r="AB232" s="549">
        <f t="shared" si="411"/>
        <v>149667.92237068497</v>
      </c>
      <c r="AD232" s="545" t="str">
        <f t="shared" si="405"/>
        <v>3x2 (TH)</v>
      </c>
      <c r="AE232" s="550" t="str">
        <f t="shared" si="399"/>
        <v>S8 Voucher</v>
      </c>
      <c r="AF232" s="545">
        <f t="shared" si="400"/>
        <v>11</v>
      </c>
      <c r="AG232" s="546">
        <f t="shared" si="401"/>
        <v>1296</v>
      </c>
      <c r="AH232" s="547">
        <f t="shared" si="402"/>
        <v>139.61073066972921</v>
      </c>
      <c r="AI232" s="548">
        <f t="shared" si="406"/>
        <v>149667.92237068497</v>
      </c>
    </row>
    <row r="233" spans="2:35" s="120" customFormat="1" ht="15.75" customHeight="1" x14ac:dyDescent="0.2">
      <c r="B233" s="198" t="s">
        <v>295</v>
      </c>
      <c r="C233" s="122"/>
      <c r="D233" s="166">
        <f>SUM(D214:D232)</f>
        <v>72</v>
      </c>
      <c r="E233" s="166">
        <f t="shared" ref="E233:K233" si="425">+SUMPRODUCT(E214:E232,$D214:$D232)</f>
        <v>59002</v>
      </c>
      <c r="F233" s="165">
        <f t="shared" si="425"/>
        <v>8265.7381195582657</v>
      </c>
      <c r="G233" s="165">
        <f t="shared" si="425"/>
        <v>77887.130435502942</v>
      </c>
      <c r="H233" s="165">
        <f t="shared" si="425"/>
        <v>69621.392315944686</v>
      </c>
      <c r="I233" s="165">
        <f t="shared" si="425"/>
        <v>78737.842551359601</v>
      </c>
      <c r="J233" s="165">
        <f t="shared" si="425"/>
        <v>70472.10443180133</v>
      </c>
      <c r="K233" s="165">
        <f t="shared" si="425"/>
        <v>0</v>
      </c>
      <c r="L233" s="165">
        <f t="shared" ref="L233" si="426">+SUMPRODUCT(L214:L232,$D214:$D232)</f>
        <v>72816.781843142497</v>
      </c>
      <c r="M233" s="165">
        <f t="shared" ref="M233" si="427">+SUMPRODUCT(M214:M232,$D214:$D232)</f>
        <v>64551.043723584226</v>
      </c>
      <c r="N233" s="165">
        <f>SUM(N214:N232)</f>
        <v>774612.52468301088</v>
      </c>
      <c r="P233" s="198" t="s">
        <v>295</v>
      </c>
      <c r="Q233" s="122"/>
      <c r="R233" s="560">
        <f>SUM(R214:R232)</f>
        <v>72</v>
      </c>
      <c r="S233" s="560">
        <f>+SUMPRODUCT(S214:S232,$R214:$R232)</f>
        <v>59002</v>
      </c>
      <c r="T233" s="165">
        <f>+SUMPRODUCT(T214:T232,$R214:$R232)</f>
        <v>8265.7381195582657</v>
      </c>
      <c r="U233" s="165">
        <f>SUM(U214:U232)</f>
        <v>774612.52468301088</v>
      </c>
      <c r="W233" s="198" t="s">
        <v>295</v>
      </c>
      <c r="X233" s="122"/>
      <c r="Y233" s="560">
        <f>SUM(Y214:Y232)</f>
        <v>72</v>
      </c>
      <c r="Z233" s="560">
        <f>+SUMPRODUCT(Z214:Z232,$Y214:$Y232)</f>
        <v>59002</v>
      </c>
      <c r="AA233" s="165">
        <f>+SUMPRODUCT(AA214:AA232,$Y214:$Y232)</f>
        <v>8265.7381195582657</v>
      </c>
      <c r="AB233" s="165">
        <f>SUM(AB214:AB232)</f>
        <v>835456.70779133611</v>
      </c>
      <c r="AC233" s="122"/>
      <c r="AD233" s="198" t="s">
        <v>295</v>
      </c>
      <c r="AE233" s="122"/>
      <c r="AF233" s="560">
        <f>SUM(AF214:AF232)</f>
        <v>72</v>
      </c>
      <c r="AG233" s="560">
        <f>+SUMPRODUCT(AG214:AG232,$AF214:$AF232)</f>
        <v>59002</v>
      </c>
      <c r="AH233" s="165">
        <f>+SUMPRODUCT(AH214:AH232,$AF214:$AF232)</f>
        <v>8265.7381195582657</v>
      </c>
      <c r="AI233" s="165">
        <f>SUM(AI214:AI232)</f>
        <v>856687.9770386056</v>
      </c>
    </row>
  </sheetData>
  <sheetProtection selectLockedCells="1" selectUnlockedCells="1"/>
  <pageMargins left="0.25" right="0.25" top="0.75" bottom="0.75" header="0.3" footer="0.3"/>
  <pageSetup scale="61" firstPageNumber="0" fitToHeight="0" orientation="landscape" r:id="rId1"/>
  <headerFooter alignWithMargins="0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142D-256D-4CD0-B1D9-BE3DA092AA39}">
  <sheetPr>
    <pageSetUpPr fitToPage="1"/>
  </sheetPr>
  <dimension ref="A3:P364"/>
  <sheetViews>
    <sheetView showGridLines="0" zoomScale="85" zoomScaleNormal="85" workbookViewId="0">
      <selection activeCell="G55" sqref="G55"/>
    </sheetView>
  </sheetViews>
  <sheetFormatPr defaultColWidth="9.140625" defaultRowHeight="12.75" x14ac:dyDescent="0.2"/>
  <cols>
    <col min="1" max="1" width="13.28515625" style="121" customWidth="1"/>
    <col min="2" max="8" width="15.7109375" style="125" customWidth="1"/>
    <col min="9" max="16" width="15.7109375" style="132" customWidth="1"/>
    <col min="17" max="16384" width="9.140625" style="132"/>
  </cols>
  <sheetData>
    <row r="3" spans="1:16" x14ac:dyDescent="0.2">
      <c r="B3" s="138" t="s">
        <v>228</v>
      </c>
      <c r="C3" s="139"/>
      <c r="D3" s="140"/>
      <c r="F3" s="138" t="s">
        <v>230</v>
      </c>
      <c r="G3" s="139"/>
      <c r="H3" s="140"/>
      <c r="J3" s="138" t="s">
        <v>229</v>
      </c>
      <c r="K3" s="139"/>
      <c r="L3" s="140"/>
      <c r="N3" s="144" t="s">
        <v>214</v>
      </c>
      <c r="O3" s="145" t="s">
        <v>213</v>
      </c>
      <c r="P3" s="142" t="s">
        <v>212</v>
      </c>
    </row>
    <row r="4" spans="1:16" x14ac:dyDescent="0.2">
      <c r="B4" s="126" t="s">
        <v>226</v>
      </c>
      <c r="C4" s="120">
        <f>C6-C5</f>
        <v>68</v>
      </c>
      <c r="D4" s="127">
        <f>+C4/C6</f>
        <v>0.94444444444444442</v>
      </c>
      <c r="F4" s="195" t="str">
        <f>+C13</f>
        <v>1x1</v>
      </c>
      <c r="G4" s="120">
        <f ca="1">SUMIF(C$13:E$32,F4,E$13:E$32)</f>
        <v>6</v>
      </c>
      <c r="H4" s="134">
        <f ca="1">G4/G$10</f>
        <v>8.3333333333333329E-2</v>
      </c>
      <c r="J4" s="539" t="str">
        <f>+D17</f>
        <v>40% AMI</v>
      </c>
      <c r="K4" s="120">
        <f ca="1">SUMIF(D$13:E$32,J4,E$13:E$32)</f>
        <v>2</v>
      </c>
      <c r="L4" s="134">
        <f ca="1">K4/K$10</f>
        <v>2.7777777777777776E-2</v>
      </c>
      <c r="N4" s="143">
        <f>+SUMPRODUCT(E13:E31,F13:F31)</f>
        <v>59002</v>
      </c>
      <c r="O4" s="540">
        <f>L33/C$6</f>
        <v>775.11111111111109</v>
      </c>
      <c r="P4" s="541">
        <f>J33/C6</f>
        <v>687.125</v>
      </c>
    </row>
    <row r="5" spans="1:16" x14ac:dyDescent="0.2">
      <c r="B5" s="126" t="s">
        <v>227</v>
      </c>
      <c r="C5" s="120">
        <f>+ROUND(D5*$C$6,0)</f>
        <v>4</v>
      </c>
      <c r="D5" s="127">
        <f>+Dashboard!P10</f>
        <v>0.05</v>
      </c>
      <c r="F5" s="195" t="str">
        <f>+C17</f>
        <v>2x1.5</v>
      </c>
      <c r="G5" s="120">
        <f t="shared" ref="G5:G9" ca="1" si="0">SUMIF(C$13:E$32,F5,E$13:E$32)</f>
        <v>6</v>
      </c>
      <c r="H5" s="134">
        <f t="shared" ref="H5:H9" ca="1" si="1">G5/G$10</f>
        <v>8.3333333333333329E-2</v>
      </c>
      <c r="J5" s="539" t="str">
        <f>+D13</f>
        <v>50% AMI</v>
      </c>
      <c r="K5" s="120">
        <f t="shared" ref="K5:K8" ca="1" si="2">SUMIF(D$13:E$32,J5,E$13:E$32)</f>
        <v>9</v>
      </c>
      <c r="L5" s="134">
        <f ca="1">K5/K$10</f>
        <v>0.125</v>
      </c>
    </row>
    <row r="6" spans="1:16" x14ac:dyDescent="0.2">
      <c r="B6" s="130" t="s">
        <v>67</v>
      </c>
      <c r="C6" s="128">
        <f>+SUM(E13:E31)</f>
        <v>72</v>
      </c>
      <c r="D6" s="129">
        <f>SUM(D4:D5)</f>
        <v>0.99444444444444446</v>
      </c>
      <c r="F6" s="196" t="str">
        <f>+C20</f>
        <v>2x2</v>
      </c>
      <c r="G6" s="120">
        <f t="shared" ca="1" si="0"/>
        <v>3</v>
      </c>
      <c r="H6" s="134">
        <f t="shared" ca="1" si="1"/>
        <v>4.1666666666666664E-2</v>
      </c>
      <c r="J6" s="539" t="str">
        <f>+D14</f>
        <v>60% AMI</v>
      </c>
      <c r="K6" s="120">
        <f t="shared" ca="1" si="2"/>
        <v>27</v>
      </c>
      <c r="L6" s="134">
        <f ca="1">K6/K$10</f>
        <v>0.375</v>
      </c>
    </row>
    <row r="7" spans="1:16" x14ac:dyDescent="0.2">
      <c r="B7" s="131"/>
      <c r="C7" s="537"/>
      <c r="D7" s="538"/>
      <c r="F7" s="196" t="str">
        <f>+C23</f>
        <v>2x2 (TH)</v>
      </c>
      <c r="G7" s="120">
        <f t="shared" ca="1" si="0"/>
        <v>19</v>
      </c>
      <c r="H7" s="134">
        <f t="shared" ca="1" si="1"/>
        <v>0.2638888888888889</v>
      </c>
      <c r="J7" s="539" t="str">
        <f>+D22</f>
        <v>Market</v>
      </c>
      <c r="K7" s="120">
        <f t="shared" ca="1" si="2"/>
        <v>2</v>
      </c>
      <c r="L7" s="134">
        <f t="shared" ref="L7:L8" ca="1" si="3">K7/K$10</f>
        <v>2.7777777777777776E-2</v>
      </c>
    </row>
    <row r="8" spans="1:16" x14ac:dyDescent="0.2">
      <c r="B8" s="131"/>
      <c r="C8" s="537"/>
      <c r="D8" s="538"/>
      <c r="F8" s="196" t="str">
        <f>+C27</f>
        <v xml:space="preserve">2x1.5-2x2 </v>
      </c>
      <c r="G8" s="120">
        <f t="shared" ca="1" si="0"/>
        <v>18</v>
      </c>
      <c r="H8" s="134">
        <f t="shared" ca="1" si="1"/>
        <v>0.25</v>
      </c>
      <c r="J8" s="539" t="str">
        <f>+D27</f>
        <v>S8 Voucher</v>
      </c>
      <c r="K8" s="120">
        <f t="shared" ca="1" si="2"/>
        <v>32</v>
      </c>
      <c r="L8" s="134">
        <f t="shared" ca="1" si="3"/>
        <v>0.44444444444444442</v>
      </c>
    </row>
    <row r="9" spans="1:16" x14ac:dyDescent="0.2">
      <c r="B9" s="131"/>
      <c r="C9" s="537"/>
      <c r="D9" s="538"/>
      <c r="F9" s="196" t="str">
        <f>+C28</f>
        <v>3x2 (TH)</v>
      </c>
      <c r="G9" s="120">
        <f t="shared" ca="1" si="0"/>
        <v>20</v>
      </c>
      <c r="H9" s="134">
        <f t="shared" ca="1" si="1"/>
        <v>0.27777777777777779</v>
      </c>
      <c r="J9" s="133"/>
      <c r="K9" s="120"/>
      <c r="L9" s="134"/>
    </row>
    <row r="10" spans="1:16" x14ac:dyDescent="0.2">
      <c r="F10" s="135" t="s">
        <v>65</v>
      </c>
      <c r="G10" s="136">
        <f ca="1">SUM(G4:G9)</f>
        <v>72</v>
      </c>
      <c r="H10" s="137">
        <f ca="1">SUM(H4:H9)</f>
        <v>1</v>
      </c>
      <c r="J10" s="135" t="s">
        <v>65</v>
      </c>
      <c r="K10" s="136">
        <f ca="1">SUM(K4:K9)</f>
        <v>72</v>
      </c>
      <c r="L10" s="137">
        <f ca="1">SUM(L4:L8)</f>
        <v>1</v>
      </c>
    </row>
    <row r="12" spans="1:16" x14ac:dyDescent="0.2">
      <c r="A12" s="132"/>
      <c r="B12" s="141" t="s">
        <v>235</v>
      </c>
      <c r="C12" s="141" t="s">
        <v>230</v>
      </c>
      <c r="D12" s="141" t="s">
        <v>215</v>
      </c>
      <c r="E12" s="141" t="s">
        <v>64</v>
      </c>
      <c r="F12" s="141" t="s">
        <v>231</v>
      </c>
      <c r="G12" s="141" t="s">
        <v>221</v>
      </c>
      <c r="H12" s="141" t="s">
        <v>222</v>
      </c>
      <c r="I12" s="141" t="s">
        <v>223</v>
      </c>
      <c r="J12" s="141" t="s">
        <v>224</v>
      </c>
      <c r="K12" s="141" t="s">
        <v>440</v>
      </c>
      <c r="L12" s="141" t="s">
        <v>62</v>
      </c>
      <c r="M12" s="141" t="s">
        <v>434</v>
      </c>
      <c r="N12" s="141" t="s">
        <v>240</v>
      </c>
      <c r="O12" s="141" t="s">
        <v>233</v>
      </c>
      <c r="P12" s="141" t="s">
        <v>63</v>
      </c>
    </row>
    <row r="13" spans="1:16" x14ac:dyDescent="0.2">
      <c r="A13" s="132"/>
      <c r="B13" s="120">
        <v>1</v>
      </c>
      <c r="C13" s="187" t="s">
        <v>292</v>
      </c>
      <c r="D13" s="188" t="s">
        <v>183</v>
      </c>
      <c r="E13" s="186">
        <v>2</v>
      </c>
      <c r="F13" s="189">
        <v>701</v>
      </c>
      <c r="G13" s="190"/>
      <c r="H13" s="190">
        <v>527</v>
      </c>
      <c r="I13" s="190"/>
      <c r="J13" s="191">
        <f t="shared" ref="J13:J31" si="4">+(I13+H13)</f>
        <v>527</v>
      </c>
      <c r="K13" s="190">
        <v>65</v>
      </c>
      <c r="L13" s="191">
        <f t="shared" ref="L13:L31" si="5">J13+K13</f>
        <v>592</v>
      </c>
      <c r="M13" s="190">
        <v>651</v>
      </c>
      <c r="N13" s="191">
        <f t="shared" ref="N13:N31" si="6">M13-$K13</f>
        <v>586</v>
      </c>
      <c r="O13" s="190">
        <v>683</v>
      </c>
      <c r="P13" s="191">
        <f t="shared" ref="P13:P31" si="7">O13-$K13</f>
        <v>618</v>
      </c>
    </row>
    <row r="14" spans="1:16" x14ac:dyDescent="0.2">
      <c r="A14" s="132"/>
      <c r="B14" s="120">
        <f>+B13+1</f>
        <v>2</v>
      </c>
      <c r="C14" s="187" t="s">
        <v>292</v>
      </c>
      <c r="D14" s="188" t="s">
        <v>144</v>
      </c>
      <c r="E14" s="186">
        <v>0</v>
      </c>
      <c r="F14" s="189">
        <v>701</v>
      </c>
      <c r="G14" s="192"/>
      <c r="H14" s="192">
        <v>0</v>
      </c>
      <c r="I14" s="192"/>
      <c r="J14" s="193">
        <f t="shared" si="4"/>
        <v>0</v>
      </c>
      <c r="K14" s="192">
        <v>65</v>
      </c>
      <c r="L14" s="193">
        <f t="shared" si="5"/>
        <v>65</v>
      </c>
      <c r="M14" s="192">
        <v>781</v>
      </c>
      <c r="N14" s="193">
        <f t="shared" si="6"/>
        <v>716</v>
      </c>
      <c r="O14" s="190">
        <v>683</v>
      </c>
      <c r="P14" s="191">
        <f t="shared" si="7"/>
        <v>618</v>
      </c>
    </row>
    <row r="15" spans="1:16" x14ac:dyDescent="0.2">
      <c r="A15" s="132"/>
      <c r="B15" s="120">
        <f t="shared" ref="B15:B31" si="8">+B14+1</f>
        <v>3</v>
      </c>
      <c r="C15" s="187" t="s">
        <v>292</v>
      </c>
      <c r="D15" s="188" t="s">
        <v>418</v>
      </c>
      <c r="E15" s="194">
        <v>1</v>
      </c>
      <c r="F15" s="189">
        <v>701</v>
      </c>
      <c r="G15" s="192"/>
      <c r="H15" s="192">
        <v>593</v>
      </c>
      <c r="I15" s="192"/>
      <c r="J15" s="193">
        <f t="shared" si="4"/>
        <v>593</v>
      </c>
      <c r="K15" s="192">
        <v>0</v>
      </c>
      <c r="L15" s="193">
        <f t="shared" si="5"/>
        <v>593</v>
      </c>
      <c r="M15" s="192">
        <v>0</v>
      </c>
      <c r="N15" s="193">
        <f t="shared" si="6"/>
        <v>0</v>
      </c>
      <c r="O15" s="190">
        <v>683</v>
      </c>
      <c r="P15" s="191">
        <f t="shared" si="7"/>
        <v>683</v>
      </c>
    </row>
    <row r="16" spans="1:16" x14ac:dyDescent="0.2">
      <c r="A16" s="132"/>
      <c r="B16" s="120">
        <f t="shared" si="8"/>
        <v>4</v>
      </c>
      <c r="C16" s="187" t="s">
        <v>292</v>
      </c>
      <c r="D16" s="188" t="s">
        <v>145</v>
      </c>
      <c r="E16" s="194">
        <v>3</v>
      </c>
      <c r="F16" s="189">
        <v>701</v>
      </c>
      <c r="G16" s="192"/>
      <c r="H16" s="192">
        <v>523</v>
      </c>
      <c r="I16" s="192"/>
      <c r="J16" s="193">
        <f t="shared" si="4"/>
        <v>523</v>
      </c>
      <c r="K16" s="192">
        <v>65</v>
      </c>
      <c r="L16" s="193">
        <f t="shared" si="5"/>
        <v>588</v>
      </c>
      <c r="M16" s="192">
        <v>781</v>
      </c>
      <c r="N16" s="193">
        <f t="shared" si="6"/>
        <v>716</v>
      </c>
      <c r="O16" s="190">
        <v>683</v>
      </c>
      <c r="P16" s="191">
        <f t="shared" si="7"/>
        <v>618</v>
      </c>
    </row>
    <row r="17" spans="1:16" x14ac:dyDescent="0.2">
      <c r="A17" s="132"/>
      <c r="B17" s="120">
        <f t="shared" si="8"/>
        <v>5</v>
      </c>
      <c r="C17" s="187" t="s">
        <v>417</v>
      </c>
      <c r="D17" s="188" t="s">
        <v>419</v>
      </c>
      <c r="E17" s="194">
        <v>1</v>
      </c>
      <c r="F17" s="189">
        <v>940</v>
      </c>
      <c r="G17" s="192"/>
      <c r="H17" s="192">
        <v>465</v>
      </c>
      <c r="I17" s="192"/>
      <c r="J17" s="193">
        <f t="shared" si="4"/>
        <v>465</v>
      </c>
      <c r="K17" s="192">
        <v>86</v>
      </c>
      <c r="L17" s="193">
        <f t="shared" si="5"/>
        <v>551</v>
      </c>
      <c r="M17" s="192">
        <v>539</v>
      </c>
      <c r="N17" s="193">
        <f t="shared" si="6"/>
        <v>453</v>
      </c>
      <c r="O17" s="190">
        <v>778</v>
      </c>
      <c r="P17" s="191">
        <f t="shared" si="7"/>
        <v>692</v>
      </c>
    </row>
    <row r="18" spans="1:16" x14ac:dyDescent="0.2">
      <c r="A18" s="132"/>
      <c r="B18" s="120">
        <f t="shared" si="8"/>
        <v>6</v>
      </c>
      <c r="C18" s="187" t="s">
        <v>417</v>
      </c>
      <c r="D18" s="188" t="str">
        <f>+D13</f>
        <v>50% AMI</v>
      </c>
      <c r="E18" s="194">
        <v>3</v>
      </c>
      <c r="F18" s="189">
        <v>990</v>
      </c>
      <c r="G18" s="192"/>
      <c r="H18" s="192">
        <v>580</v>
      </c>
      <c r="I18" s="192"/>
      <c r="J18" s="193">
        <f t="shared" si="4"/>
        <v>580</v>
      </c>
      <c r="K18" s="192">
        <v>86</v>
      </c>
      <c r="L18" s="193">
        <f t="shared" si="5"/>
        <v>666</v>
      </c>
      <c r="M18" s="192">
        <v>695</v>
      </c>
      <c r="N18" s="193">
        <f t="shared" si="6"/>
        <v>609</v>
      </c>
      <c r="O18" s="192">
        <v>778</v>
      </c>
      <c r="P18" s="191">
        <f t="shared" si="7"/>
        <v>692</v>
      </c>
    </row>
    <row r="19" spans="1:16" x14ac:dyDescent="0.2">
      <c r="A19" s="132"/>
      <c r="B19" s="120">
        <f t="shared" si="8"/>
        <v>7</v>
      </c>
      <c r="C19" s="187" t="s">
        <v>417</v>
      </c>
      <c r="D19" s="188" t="str">
        <f>+D14</f>
        <v>60% AMI</v>
      </c>
      <c r="E19" s="194">
        <v>2</v>
      </c>
      <c r="F19" s="189">
        <v>980</v>
      </c>
      <c r="G19" s="192"/>
      <c r="H19" s="192">
        <v>642</v>
      </c>
      <c r="I19" s="192"/>
      <c r="J19" s="193">
        <f t="shared" si="4"/>
        <v>642</v>
      </c>
      <c r="K19" s="192">
        <v>86</v>
      </c>
      <c r="L19" s="193">
        <f t="shared" si="5"/>
        <v>728</v>
      </c>
      <c r="M19" s="192">
        <v>851</v>
      </c>
      <c r="N19" s="193">
        <f t="shared" si="6"/>
        <v>765</v>
      </c>
      <c r="O19" s="192">
        <v>778</v>
      </c>
      <c r="P19" s="191">
        <f t="shared" si="7"/>
        <v>692</v>
      </c>
    </row>
    <row r="20" spans="1:16" x14ac:dyDescent="0.2">
      <c r="A20" s="132"/>
      <c r="B20" s="120">
        <f t="shared" si="8"/>
        <v>8</v>
      </c>
      <c r="C20" s="187" t="s">
        <v>217</v>
      </c>
      <c r="D20" s="188" t="str">
        <f>+D18</f>
        <v>50% AMI</v>
      </c>
      <c r="E20" s="194">
        <v>1</v>
      </c>
      <c r="F20" s="189">
        <v>968</v>
      </c>
      <c r="G20" s="192"/>
      <c r="H20" s="192">
        <v>610</v>
      </c>
      <c r="I20" s="192"/>
      <c r="J20" s="193">
        <f t="shared" si="4"/>
        <v>610</v>
      </c>
      <c r="K20" s="192">
        <v>86</v>
      </c>
      <c r="L20" s="193">
        <f t="shared" si="5"/>
        <v>696</v>
      </c>
      <c r="M20" s="192">
        <v>695</v>
      </c>
      <c r="N20" s="193">
        <f t="shared" si="6"/>
        <v>609</v>
      </c>
      <c r="O20" s="192">
        <v>778</v>
      </c>
      <c r="P20" s="191">
        <f t="shared" si="7"/>
        <v>692</v>
      </c>
    </row>
    <row r="21" spans="1:16" x14ac:dyDescent="0.2">
      <c r="A21" s="132"/>
      <c r="B21" s="120">
        <f t="shared" si="8"/>
        <v>9</v>
      </c>
      <c r="C21" s="187" t="s">
        <v>217</v>
      </c>
      <c r="D21" s="188" t="str">
        <f>+D19</f>
        <v>60% AMI</v>
      </c>
      <c r="E21" s="194">
        <v>2</v>
      </c>
      <c r="F21" s="189">
        <v>968</v>
      </c>
      <c r="G21" s="192"/>
      <c r="H21" s="192">
        <v>635</v>
      </c>
      <c r="I21" s="192"/>
      <c r="J21" s="193">
        <f t="shared" si="4"/>
        <v>635</v>
      </c>
      <c r="K21" s="192">
        <v>86</v>
      </c>
      <c r="L21" s="193">
        <f t="shared" si="5"/>
        <v>721</v>
      </c>
      <c r="M21" s="192">
        <v>851</v>
      </c>
      <c r="N21" s="193">
        <f t="shared" si="6"/>
        <v>765</v>
      </c>
      <c r="O21" s="192">
        <v>778</v>
      </c>
      <c r="P21" s="191">
        <f t="shared" si="7"/>
        <v>692</v>
      </c>
    </row>
    <row r="22" spans="1:16" x14ac:dyDescent="0.2">
      <c r="A22" s="132"/>
      <c r="B22" s="120">
        <f t="shared" si="8"/>
        <v>10</v>
      </c>
      <c r="C22" s="187" t="s">
        <v>217</v>
      </c>
      <c r="D22" s="188" t="str">
        <f>+D15</f>
        <v>Market</v>
      </c>
      <c r="E22" s="194">
        <v>0</v>
      </c>
      <c r="F22" s="189">
        <v>968</v>
      </c>
      <c r="G22" s="192"/>
      <c r="H22" s="192">
        <v>0</v>
      </c>
      <c r="I22" s="192"/>
      <c r="J22" s="193">
        <f t="shared" si="4"/>
        <v>0</v>
      </c>
      <c r="K22" s="192">
        <v>0</v>
      </c>
      <c r="L22" s="193">
        <f t="shared" si="5"/>
        <v>0</v>
      </c>
      <c r="M22" s="192">
        <v>0</v>
      </c>
      <c r="N22" s="193">
        <f t="shared" si="6"/>
        <v>0</v>
      </c>
      <c r="O22" s="192">
        <v>778</v>
      </c>
      <c r="P22" s="191">
        <f t="shared" si="7"/>
        <v>778</v>
      </c>
    </row>
    <row r="23" spans="1:16" x14ac:dyDescent="0.2">
      <c r="A23" s="132"/>
      <c r="B23" s="120">
        <f t="shared" si="8"/>
        <v>11</v>
      </c>
      <c r="C23" s="187" t="s">
        <v>420</v>
      </c>
      <c r="D23" s="188" t="str">
        <f>+D17</f>
        <v>40% AMI</v>
      </c>
      <c r="E23" s="194">
        <v>1</v>
      </c>
      <c r="F23" s="189">
        <v>1058</v>
      </c>
      <c r="G23" s="192"/>
      <c r="H23" s="192">
        <v>450</v>
      </c>
      <c r="I23" s="192"/>
      <c r="J23" s="193">
        <f t="shared" si="4"/>
        <v>450</v>
      </c>
      <c r="K23" s="192">
        <v>86</v>
      </c>
      <c r="L23" s="193">
        <f t="shared" si="5"/>
        <v>536</v>
      </c>
      <c r="M23" s="192">
        <v>539</v>
      </c>
      <c r="N23" s="193">
        <f t="shared" si="6"/>
        <v>453</v>
      </c>
      <c r="O23" s="192">
        <v>778</v>
      </c>
      <c r="P23" s="191">
        <f t="shared" si="7"/>
        <v>692</v>
      </c>
    </row>
    <row r="24" spans="1:16" x14ac:dyDescent="0.2">
      <c r="A24" s="132"/>
      <c r="B24" s="120">
        <f t="shared" si="8"/>
        <v>12</v>
      </c>
      <c r="C24" s="187" t="s">
        <v>420</v>
      </c>
      <c r="D24" s="188" t="str">
        <f t="shared" ref="D24:D25" si="9">+D18</f>
        <v>50% AMI</v>
      </c>
      <c r="E24" s="194">
        <v>1</v>
      </c>
      <c r="F24" s="189">
        <v>1058</v>
      </c>
      <c r="G24" s="192"/>
      <c r="H24" s="192">
        <v>60</v>
      </c>
      <c r="I24" s="192"/>
      <c r="J24" s="193">
        <f t="shared" si="4"/>
        <v>60</v>
      </c>
      <c r="K24" s="192">
        <v>86</v>
      </c>
      <c r="L24" s="193">
        <f t="shared" si="5"/>
        <v>146</v>
      </c>
      <c r="M24" s="192">
        <v>695</v>
      </c>
      <c r="N24" s="193">
        <f t="shared" si="6"/>
        <v>609</v>
      </c>
      <c r="O24" s="192">
        <v>778</v>
      </c>
      <c r="P24" s="191">
        <f t="shared" si="7"/>
        <v>692</v>
      </c>
    </row>
    <row r="25" spans="1:16" x14ac:dyDescent="0.2">
      <c r="A25" s="132"/>
      <c r="B25" s="120">
        <f t="shared" si="8"/>
        <v>13</v>
      </c>
      <c r="C25" s="187" t="s">
        <v>420</v>
      </c>
      <c r="D25" s="188" t="str">
        <f t="shared" si="9"/>
        <v>60% AMI</v>
      </c>
      <c r="E25" s="194">
        <v>16</v>
      </c>
      <c r="F25" s="189">
        <v>1058</v>
      </c>
      <c r="G25" s="192"/>
      <c r="H25" s="192">
        <v>690</v>
      </c>
      <c r="I25" s="192"/>
      <c r="J25" s="193">
        <f t="shared" si="4"/>
        <v>690</v>
      </c>
      <c r="K25" s="192">
        <v>86</v>
      </c>
      <c r="L25" s="193">
        <f t="shared" si="5"/>
        <v>776</v>
      </c>
      <c r="M25" s="192">
        <v>851</v>
      </c>
      <c r="N25" s="193">
        <f t="shared" si="6"/>
        <v>765</v>
      </c>
      <c r="O25" s="192">
        <v>778</v>
      </c>
      <c r="P25" s="191">
        <f t="shared" si="7"/>
        <v>692</v>
      </c>
    </row>
    <row r="26" spans="1:16" ht="13.5" customHeight="1" x14ac:dyDescent="0.2">
      <c r="A26" s="132"/>
      <c r="B26" s="120">
        <f t="shared" si="8"/>
        <v>14</v>
      </c>
      <c r="C26" s="187" t="s">
        <v>420</v>
      </c>
      <c r="D26" s="188" t="str">
        <f>+D15</f>
        <v>Market</v>
      </c>
      <c r="E26" s="194">
        <v>1</v>
      </c>
      <c r="F26" s="189">
        <v>1058</v>
      </c>
      <c r="G26" s="192"/>
      <c r="H26" s="192">
        <v>750</v>
      </c>
      <c r="I26" s="192"/>
      <c r="J26" s="193">
        <f t="shared" si="4"/>
        <v>750</v>
      </c>
      <c r="K26" s="192">
        <v>0</v>
      </c>
      <c r="L26" s="193">
        <f t="shared" si="5"/>
        <v>750</v>
      </c>
      <c r="M26" s="192">
        <v>0</v>
      </c>
      <c r="N26" s="193">
        <f t="shared" si="6"/>
        <v>0</v>
      </c>
      <c r="O26" s="192">
        <v>778</v>
      </c>
      <c r="P26" s="191">
        <f t="shared" si="7"/>
        <v>778</v>
      </c>
    </row>
    <row r="27" spans="1:16" x14ac:dyDescent="0.2">
      <c r="A27" s="132"/>
      <c r="B27" s="120">
        <f t="shared" si="8"/>
        <v>15</v>
      </c>
      <c r="C27" s="187" t="s">
        <v>421</v>
      </c>
      <c r="D27" s="188" t="str">
        <f>+D16</f>
        <v>S8 Voucher</v>
      </c>
      <c r="E27" s="194">
        <v>18</v>
      </c>
      <c r="F27" s="189"/>
      <c r="G27" s="192"/>
      <c r="H27" s="192">
        <v>736</v>
      </c>
      <c r="I27" s="192"/>
      <c r="J27" s="193">
        <f t="shared" si="4"/>
        <v>736</v>
      </c>
      <c r="K27" s="192">
        <v>86</v>
      </c>
      <c r="L27" s="193">
        <f t="shared" si="5"/>
        <v>822</v>
      </c>
      <c r="M27" s="192">
        <v>851</v>
      </c>
      <c r="N27" s="193">
        <f t="shared" si="6"/>
        <v>765</v>
      </c>
      <c r="O27" s="192">
        <v>778</v>
      </c>
      <c r="P27" s="191">
        <f t="shared" si="7"/>
        <v>692</v>
      </c>
    </row>
    <row r="28" spans="1:16" x14ac:dyDescent="0.2">
      <c r="A28" s="132"/>
      <c r="B28" s="120">
        <f t="shared" si="8"/>
        <v>16</v>
      </c>
      <c r="C28" s="187" t="s">
        <v>422</v>
      </c>
      <c r="D28" s="188" t="str">
        <f>+D24</f>
        <v>50% AMI</v>
      </c>
      <c r="E28" s="194">
        <v>2</v>
      </c>
      <c r="F28" s="189">
        <v>1296</v>
      </c>
      <c r="G28" s="192"/>
      <c r="H28" s="192">
        <v>680</v>
      </c>
      <c r="I28" s="192"/>
      <c r="J28" s="193">
        <f t="shared" si="4"/>
        <v>680</v>
      </c>
      <c r="K28" s="192">
        <v>107</v>
      </c>
      <c r="L28" s="193">
        <f t="shared" si="5"/>
        <v>787</v>
      </c>
      <c r="M28" s="192">
        <v>795</v>
      </c>
      <c r="N28" s="193">
        <f t="shared" si="6"/>
        <v>688</v>
      </c>
      <c r="O28" s="192">
        <v>1023</v>
      </c>
      <c r="P28" s="191">
        <f t="shared" si="7"/>
        <v>916</v>
      </c>
    </row>
    <row r="29" spans="1:16" x14ac:dyDescent="0.2">
      <c r="A29" s="132"/>
      <c r="B29" s="120">
        <f t="shared" si="8"/>
        <v>17</v>
      </c>
      <c r="C29" s="187" t="s">
        <v>422</v>
      </c>
      <c r="D29" s="188" t="str">
        <f>+D25</f>
        <v>60% AMI</v>
      </c>
      <c r="E29" s="194">
        <v>7</v>
      </c>
      <c r="F29" s="189">
        <v>1296</v>
      </c>
      <c r="G29" s="192"/>
      <c r="H29" s="192">
        <v>696</v>
      </c>
      <c r="I29" s="192"/>
      <c r="J29" s="193">
        <f t="shared" si="4"/>
        <v>696</v>
      </c>
      <c r="K29" s="192">
        <v>107</v>
      </c>
      <c r="L29" s="193">
        <f t="shared" si="5"/>
        <v>803</v>
      </c>
      <c r="M29" s="192">
        <v>976</v>
      </c>
      <c r="N29" s="193">
        <f t="shared" si="6"/>
        <v>869</v>
      </c>
      <c r="O29" s="192">
        <v>1023</v>
      </c>
      <c r="P29" s="191">
        <f t="shared" si="7"/>
        <v>916</v>
      </c>
    </row>
    <row r="30" spans="1:16" x14ac:dyDescent="0.2">
      <c r="A30" s="132"/>
      <c r="B30" s="120">
        <f t="shared" si="8"/>
        <v>18</v>
      </c>
      <c r="C30" s="187" t="s">
        <v>422</v>
      </c>
      <c r="D30" s="188" t="str">
        <f>+D26</f>
        <v>Market</v>
      </c>
      <c r="E30" s="194">
        <v>0</v>
      </c>
      <c r="F30" s="189">
        <v>1296</v>
      </c>
      <c r="G30" s="192"/>
      <c r="H30" s="192">
        <v>0</v>
      </c>
      <c r="I30" s="192"/>
      <c r="J30" s="193">
        <f t="shared" si="4"/>
        <v>0</v>
      </c>
      <c r="K30" s="192">
        <v>0</v>
      </c>
      <c r="L30" s="193">
        <f t="shared" si="5"/>
        <v>0</v>
      </c>
      <c r="M30" s="192">
        <v>0</v>
      </c>
      <c r="N30" s="193">
        <f t="shared" si="6"/>
        <v>0</v>
      </c>
      <c r="O30" s="192">
        <v>1023</v>
      </c>
      <c r="P30" s="191">
        <f>O30-$K30</f>
        <v>1023</v>
      </c>
    </row>
    <row r="31" spans="1:16" x14ac:dyDescent="0.2">
      <c r="A31" s="132"/>
      <c r="B31" s="120">
        <f t="shared" si="8"/>
        <v>19</v>
      </c>
      <c r="C31" s="187" t="s">
        <v>422</v>
      </c>
      <c r="D31" s="188" t="str">
        <f>+D27</f>
        <v>S8 Voucher</v>
      </c>
      <c r="E31" s="194">
        <v>11</v>
      </c>
      <c r="F31" s="189">
        <v>1296</v>
      </c>
      <c r="G31" s="192"/>
      <c r="H31" s="192">
        <v>828</v>
      </c>
      <c r="I31" s="192"/>
      <c r="J31" s="193">
        <f t="shared" si="4"/>
        <v>828</v>
      </c>
      <c r="K31" s="192">
        <v>107</v>
      </c>
      <c r="L31" s="193">
        <f t="shared" si="5"/>
        <v>935</v>
      </c>
      <c r="M31" s="192">
        <v>976</v>
      </c>
      <c r="N31" s="193">
        <f t="shared" si="6"/>
        <v>869</v>
      </c>
      <c r="O31" s="192">
        <v>1023</v>
      </c>
      <c r="P31" s="191">
        <f t="shared" si="7"/>
        <v>916</v>
      </c>
    </row>
    <row r="32" spans="1:16" x14ac:dyDescent="0.2">
      <c r="A32" s="132"/>
      <c r="B32" s="171" t="s">
        <v>239</v>
      </c>
      <c r="C32" s="172"/>
      <c r="D32" s="173"/>
      <c r="E32" s="174"/>
      <c r="F32" s="175"/>
      <c r="G32" s="176"/>
      <c r="H32" s="176"/>
      <c r="I32" s="176"/>
      <c r="J32" s="176"/>
      <c r="K32" s="176"/>
      <c r="L32" s="176"/>
      <c r="M32" s="176"/>
      <c r="N32" s="176"/>
      <c r="O32" s="176"/>
      <c r="P32" s="176"/>
    </row>
    <row r="33" spans="2:16" s="132" customFormat="1" x14ac:dyDescent="0.2">
      <c r="B33" s="146" t="s">
        <v>66</v>
      </c>
      <c r="C33" s="147"/>
      <c r="D33" s="147"/>
      <c r="E33" s="147"/>
      <c r="F33" s="162" t="s">
        <v>236</v>
      </c>
      <c r="G33" s="156">
        <f t="shared" ref="G33:P33" si="10">+SUMPRODUCT($E$13:$E$32,G13:G32)</f>
        <v>0</v>
      </c>
      <c r="H33" s="156">
        <f>+SUMPRODUCT($E$13:$E$32,H13:H32)</f>
        <v>49473</v>
      </c>
      <c r="I33" s="156">
        <f t="shared" si="10"/>
        <v>0</v>
      </c>
      <c r="J33" s="156">
        <f t="shared" si="10"/>
        <v>49473</v>
      </c>
      <c r="K33" s="156">
        <f t="shared" si="10"/>
        <v>6335</v>
      </c>
      <c r="L33" s="156">
        <f t="shared" si="10"/>
        <v>55808</v>
      </c>
      <c r="M33" s="156">
        <f t="shared" si="10"/>
        <v>59694</v>
      </c>
      <c r="N33" s="156">
        <f t="shared" si="10"/>
        <v>53359</v>
      </c>
      <c r="O33" s="156">
        <f t="shared" si="10"/>
        <v>60346</v>
      </c>
      <c r="P33" s="157">
        <f t="shared" si="10"/>
        <v>54011</v>
      </c>
    </row>
    <row r="34" spans="2:16" s="132" customFormat="1" x14ac:dyDescent="0.2">
      <c r="B34" s="148" t="s">
        <v>225</v>
      </c>
      <c r="C34" s="149"/>
      <c r="D34" s="149"/>
      <c r="E34" s="149"/>
      <c r="F34" s="163" t="s">
        <v>236</v>
      </c>
      <c r="G34" s="158">
        <f t="shared" ref="G34:P34" si="11">G33*12</f>
        <v>0</v>
      </c>
      <c r="H34" s="158">
        <f t="shared" si="11"/>
        <v>593676</v>
      </c>
      <c r="I34" s="158">
        <f t="shared" si="11"/>
        <v>0</v>
      </c>
      <c r="J34" s="158">
        <f t="shared" si="11"/>
        <v>593676</v>
      </c>
      <c r="K34" s="158">
        <f t="shared" si="11"/>
        <v>76020</v>
      </c>
      <c r="L34" s="158">
        <f t="shared" si="11"/>
        <v>669696</v>
      </c>
      <c r="M34" s="158">
        <f t="shared" si="11"/>
        <v>716328</v>
      </c>
      <c r="N34" s="158">
        <f t="shared" si="11"/>
        <v>640308</v>
      </c>
      <c r="O34" s="158">
        <f t="shared" si="11"/>
        <v>724152</v>
      </c>
      <c r="P34" s="159">
        <f t="shared" si="11"/>
        <v>648132</v>
      </c>
    </row>
    <row r="35" spans="2:16" s="132" customFormat="1" ht="5.0999999999999996" customHeight="1" x14ac:dyDescent="0.2">
      <c r="B35" s="150"/>
      <c r="C35" s="149"/>
      <c r="D35" s="149"/>
      <c r="E35" s="149"/>
      <c r="F35" s="149"/>
      <c r="G35" s="151"/>
      <c r="H35" s="151"/>
      <c r="I35" s="151"/>
      <c r="J35" s="151"/>
      <c r="K35" s="151"/>
      <c r="L35" s="151"/>
      <c r="M35" s="151"/>
      <c r="N35" s="151"/>
      <c r="O35" s="151"/>
      <c r="P35" s="152"/>
    </row>
    <row r="36" spans="2:16" s="132" customFormat="1" x14ac:dyDescent="0.2">
      <c r="B36" s="153" t="s">
        <v>234</v>
      </c>
      <c r="C36" s="154"/>
      <c r="D36" s="154"/>
      <c r="E36" s="154"/>
      <c r="F36" s="155">
        <f>+SUMPRODUCT(F13:F32,$E$13:$E$32)/$C$6</f>
        <v>819.47222222222217</v>
      </c>
      <c r="G36" s="160">
        <f>+SUMPRODUCT(G13:G32,$E$13:$E$32)/$C$6</f>
        <v>0</v>
      </c>
      <c r="H36" s="160">
        <f>+SUMPRODUCT(H13:H32,$E$13:$E$32)/$C$6</f>
        <v>687.125</v>
      </c>
      <c r="I36" s="160"/>
      <c r="J36" s="160">
        <f t="shared" ref="J36:P36" si="12">+SUMPRODUCT(J13:J32,$E$13:$E$32)/$C$6</f>
        <v>687.125</v>
      </c>
      <c r="K36" s="160">
        <f t="shared" si="12"/>
        <v>87.986111111111114</v>
      </c>
      <c r="L36" s="160">
        <f t="shared" si="12"/>
        <v>775.11111111111109</v>
      </c>
      <c r="M36" s="160">
        <f t="shared" si="12"/>
        <v>829.08333333333337</v>
      </c>
      <c r="N36" s="160">
        <f t="shared" si="12"/>
        <v>741.09722222222217</v>
      </c>
      <c r="O36" s="160">
        <f t="shared" si="12"/>
        <v>838.13888888888891</v>
      </c>
      <c r="P36" s="161">
        <f t="shared" si="12"/>
        <v>750.15277777777783</v>
      </c>
    </row>
    <row r="37" spans="2:16" s="132" customFormat="1" x14ac:dyDescent="0.2">
      <c r="C37" s="121"/>
      <c r="D37" s="121"/>
      <c r="E37" s="121"/>
      <c r="F37" s="121"/>
      <c r="G37" s="125"/>
      <c r="H37" s="125"/>
      <c r="I37" s="125"/>
      <c r="J37" s="125"/>
      <c r="K37" s="125"/>
      <c r="L37" s="125"/>
      <c r="M37" s="125"/>
    </row>
    <row r="38" spans="2:16" s="132" customFormat="1" x14ac:dyDescent="0.2">
      <c r="C38" s="121"/>
      <c r="D38" s="121"/>
      <c r="E38" s="121"/>
      <c r="F38" s="121"/>
      <c r="G38" s="125"/>
      <c r="H38" s="125"/>
      <c r="I38" s="125"/>
      <c r="J38" s="125"/>
      <c r="K38" s="125"/>
      <c r="L38" s="125"/>
      <c r="M38" s="125"/>
    </row>
    <row r="39" spans="2:16" s="132" customFormat="1" ht="12.75" customHeight="1" x14ac:dyDescent="0.2"/>
    <row r="40" spans="2:16" s="132" customFormat="1" ht="12.75" customHeight="1" x14ac:dyDescent="0.2"/>
    <row r="41" spans="2:16" s="132" customFormat="1" ht="12.75" customHeight="1" x14ac:dyDescent="0.2"/>
    <row r="42" spans="2:16" s="132" customFormat="1" ht="12.75" customHeight="1" x14ac:dyDescent="0.2"/>
    <row r="43" spans="2:16" s="132" customFormat="1" ht="12.75" customHeight="1" x14ac:dyDescent="0.2"/>
    <row r="44" spans="2:16" s="132" customFormat="1" ht="12.75" customHeight="1" x14ac:dyDescent="0.2"/>
    <row r="45" spans="2:16" s="132" customFormat="1" ht="12.75" customHeight="1" x14ac:dyDescent="0.2"/>
    <row r="46" spans="2:16" s="132" customFormat="1" ht="12.75" customHeight="1" x14ac:dyDescent="0.2"/>
    <row r="47" spans="2:16" s="132" customFormat="1" ht="12.75" customHeight="1" x14ac:dyDescent="0.2"/>
    <row r="48" spans="2:16" s="132" customFormat="1" ht="12.75" customHeight="1" x14ac:dyDescent="0.2"/>
    <row r="49" spans="1:8" ht="12.75" customHeight="1" x14ac:dyDescent="0.2">
      <c r="A49" s="123"/>
      <c r="B49" s="123"/>
      <c r="C49" s="123"/>
      <c r="D49" s="123"/>
      <c r="E49" s="123"/>
      <c r="F49" s="123"/>
      <c r="G49" s="123"/>
      <c r="H49" s="132"/>
    </row>
    <row r="50" spans="1:8" ht="12.75" customHeight="1" x14ac:dyDescent="0.2">
      <c r="A50" s="131"/>
      <c r="B50" s="123"/>
      <c r="C50" s="123"/>
      <c r="D50" s="123"/>
      <c r="E50" s="123"/>
      <c r="F50" s="123"/>
      <c r="G50" s="123"/>
      <c r="H50" s="123"/>
    </row>
    <row r="51" spans="1:8" ht="12.75" customHeight="1" x14ac:dyDescent="0.2">
      <c r="A51" s="132"/>
      <c r="B51" s="132"/>
      <c r="C51" s="132"/>
      <c r="D51" s="132"/>
      <c r="E51" s="124"/>
      <c r="F51" s="124"/>
      <c r="H51" s="123"/>
    </row>
    <row r="52" spans="1:8" x14ac:dyDescent="0.2">
      <c r="A52" s="132"/>
      <c r="B52" s="132"/>
      <c r="C52" s="132"/>
      <c r="D52" s="132"/>
      <c r="E52" s="124"/>
    </row>
    <row r="53" spans="1:8" x14ac:dyDescent="0.2">
      <c r="A53" s="132"/>
      <c r="B53" s="132"/>
      <c r="C53" s="132"/>
      <c r="D53" s="132"/>
      <c r="E53" s="124"/>
      <c r="H53" s="132"/>
    </row>
    <row r="54" spans="1:8" x14ac:dyDescent="0.2">
      <c r="A54" s="132"/>
      <c r="B54" s="132"/>
      <c r="C54" s="132"/>
      <c r="D54" s="132"/>
      <c r="E54" s="124"/>
      <c r="F54" s="124"/>
      <c r="H54" s="132"/>
    </row>
    <row r="55" spans="1:8" x14ac:dyDescent="0.2">
      <c r="A55" s="132"/>
      <c r="B55" s="132"/>
      <c r="C55" s="132"/>
      <c r="D55" s="132"/>
      <c r="E55" s="124"/>
      <c r="F55" s="124"/>
    </row>
    <row r="56" spans="1:8" x14ac:dyDescent="0.2">
      <c r="A56" s="132"/>
      <c r="B56" s="132"/>
      <c r="C56" s="132"/>
      <c r="D56" s="132"/>
      <c r="E56" s="124"/>
      <c r="F56" s="124"/>
    </row>
    <row r="57" spans="1:8" x14ac:dyDescent="0.2">
      <c r="A57" s="132"/>
      <c r="B57" s="132"/>
      <c r="C57" s="132"/>
      <c r="D57" s="132"/>
      <c r="E57" s="124"/>
      <c r="F57" s="124"/>
    </row>
    <row r="58" spans="1:8" x14ac:dyDescent="0.2">
      <c r="A58" s="132"/>
      <c r="B58" s="132"/>
      <c r="C58" s="132"/>
      <c r="D58" s="132"/>
      <c r="E58" s="124"/>
      <c r="F58" s="124"/>
    </row>
    <row r="59" spans="1:8" x14ac:dyDescent="0.2">
      <c r="E59" s="124"/>
      <c r="F59" s="124"/>
    </row>
    <row r="60" spans="1:8" x14ac:dyDescent="0.2">
      <c r="E60" s="124"/>
      <c r="F60" s="124"/>
    </row>
    <row r="61" spans="1:8" x14ac:dyDescent="0.2">
      <c r="E61" s="124"/>
      <c r="F61" s="124"/>
    </row>
    <row r="62" spans="1:8" x14ac:dyDescent="0.2">
      <c r="E62" s="124"/>
      <c r="F62" s="124"/>
    </row>
    <row r="63" spans="1:8" x14ac:dyDescent="0.2">
      <c r="E63" s="124"/>
      <c r="F63" s="124"/>
    </row>
    <row r="64" spans="1:8" x14ac:dyDescent="0.2">
      <c r="E64" s="124"/>
      <c r="F64" s="124"/>
    </row>
    <row r="65" spans="5:6" x14ac:dyDescent="0.2">
      <c r="E65" s="124"/>
      <c r="F65" s="124"/>
    </row>
    <row r="66" spans="5:6" x14ac:dyDescent="0.2">
      <c r="E66" s="124"/>
      <c r="F66" s="124"/>
    </row>
    <row r="67" spans="5:6" x14ac:dyDescent="0.2">
      <c r="E67" s="124"/>
      <c r="F67" s="124"/>
    </row>
    <row r="68" spans="5:6" x14ac:dyDescent="0.2">
      <c r="E68" s="124"/>
      <c r="F68" s="124"/>
    </row>
    <row r="69" spans="5:6" x14ac:dyDescent="0.2">
      <c r="E69" s="124"/>
      <c r="F69" s="124"/>
    </row>
    <row r="70" spans="5:6" x14ac:dyDescent="0.2">
      <c r="E70" s="124"/>
      <c r="F70" s="124"/>
    </row>
    <row r="71" spans="5:6" x14ac:dyDescent="0.2">
      <c r="E71" s="124"/>
      <c r="F71" s="124"/>
    </row>
    <row r="72" spans="5:6" x14ac:dyDescent="0.2">
      <c r="E72" s="124"/>
      <c r="F72" s="124"/>
    </row>
    <row r="73" spans="5:6" x14ac:dyDescent="0.2">
      <c r="E73" s="124"/>
      <c r="F73" s="124"/>
    </row>
    <row r="74" spans="5:6" x14ac:dyDescent="0.2">
      <c r="E74" s="124"/>
      <c r="F74" s="124"/>
    </row>
    <row r="75" spans="5:6" x14ac:dyDescent="0.2">
      <c r="E75" s="124"/>
      <c r="F75" s="124"/>
    </row>
    <row r="76" spans="5:6" x14ac:dyDescent="0.2">
      <c r="E76" s="124"/>
      <c r="F76" s="124"/>
    </row>
    <row r="77" spans="5:6" x14ac:dyDescent="0.2">
      <c r="E77" s="124"/>
      <c r="F77" s="124"/>
    </row>
    <row r="78" spans="5:6" x14ac:dyDescent="0.2">
      <c r="E78" s="124"/>
      <c r="F78" s="124"/>
    </row>
    <row r="79" spans="5:6" x14ac:dyDescent="0.2">
      <c r="E79" s="124"/>
      <c r="F79" s="124"/>
    </row>
    <row r="80" spans="5:6" x14ac:dyDescent="0.2">
      <c r="E80" s="124"/>
      <c r="F80" s="124"/>
    </row>
    <row r="81" spans="5:6" x14ac:dyDescent="0.2">
      <c r="E81" s="124"/>
      <c r="F81" s="124"/>
    </row>
    <row r="82" spans="5:6" x14ac:dyDescent="0.2">
      <c r="E82" s="124"/>
      <c r="F82" s="124"/>
    </row>
    <row r="83" spans="5:6" x14ac:dyDescent="0.2">
      <c r="E83" s="124"/>
      <c r="F83" s="124"/>
    </row>
    <row r="84" spans="5:6" x14ac:dyDescent="0.2">
      <c r="E84" s="124"/>
      <c r="F84" s="124"/>
    </row>
    <row r="85" spans="5:6" x14ac:dyDescent="0.2">
      <c r="E85" s="124"/>
      <c r="F85" s="124"/>
    </row>
    <row r="86" spans="5:6" x14ac:dyDescent="0.2">
      <c r="E86" s="124"/>
      <c r="F86" s="124"/>
    </row>
    <row r="87" spans="5:6" x14ac:dyDescent="0.2">
      <c r="E87" s="124"/>
      <c r="F87" s="124"/>
    </row>
    <row r="88" spans="5:6" x14ac:dyDescent="0.2">
      <c r="E88" s="124"/>
      <c r="F88" s="124"/>
    </row>
    <row r="89" spans="5:6" x14ac:dyDescent="0.2">
      <c r="E89" s="124"/>
      <c r="F89" s="124"/>
    </row>
    <row r="90" spans="5:6" x14ac:dyDescent="0.2">
      <c r="E90" s="124"/>
      <c r="F90" s="124"/>
    </row>
    <row r="91" spans="5:6" x14ac:dyDescent="0.2">
      <c r="E91" s="124"/>
      <c r="F91" s="124"/>
    </row>
    <row r="92" spans="5:6" x14ac:dyDescent="0.2">
      <c r="E92" s="124"/>
      <c r="F92" s="124"/>
    </row>
    <row r="93" spans="5:6" x14ac:dyDescent="0.2">
      <c r="E93" s="124"/>
      <c r="F93" s="124"/>
    </row>
    <row r="94" spans="5:6" x14ac:dyDescent="0.2">
      <c r="E94" s="124"/>
      <c r="F94" s="124"/>
    </row>
    <row r="95" spans="5:6" x14ac:dyDescent="0.2">
      <c r="E95" s="124"/>
      <c r="F95" s="124"/>
    </row>
    <row r="96" spans="5:6" x14ac:dyDescent="0.2">
      <c r="E96" s="124"/>
      <c r="F96" s="124"/>
    </row>
    <row r="97" spans="1:11" x14ac:dyDescent="0.2">
      <c r="E97" s="124"/>
      <c r="F97" s="124"/>
    </row>
    <row r="98" spans="1:11" x14ac:dyDescent="0.2">
      <c r="E98" s="124"/>
      <c r="F98" s="124"/>
    </row>
    <row r="99" spans="1:11" x14ac:dyDescent="0.2">
      <c r="E99" s="124"/>
      <c r="F99" s="124"/>
    </row>
    <row r="100" spans="1:11" x14ac:dyDescent="0.2">
      <c r="E100" s="124"/>
      <c r="F100" s="124"/>
    </row>
    <row r="101" spans="1:11" x14ac:dyDescent="0.2">
      <c r="E101" s="124"/>
      <c r="F101" s="124"/>
      <c r="I101" s="120"/>
      <c r="J101" s="120"/>
      <c r="K101" s="120"/>
    </row>
    <row r="102" spans="1:11" x14ac:dyDescent="0.2">
      <c r="E102" s="124"/>
      <c r="F102" s="124"/>
      <c r="I102" s="120"/>
      <c r="J102" s="120"/>
      <c r="K102" s="120"/>
    </row>
    <row r="103" spans="1:11" x14ac:dyDescent="0.2">
      <c r="E103" s="124"/>
      <c r="F103" s="124"/>
    </row>
    <row r="104" spans="1:11" x14ac:dyDescent="0.2">
      <c r="E104" s="124"/>
      <c r="F104" s="124"/>
    </row>
    <row r="105" spans="1:11" s="120" customFormat="1" x14ac:dyDescent="0.2">
      <c r="A105" s="121"/>
      <c r="B105" s="125"/>
      <c r="C105" s="125"/>
      <c r="D105" s="125"/>
      <c r="E105" s="124"/>
      <c r="F105" s="124"/>
      <c r="G105" s="125"/>
      <c r="H105" s="125"/>
      <c r="I105" s="132"/>
      <c r="J105" s="132"/>
      <c r="K105" s="132"/>
    </row>
    <row r="106" spans="1:11" s="120" customFormat="1" x14ac:dyDescent="0.2">
      <c r="A106" s="121"/>
      <c r="B106" s="125"/>
      <c r="C106" s="125"/>
      <c r="D106" s="125"/>
      <c r="E106" s="124"/>
      <c r="F106" s="124"/>
      <c r="G106" s="125"/>
      <c r="H106" s="125"/>
      <c r="I106" s="132"/>
      <c r="J106" s="132"/>
      <c r="K106" s="132"/>
    </row>
    <row r="107" spans="1:11" x14ac:dyDescent="0.2">
      <c r="E107" s="124"/>
      <c r="F107" s="124"/>
    </row>
    <row r="108" spans="1:11" x14ac:dyDescent="0.2">
      <c r="E108" s="124"/>
      <c r="F108" s="124"/>
    </row>
    <row r="109" spans="1:11" x14ac:dyDescent="0.2">
      <c r="E109" s="124"/>
      <c r="F109" s="124"/>
    </row>
    <row r="110" spans="1:11" x14ac:dyDescent="0.2">
      <c r="E110" s="124"/>
      <c r="F110" s="124"/>
    </row>
    <row r="111" spans="1:11" x14ac:dyDescent="0.2">
      <c r="E111" s="124"/>
      <c r="F111" s="124"/>
    </row>
    <row r="112" spans="1:11" x14ac:dyDescent="0.2">
      <c r="E112" s="124"/>
      <c r="F112" s="124"/>
    </row>
    <row r="113" spans="5:6" x14ac:dyDescent="0.2">
      <c r="E113" s="124"/>
      <c r="F113" s="124"/>
    </row>
    <row r="114" spans="5:6" x14ac:dyDescent="0.2">
      <c r="E114" s="124"/>
      <c r="F114" s="124"/>
    </row>
    <row r="115" spans="5:6" x14ac:dyDescent="0.2">
      <c r="E115" s="124"/>
      <c r="F115" s="124"/>
    </row>
    <row r="116" spans="5:6" x14ac:dyDescent="0.2">
      <c r="E116" s="124"/>
      <c r="F116" s="124"/>
    </row>
    <row r="117" spans="5:6" x14ac:dyDescent="0.2">
      <c r="E117" s="124"/>
      <c r="F117" s="124"/>
    </row>
    <row r="118" spans="5:6" x14ac:dyDescent="0.2">
      <c r="E118" s="124"/>
      <c r="F118" s="124"/>
    </row>
    <row r="119" spans="5:6" x14ac:dyDescent="0.2">
      <c r="E119" s="124"/>
      <c r="F119" s="124"/>
    </row>
    <row r="120" spans="5:6" x14ac:dyDescent="0.2">
      <c r="E120" s="124"/>
      <c r="F120" s="124"/>
    </row>
    <row r="121" spans="5:6" x14ac:dyDescent="0.2">
      <c r="E121" s="124"/>
      <c r="F121" s="124"/>
    </row>
    <row r="122" spans="5:6" x14ac:dyDescent="0.2">
      <c r="E122" s="124"/>
      <c r="F122" s="124"/>
    </row>
    <row r="123" spans="5:6" x14ac:dyDescent="0.2">
      <c r="E123" s="124"/>
      <c r="F123" s="124"/>
    </row>
    <row r="124" spans="5:6" x14ac:dyDescent="0.2">
      <c r="E124" s="124"/>
      <c r="F124" s="124"/>
    </row>
    <row r="125" spans="5:6" x14ac:dyDescent="0.2">
      <c r="E125" s="124"/>
      <c r="F125" s="124"/>
    </row>
    <row r="126" spans="5:6" x14ac:dyDescent="0.2">
      <c r="E126" s="124"/>
      <c r="F126" s="124"/>
    </row>
    <row r="127" spans="5:6" x14ac:dyDescent="0.2">
      <c r="E127" s="124"/>
      <c r="F127" s="124"/>
    </row>
    <row r="128" spans="5:6" x14ac:dyDescent="0.2">
      <c r="E128" s="124"/>
      <c r="F128" s="124"/>
    </row>
    <row r="129" spans="5:6" x14ac:dyDescent="0.2">
      <c r="E129" s="124"/>
      <c r="F129" s="124"/>
    </row>
    <row r="130" spans="5:6" x14ac:dyDescent="0.2">
      <c r="E130" s="124"/>
      <c r="F130" s="124"/>
    </row>
    <row r="131" spans="5:6" x14ac:dyDescent="0.2">
      <c r="E131" s="124"/>
      <c r="F131" s="124"/>
    </row>
    <row r="132" spans="5:6" x14ac:dyDescent="0.2">
      <c r="E132" s="124"/>
      <c r="F132" s="124"/>
    </row>
    <row r="133" spans="5:6" x14ac:dyDescent="0.2">
      <c r="E133" s="124"/>
      <c r="F133" s="124"/>
    </row>
    <row r="134" spans="5:6" x14ac:dyDescent="0.2">
      <c r="E134" s="124"/>
      <c r="F134" s="124"/>
    </row>
    <row r="135" spans="5:6" x14ac:dyDescent="0.2">
      <c r="E135" s="124"/>
      <c r="F135" s="124"/>
    </row>
    <row r="136" spans="5:6" x14ac:dyDescent="0.2">
      <c r="E136" s="124"/>
      <c r="F136" s="124"/>
    </row>
    <row r="137" spans="5:6" x14ac:dyDescent="0.2">
      <c r="E137" s="124"/>
      <c r="F137" s="124"/>
    </row>
    <row r="138" spans="5:6" x14ac:dyDescent="0.2">
      <c r="E138" s="124"/>
      <c r="F138" s="124"/>
    </row>
    <row r="139" spans="5:6" x14ac:dyDescent="0.2">
      <c r="E139" s="124"/>
      <c r="F139" s="124"/>
    </row>
    <row r="140" spans="5:6" x14ac:dyDescent="0.2">
      <c r="E140" s="124"/>
      <c r="F140" s="124"/>
    </row>
    <row r="141" spans="5:6" x14ac:dyDescent="0.2">
      <c r="E141" s="124"/>
      <c r="F141" s="124"/>
    </row>
    <row r="142" spans="5:6" x14ac:dyDescent="0.2">
      <c r="E142" s="124"/>
      <c r="F142" s="124"/>
    </row>
    <row r="143" spans="5:6" x14ac:dyDescent="0.2">
      <c r="E143" s="124"/>
      <c r="F143" s="124"/>
    </row>
    <row r="144" spans="5:6" x14ac:dyDescent="0.2">
      <c r="E144" s="124"/>
      <c r="F144" s="124"/>
    </row>
    <row r="145" spans="5:6" x14ac:dyDescent="0.2">
      <c r="E145" s="124"/>
      <c r="F145" s="124"/>
    </row>
    <row r="146" spans="5:6" x14ac:dyDescent="0.2">
      <c r="E146" s="124"/>
      <c r="F146" s="124"/>
    </row>
    <row r="147" spans="5:6" x14ac:dyDescent="0.2">
      <c r="E147" s="124"/>
      <c r="F147" s="124"/>
    </row>
    <row r="148" spans="5:6" x14ac:dyDescent="0.2">
      <c r="E148" s="124"/>
      <c r="F148" s="124"/>
    </row>
    <row r="149" spans="5:6" x14ac:dyDescent="0.2">
      <c r="E149" s="124"/>
      <c r="F149" s="124"/>
    </row>
    <row r="150" spans="5:6" x14ac:dyDescent="0.2">
      <c r="E150" s="124"/>
      <c r="F150" s="124"/>
    </row>
    <row r="151" spans="5:6" x14ac:dyDescent="0.2">
      <c r="E151" s="124"/>
      <c r="F151" s="124"/>
    </row>
    <row r="152" spans="5:6" x14ac:dyDescent="0.2">
      <c r="E152" s="124"/>
      <c r="F152" s="124"/>
    </row>
    <row r="153" spans="5:6" x14ac:dyDescent="0.2">
      <c r="E153" s="124"/>
      <c r="F153" s="124"/>
    </row>
    <row r="154" spans="5:6" x14ac:dyDescent="0.2">
      <c r="E154" s="124"/>
      <c r="F154" s="124"/>
    </row>
    <row r="155" spans="5:6" x14ac:dyDescent="0.2">
      <c r="E155" s="124"/>
      <c r="F155" s="124"/>
    </row>
    <row r="156" spans="5:6" x14ac:dyDescent="0.2">
      <c r="E156" s="124"/>
      <c r="F156" s="124"/>
    </row>
    <row r="157" spans="5:6" x14ac:dyDescent="0.2">
      <c r="E157" s="124"/>
      <c r="F157" s="124"/>
    </row>
    <row r="158" spans="5:6" x14ac:dyDescent="0.2">
      <c r="E158" s="124"/>
      <c r="F158" s="124"/>
    </row>
    <row r="159" spans="5:6" x14ac:dyDescent="0.2">
      <c r="E159" s="124"/>
      <c r="F159" s="124"/>
    </row>
    <row r="160" spans="5:6" x14ac:dyDescent="0.2">
      <c r="E160" s="124"/>
      <c r="F160" s="124"/>
    </row>
    <row r="161" spans="5:6" x14ac:dyDescent="0.2">
      <c r="E161" s="124"/>
      <c r="F161" s="124"/>
    </row>
    <row r="162" spans="5:6" x14ac:dyDescent="0.2">
      <c r="E162" s="124"/>
      <c r="F162" s="124"/>
    </row>
    <row r="163" spans="5:6" x14ac:dyDescent="0.2">
      <c r="E163" s="124"/>
      <c r="F163" s="124"/>
    </row>
    <row r="164" spans="5:6" x14ac:dyDescent="0.2">
      <c r="E164" s="124"/>
      <c r="F164" s="124"/>
    </row>
    <row r="165" spans="5:6" x14ac:dyDescent="0.2">
      <c r="E165" s="124"/>
      <c r="F165" s="124"/>
    </row>
    <row r="166" spans="5:6" x14ac:dyDescent="0.2">
      <c r="E166" s="124"/>
      <c r="F166" s="124"/>
    </row>
    <row r="167" spans="5:6" x14ac:dyDescent="0.2">
      <c r="E167" s="124"/>
      <c r="F167" s="124"/>
    </row>
    <row r="168" spans="5:6" x14ac:dyDescent="0.2">
      <c r="E168" s="124"/>
      <c r="F168" s="124"/>
    </row>
    <row r="169" spans="5:6" x14ac:dyDescent="0.2">
      <c r="E169" s="124"/>
      <c r="F169" s="124"/>
    </row>
    <row r="170" spans="5:6" x14ac:dyDescent="0.2">
      <c r="E170" s="124"/>
      <c r="F170" s="124"/>
    </row>
    <row r="171" spans="5:6" x14ac:dyDescent="0.2">
      <c r="E171" s="124"/>
      <c r="F171" s="124"/>
    </row>
    <row r="172" spans="5:6" x14ac:dyDescent="0.2">
      <c r="E172" s="124"/>
      <c r="F172" s="124"/>
    </row>
    <row r="173" spans="5:6" x14ac:dyDescent="0.2">
      <c r="E173" s="124"/>
      <c r="F173" s="124"/>
    </row>
    <row r="174" spans="5:6" x14ac:dyDescent="0.2">
      <c r="E174" s="124"/>
      <c r="F174" s="124"/>
    </row>
    <row r="175" spans="5:6" x14ac:dyDescent="0.2">
      <c r="E175" s="124"/>
      <c r="F175" s="124"/>
    </row>
    <row r="176" spans="5:6" x14ac:dyDescent="0.2">
      <c r="E176" s="124"/>
      <c r="F176" s="124"/>
    </row>
    <row r="177" spans="5:6" x14ac:dyDescent="0.2">
      <c r="E177" s="124"/>
      <c r="F177" s="124"/>
    </row>
    <row r="178" spans="5:6" x14ac:dyDescent="0.2">
      <c r="E178" s="124"/>
      <c r="F178" s="124"/>
    </row>
    <row r="179" spans="5:6" x14ac:dyDescent="0.2">
      <c r="E179" s="124"/>
      <c r="F179" s="124"/>
    </row>
    <row r="180" spans="5:6" x14ac:dyDescent="0.2">
      <c r="E180" s="124"/>
      <c r="F180" s="124"/>
    </row>
    <row r="181" spans="5:6" x14ac:dyDescent="0.2">
      <c r="E181" s="124"/>
      <c r="F181" s="124"/>
    </row>
    <row r="182" spans="5:6" x14ac:dyDescent="0.2">
      <c r="E182" s="124"/>
      <c r="F182" s="124"/>
    </row>
    <row r="183" spans="5:6" x14ac:dyDescent="0.2">
      <c r="E183" s="124"/>
      <c r="F183" s="124"/>
    </row>
    <row r="184" spans="5:6" x14ac:dyDescent="0.2">
      <c r="E184" s="124"/>
      <c r="F184" s="124"/>
    </row>
    <row r="185" spans="5:6" x14ac:dyDescent="0.2">
      <c r="E185" s="124"/>
      <c r="F185" s="124"/>
    </row>
    <row r="186" spans="5:6" x14ac:dyDescent="0.2">
      <c r="E186" s="124"/>
      <c r="F186" s="124"/>
    </row>
    <row r="187" spans="5:6" x14ac:dyDescent="0.2">
      <c r="E187" s="124"/>
      <c r="F187" s="124"/>
    </row>
    <row r="188" spans="5:6" x14ac:dyDescent="0.2">
      <c r="E188" s="124"/>
      <c r="F188" s="124"/>
    </row>
    <row r="189" spans="5:6" x14ac:dyDescent="0.2">
      <c r="E189" s="124"/>
      <c r="F189" s="124"/>
    </row>
    <row r="190" spans="5:6" x14ac:dyDescent="0.2">
      <c r="E190" s="124"/>
      <c r="F190" s="124"/>
    </row>
    <row r="191" spans="5:6" x14ac:dyDescent="0.2">
      <c r="E191" s="124"/>
      <c r="F191" s="124"/>
    </row>
    <row r="192" spans="5:6" x14ac:dyDescent="0.2">
      <c r="E192" s="124"/>
      <c r="F192" s="124"/>
    </row>
    <row r="193" spans="5:6" x14ac:dyDescent="0.2">
      <c r="E193" s="124"/>
      <c r="F193" s="124"/>
    </row>
    <row r="194" spans="5:6" x14ac:dyDescent="0.2">
      <c r="E194" s="124"/>
      <c r="F194" s="124"/>
    </row>
    <row r="195" spans="5:6" x14ac:dyDescent="0.2">
      <c r="E195" s="124"/>
      <c r="F195" s="124"/>
    </row>
    <row r="196" spans="5:6" x14ac:dyDescent="0.2">
      <c r="E196" s="124"/>
      <c r="F196" s="124"/>
    </row>
    <row r="197" spans="5:6" x14ac:dyDescent="0.2">
      <c r="E197" s="124"/>
      <c r="F197" s="124"/>
    </row>
    <row r="198" spans="5:6" x14ac:dyDescent="0.2">
      <c r="E198" s="124"/>
      <c r="F198" s="124"/>
    </row>
    <row r="199" spans="5:6" x14ac:dyDescent="0.2">
      <c r="E199" s="124"/>
      <c r="F199" s="124"/>
    </row>
    <row r="200" spans="5:6" x14ac:dyDescent="0.2">
      <c r="E200" s="124"/>
      <c r="F200" s="124"/>
    </row>
    <row r="201" spans="5:6" x14ac:dyDescent="0.2">
      <c r="E201" s="124"/>
      <c r="F201" s="124"/>
    </row>
    <row r="202" spans="5:6" x14ac:dyDescent="0.2">
      <c r="E202" s="124"/>
      <c r="F202" s="124"/>
    </row>
    <row r="203" spans="5:6" x14ac:dyDescent="0.2">
      <c r="E203" s="124"/>
      <c r="F203" s="124"/>
    </row>
    <row r="204" spans="5:6" x14ac:dyDescent="0.2">
      <c r="E204" s="124"/>
      <c r="F204" s="124"/>
    </row>
    <row r="205" spans="5:6" x14ac:dyDescent="0.2">
      <c r="E205" s="124"/>
      <c r="F205" s="124"/>
    </row>
    <row r="206" spans="5:6" x14ac:dyDescent="0.2">
      <c r="E206" s="124"/>
      <c r="F206" s="124"/>
    </row>
    <row r="207" spans="5:6" x14ac:dyDescent="0.2">
      <c r="E207" s="124"/>
      <c r="F207" s="124"/>
    </row>
    <row r="208" spans="5:6" x14ac:dyDescent="0.2">
      <c r="E208" s="124"/>
      <c r="F208" s="124"/>
    </row>
    <row r="209" spans="5:6" x14ac:dyDescent="0.2">
      <c r="E209" s="124"/>
      <c r="F209" s="124"/>
    </row>
    <row r="210" spans="5:6" x14ac:dyDescent="0.2">
      <c r="E210" s="124"/>
      <c r="F210" s="124"/>
    </row>
    <row r="211" spans="5:6" x14ac:dyDescent="0.2">
      <c r="E211" s="124"/>
      <c r="F211" s="124"/>
    </row>
    <row r="212" spans="5:6" x14ac:dyDescent="0.2">
      <c r="E212" s="124"/>
      <c r="F212" s="124"/>
    </row>
    <row r="213" spans="5:6" x14ac:dyDescent="0.2">
      <c r="E213" s="124"/>
      <c r="F213" s="124"/>
    </row>
    <row r="214" spans="5:6" x14ac:dyDescent="0.2">
      <c r="E214" s="124"/>
      <c r="F214" s="124"/>
    </row>
    <row r="215" spans="5:6" x14ac:dyDescent="0.2">
      <c r="E215" s="124"/>
      <c r="F215" s="124"/>
    </row>
    <row r="216" spans="5:6" x14ac:dyDescent="0.2">
      <c r="E216" s="124"/>
      <c r="F216" s="124"/>
    </row>
    <row r="217" spans="5:6" x14ac:dyDescent="0.2">
      <c r="E217" s="124"/>
      <c r="F217" s="124"/>
    </row>
    <row r="218" spans="5:6" x14ac:dyDescent="0.2">
      <c r="E218" s="124"/>
      <c r="F218" s="124"/>
    </row>
    <row r="219" spans="5:6" x14ac:dyDescent="0.2">
      <c r="E219" s="124"/>
      <c r="F219" s="124"/>
    </row>
    <row r="220" spans="5:6" x14ac:dyDescent="0.2">
      <c r="E220" s="124"/>
      <c r="F220" s="124"/>
    </row>
    <row r="221" spans="5:6" x14ac:dyDescent="0.2">
      <c r="E221" s="124"/>
      <c r="F221" s="124"/>
    </row>
    <row r="222" spans="5:6" x14ac:dyDescent="0.2">
      <c r="E222" s="124"/>
      <c r="F222" s="124"/>
    </row>
    <row r="223" spans="5:6" x14ac:dyDescent="0.2">
      <c r="E223" s="124"/>
      <c r="F223" s="124"/>
    </row>
    <row r="224" spans="5:6" x14ac:dyDescent="0.2">
      <c r="E224" s="124"/>
      <c r="F224" s="124"/>
    </row>
    <row r="225" spans="5:6" x14ac:dyDescent="0.2">
      <c r="E225" s="124"/>
      <c r="F225" s="124"/>
    </row>
    <row r="226" spans="5:6" x14ac:dyDescent="0.2">
      <c r="E226" s="124"/>
      <c r="F226" s="124"/>
    </row>
    <row r="227" spans="5:6" x14ac:dyDescent="0.2">
      <c r="E227" s="124"/>
      <c r="F227" s="124"/>
    </row>
    <row r="228" spans="5:6" x14ac:dyDescent="0.2">
      <c r="E228" s="124"/>
      <c r="F228" s="124"/>
    </row>
    <row r="229" spans="5:6" x14ac:dyDescent="0.2">
      <c r="E229" s="124"/>
      <c r="F229" s="124"/>
    </row>
    <row r="230" spans="5:6" x14ac:dyDescent="0.2">
      <c r="E230" s="124"/>
      <c r="F230" s="124"/>
    </row>
    <row r="231" spans="5:6" x14ac:dyDescent="0.2">
      <c r="E231" s="124"/>
      <c r="F231" s="124"/>
    </row>
    <row r="232" spans="5:6" x14ac:dyDescent="0.2">
      <c r="E232" s="124"/>
      <c r="F232" s="124"/>
    </row>
    <row r="233" spans="5:6" x14ac:dyDescent="0.2">
      <c r="E233" s="124"/>
      <c r="F233" s="124"/>
    </row>
    <row r="234" spans="5:6" x14ac:dyDescent="0.2">
      <c r="E234" s="124"/>
      <c r="F234" s="124"/>
    </row>
    <row r="235" spans="5:6" x14ac:dyDescent="0.2">
      <c r="E235" s="124"/>
      <c r="F235" s="124"/>
    </row>
    <row r="236" spans="5:6" x14ac:dyDescent="0.2">
      <c r="E236" s="124"/>
      <c r="F236" s="124"/>
    </row>
    <row r="237" spans="5:6" x14ac:dyDescent="0.2">
      <c r="E237" s="124"/>
      <c r="F237" s="124"/>
    </row>
    <row r="238" spans="5:6" x14ac:dyDescent="0.2">
      <c r="E238" s="124"/>
      <c r="F238" s="124"/>
    </row>
    <row r="239" spans="5:6" x14ac:dyDescent="0.2">
      <c r="E239" s="124"/>
      <c r="F239" s="124"/>
    </row>
    <row r="240" spans="5:6" x14ac:dyDescent="0.2">
      <c r="E240" s="124"/>
      <c r="F240" s="124"/>
    </row>
    <row r="241" spans="5:6" x14ac:dyDescent="0.2">
      <c r="E241" s="124"/>
      <c r="F241" s="124"/>
    </row>
    <row r="242" spans="5:6" x14ac:dyDescent="0.2">
      <c r="E242" s="124"/>
      <c r="F242" s="124"/>
    </row>
    <row r="243" spans="5:6" x14ac:dyDescent="0.2">
      <c r="E243" s="124"/>
      <c r="F243" s="124"/>
    </row>
    <row r="244" spans="5:6" x14ac:dyDescent="0.2">
      <c r="E244" s="124"/>
      <c r="F244" s="124"/>
    </row>
    <row r="245" spans="5:6" x14ac:dyDescent="0.2">
      <c r="E245" s="124"/>
      <c r="F245" s="124"/>
    </row>
    <row r="246" spans="5:6" x14ac:dyDescent="0.2">
      <c r="E246" s="124"/>
      <c r="F246" s="124"/>
    </row>
    <row r="247" spans="5:6" x14ac:dyDescent="0.2">
      <c r="E247" s="124"/>
      <c r="F247" s="124"/>
    </row>
    <row r="248" spans="5:6" x14ac:dyDescent="0.2">
      <c r="E248" s="124"/>
      <c r="F248" s="124"/>
    </row>
    <row r="249" spans="5:6" x14ac:dyDescent="0.2">
      <c r="E249" s="124"/>
      <c r="F249" s="124"/>
    </row>
    <row r="250" spans="5:6" x14ac:dyDescent="0.2">
      <c r="E250" s="124"/>
      <c r="F250" s="124"/>
    </row>
    <row r="251" spans="5:6" x14ac:dyDescent="0.2">
      <c r="E251" s="124"/>
      <c r="F251" s="124"/>
    </row>
    <row r="252" spans="5:6" x14ac:dyDescent="0.2">
      <c r="E252" s="124"/>
      <c r="F252" s="124"/>
    </row>
    <row r="253" spans="5:6" x14ac:dyDescent="0.2">
      <c r="E253" s="124"/>
      <c r="F253" s="124"/>
    </row>
    <row r="254" spans="5:6" x14ac:dyDescent="0.2">
      <c r="E254" s="124"/>
      <c r="F254" s="124"/>
    </row>
    <row r="255" spans="5:6" x14ac:dyDescent="0.2">
      <c r="E255" s="124"/>
      <c r="F255" s="124"/>
    </row>
    <row r="256" spans="5:6" x14ac:dyDescent="0.2">
      <c r="E256" s="124"/>
      <c r="F256" s="124"/>
    </row>
    <row r="257" spans="5:6" x14ac:dyDescent="0.2">
      <c r="E257" s="124"/>
      <c r="F257" s="124"/>
    </row>
    <row r="258" spans="5:6" x14ac:dyDescent="0.2">
      <c r="E258" s="124"/>
      <c r="F258" s="124"/>
    </row>
    <row r="259" spans="5:6" x14ac:dyDescent="0.2">
      <c r="E259" s="124"/>
      <c r="F259" s="124"/>
    </row>
    <row r="260" spans="5:6" x14ac:dyDescent="0.2">
      <c r="E260" s="124"/>
      <c r="F260" s="124"/>
    </row>
    <row r="261" spans="5:6" x14ac:dyDescent="0.2">
      <c r="E261" s="124"/>
      <c r="F261" s="124"/>
    </row>
    <row r="262" spans="5:6" x14ac:dyDescent="0.2">
      <c r="E262" s="124"/>
      <c r="F262" s="124"/>
    </row>
    <row r="263" spans="5:6" x14ac:dyDescent="0.2">
      <c r="E263" s="124"/>
      <c r="F263" s="124"/>
    </row>
    <row r="264" spans="5:6" x14ac:dyDescent="0.2">
      <c r="E264" s="124"/>
      <c r="F264" s="124"/>
    </row>
    <row r="265" spans="5:6" x14ac:dyDescent="0.2">
      <c r="E265" s="124"/>
      <c r="F265" s="124"/>
    </row>
    <row r="266" spans="5:6" x14ac:dyDescent="0.2">
      <c r="E266" s="124"/>
      <c r="F266" s="124"/>
    </row>
    <row r="267" spans="5:6" x14ac:dyDescent="0.2">
      <c r="E267" s="124"/>
      <c r="F267" s="124"/>
    </row>
    <row r="268" spans="5:6" x14ac:dyDescent="0.2">
      <c r="E268" s="124"/>
      <c r="F268" s="124"/>
    </row>
    <row r="269" spans="5:6" x14ac:dyDescent="0.2">
      <c r="E269" s="124"/>
      <c r="F269" s="124"/>
    </row>
    <row r="270" spans="5:6" x14ac:dyDescent="0.2">
      <c r="E270" s="124"/>
      <c r="F270" s="124"/>
    </row>
    <row r="271" spans="5:6" x14ac:dyDescent="0.2">
      <c r="E271" s="124"/>
      <c r="F271" s="124"/>
    </row>
    <row r="272" spans="5:6" x14ac:dyDescent="0.2">
      <c r="E272" s="124"/>
      <c r="F272" s="124"/>
    </row>
    <row r="273" spans="5:6" x14ac:dyDescent="0.2">
      <c r="E273" s="124"/>
      <c r="F273" s="124"/>
    </row>
    <row r="274" spans="5:6" x14ac:dyDescent="0.2">
      <c r="E274" s="124"/>
      <c r="F274" s="124"/>
    </row>
    <row r="275" spans="5:6" x14ac:dyDescent="0.2">
      <c r="E275" s="124"/>
      <c r="F275" s="124"/>
    </row>
    <row r="276" spans="5:6" x14ac:dyDescent="0.2">
      <c r="E276" s="124"/>
      <c r="F276" s="124"/>
    </row>
    <row r="277" spans="5:6" x14ac:dyDescent="0.2">
      <c r="E277" s="124"/>
      <c r="F277" s="124"/>
    </row>
    <row r="278" spans="5:6" x14ac:dyDescent="0.2">
      <c r="E278" s="124"/>
      <c r="F278" s="124"/>
    </row>
    <row r="279" spans="5:6" x14ac:dyDescent="0.2">
      <c r="E279" s="124"/>
      <c r="F279" s="124"/>
    </row>
    <row r="280" spans="5:6" x14ac:dyDescent="0.2">
      <c r="E280" s="124"/>
      <c r="F280" s="124"/>
    </row>
    <row r="281" spans="5:6" x14ac:dyDescent="0.2">
      <c r="E281" s="124"/>
      <c r="F281" s="124"/>
    </row>
    <row r="282" spans="5:6" x14ac:dyDescent="0.2">
      <c r="E282" s="124"/>
      <c r="F282" s="124"/>
    </row>
    <row r="283" spans="5:6" x14ac:dyDescent="0.2">
      <c r="E283" s="124"/>
      <c r="F283" s="124"/>
    </row>
    <row r="284" spans="5:6" x14ac:dyDescent="0.2">
      <c r="E284" s="124"/>
      <c r="F284" s="124"/>
    </row>
    <row r="285" spans="5:6" x14ac:dyDescent="0.2">
      <c r="E285" s="124"/>
      <c r="F285" s="124"/>
    </row>
    <row r="286" spans="5:6" x14ac:dyDescent="0.2">
      <c r="E286" s="124"/>
      <c r="F286" s="124"/>
    </row>
    <row r="287" spans="5:6" x14ac:dyDescent="0.2">
      <c r="E287" s="124"/>
      <c r="F287" s="124"/>
    </row>
    <row r="288" spans="5:6" x14ac:dyDescent="0.2">
      <c r="E288" s="124"/>
      <c r="F288" s="124"/>
    </row>
    <row r="289" spans="5:6" x14ac:dyDescent="0.2">
      <c r="E289" s="124"/>
      <c r="F289" s="124"/>
    </row>
    <row r="290" spans="5:6" x14ac:dyDescent="0.2">
      <c r="E290" s="124"/>
      <c r="F290" s="124"/>
    </row>
    <row r="291" spans="5:6" x14ac:dyDescent="0.2">
      <c r="E291" s="124"/>
      <c r="F291" s="124"/>
    </row>
    <row r="292" spans="5:6" x14ac:dyDescent="0.2">
      <c r="E292" s="124"/>
      <c r="F292" s="124"/>
    </row>
    <row r="293" spans="5:6" x14ac:dyDescent="0.2">
      <c r="E293" s="124"/>
      <c r="F293" s="124"/>
    </row>
    <row r="294" spans="5:6" x14ac:dyDescent="0.2">
      <c r="E294" s="124"/>
      <c r="F294" s="124"/>
    </row>
    <row r="295" spans="5:6" x14ac:dyDescent="0.2">
      <c r="E295" s="124"/>
      <c r="F295" s="124"/>
    </row>
    <row r="296" spans="5:6" x14ac:dyDescent="0.2">
      <c r="E296" s="124"/>
      <c r="F296" s="124"/>
    </row>
    <row r="297" spans="5:6" x14ac:dyDescent="0.2">
      <c r="E297" s="124"/>
      <c r="F297" s="124"/>
    </row>
    <row r="298" spans="5:6" x14ac:dyDescent="0.2">
      <c r="E298" s="124"/>
      <c r="F298" s="124"/>
    </row>
    <row r="299" spans="5:6" x14ac:dyDescent="0.2">
      <c r="E299" s="124"/>
      <c r="F299" s="124"/>
    </row>
    <row r="300" spans="5:6" x14ac:dyDescent="0.2">
      <c r="E300" s="124"/>
      <c r="F300" s="124"/>
    </row>
    <row r="301" spans="5:6" x14ac:dyDescent="0.2">
      <c r="E301" s="124"/>
      <c r="F301" s="124"/>
    </row>
    <row r="302" spans="5:6" x14ac:dyDescent="0.2">
      <c r="E302" s="124"/>
      <c r="F302" s="124"/>
    </row>
    <row r="303" spans="5:6" x14ac:dyDescent="0.2">
      <c r="E303" s="124"/>
      <c r="F303" s="124"/>
    </row>
    <row r="304" spans="5:6" x14ac:dyDescent="0.2">
      <c r="E304" s="124"/>
      <c r="F304" s="124"/>
    </row>
    <row r="305" spans="5:6" x14ac:dyDescent="0.2">
      <c r="E305" s="124"/>
      <c r="F305" s="124"/>
    </row>
    <row r="306" spans="5:6" x14ac:dyDescent="0.2">
      <c r="E306" s="124"/>
      <c r="F306" s="124"/>
    </row>
    <row r="307" spans="5:6" x14ac:dyDescent="0.2">
      <c r="E307" s="124"/>
      <c r="F307" s="124"/>
    </row>
    <row r="308" spans="5:6" x14ac:dyDescent="0.2">
      <c r="E308" s="124"/>
      <c r="F308" s="124"/>
    </row>
    <row r="309" spans="5:6" x14ac:dyDescent="0.2">
      <c r="E309" s="124"/>
      <c r="F309" s="124"/>
    </row>
    <row r="310" spans="5:6" x14ac:dyDescent="0.2">
      <c r="E310" s="124"/>
      <c r="F310" s="124"/>
    </row>
    <row r="311" spans="5:6" x14ac:dyDescent="0.2">
      <c r="E311" s="124"/>
      <c r="F311" s="124"/>
    </row>
    <row r="312" spans="5:6" x14ac:dyDescent="0.2">
      <c r="E312" s="124"/>
      <c r="F312" s="124"/>
    </row>
    <row r="313" spans="5:6" x14ac:dyDescent="0.2">
      <c r="E313" s="124"/>
      <c r="F313" s="124"/>
    </row>
    <row r="314" spans="5:6" x14ac:dyDescent="0.2">
      <c r="E314" s="124"/>
      <c r="F314" s="124"/>
    </row>
    <row r="315" spans="5:6" x14ac:dyDescent="0.2">
      <c r="E315" s="124"/>
      <c r="F315" s="124"/>
    </row>
    <row r="316" spans="5:6" x14ac:dyDescent="0.2">
      <c r="E316" s="124"/>
      <c r="F316" s="124"/>
    </row>
    <row r="317" spans="5:6" x14ac:dyDescent="0.2">
      <c r="E317" s="124"/>
      <c r="F317" s="124"/>
    </row>
    <row r="318" spans="5:6" x14ac:dyDescent="0.2">
      <c r="E318" s="124"/>
      <c r="F318" s="124"/>
    </row>
    <row r="319" spans="5:6" x14ac:dyDescent="0.2">
      <c r="E319" s="124"/>
      <c r="F319" s="124"/>
    </row>
    <row r="320" spans="5:6" x14ac:dyDescent="0.2">
      <c r="E320" s="124"/>
      <c r="F320" s="124"/>
    </row>
    <row r="321" spans="5:6" x14ac:dyDescent="0.2">
      <c r="E321" s="124"/>
      <c r="F321" s="124"/>
    </row>
    <row r="322" spans="5:6" x14ac:dyDescent="0.2">
      <c r="E322" s="124"/>
      <c r="F322" s="124"/>
    </row>
    <row r="323" spans="5:6" x14ac:dyDescent="0.2">
      <c r="E323" s="124"/>
      <c r="F323" s="124"/>
    </row>
    <row r="324" spans="5:6" x14ac:dyDescent="0.2">
      <c r="E324" s="124"/>
      <c r="F324" s="124"/>
    </row>
    <row r="325" spans="5:6" x14ac:dyDescent="0.2">
      <c r="E325" s="124"/>
      <c r="F325" s="124"/>
    </row>
    <row r="326" spans="5:6" x14ac:dyDescent="0.2">
      <c r="E326" s="124"/>
      <c r="F326" s="124"/>
    </row>
    <row r="327" spans="5:6" x14ac:dyDescent="0.2">
      <c r="E327" s="124"/>
      <c r="F327" s="124"/>
    </row>
    <row r="328" spans="5:6" x14ac:dyDescent="0.2">
      <c r="E328" s="124"/>
      <c r="F328" s="124"/>
    </row>
    <row r="329" spans="5:6" x14ac:dyDescent="0.2">
      <c r="E329" s="124"/>
      <c r="F329" s="124"/>
    </row>
    <row r="330" spans="5:6" x14ac:dyDescent="0.2">
      <c r="E330" s="124"/>
      <c r="F330" s="124"/>
    </row>
    <row r="331" spans="5:6" x14ac:dyDescent="0.2">
      <c r="E331" s="124"/>
      <c r="F331" s="124"/>
    </row>
    <row r="332" spans="5:6" x14ac:dyDescent="0.2">
      <c r="E332" s="124"/>
      <c r="F332" s="124"/>
    </row>
    <row r="333" spans="5:6" x14ac:dyDescent="0.2">
      <c r="E333" s="124"/>
      <c r="F333" s="124"/>
    </row>
    <row r="334" spans="5:6" x14ac:dyDescent="0.2">
      <c r="E334" s="124"/>
      <c r="F334" s="124"/>
    </row>
    <row r="335" spans="5:6" x14ac:dyDescent="0.2">
      <c r="E335" s="124"/>
      <c r="F335" s="124"/>
    </row>
    <row r="336" spans="5:6" x14ac:dyDescent="0.2">
      <c r="E336" s="124"/>
      <c r="F336" s="124"/>
    </row>
    <row r="337" spans="5:6" x14ac:dyDescent="0.2">
      <c r="E337" s="124"/>
      <c r="F337" s="124"/>
    </row>
    <row r="338" spans="5:6" x14ac:dyDescent="0.2">
      <c r="E338" s="124"/>
      <c r="F338" s="124"/>
    </row>
    <row r="339" spans="5:6" x14ac:dyDescent="0.2">
      <c r="E339" s="124"/>
      <c r="F339" s="124"/>
    </row>
    <row r="340" spans="5:6" x14ac:dyDescent="0.2">
      <c r="E340" s="124"/>
      <c r="F340" s="124"/>
    </row>
    <row r="341" spans="5:6" x14ac:dyDescent="0.2">
      <c r="E341" s="124"/>
      <c r="F341" s="124"/>
    </row>
    <row r="342" spans="5:6" x14ac:dyDescent="0.2">
      <c r="E342" s="124"/>
      <c r="F342" s="124"/>
    </row>
    <row r="343" spans="5:6" x14ac:dyDescent="0.2">
      <c r="E343" s="124"/>
      <c r="F343" s="124"/>
    </row>
    <row r="344" spans="5:6" x14ac:dyDescent="0.2">
      <c r="E344" s="124"/>
      <c r="F344" s="124"/>
    </row>
    <row r="345" spans="5:6" x14ac:dyDescent="0.2">
      <c r="E345" s="124"/>
      <c r="F345" s="124"/>
    </row>
    <row r="346" spans="5:6" x14ac:dyDescent="0.2">
      <c r="E346" s="124"/>
      <c r="F346" s="124"/>
    </row>
    <row r="347" spans="5:6" x14ac:dyDescent="0.2">
      <c r="E347" s="124"/>
      <c r="F347" s="124"/>
    </row>
    <row r="348" spans="5:6" x14ac:dyDescent="0.2">
      <c r="E348" s="124"/>
      <c r="F348" s="124"/>
    </row>
    <row r="349" spans="5:6" x14ac:dyDescent="0.2">
      <c r="E349" s="124"/>
      <c r="F349" s="124"/>
    </row>
    <row r="350" spans="5:6" x14ac:dyDescent="0.2">
      <c r="E350" s="124"/>
      <c r="F350" s="124"/>
    </row>
    <row r="351" spans="5:6" x14ac:dyDescent="0.2">
      <c r="E351" s="124"/>
      <c r="F351" s="124"/>
    </row>
    <row r="352" spans="5:6" x14ac:dyDescent="0.2">
      <c r="E352" s="124"/>
      <c r="F352" s="124"/>
    </row>
    <row r="353" spans="5:6" x14ac:dyDescent="0.2">
      <c r="E353" s="124"/>
      <c r="F353" s="124"/>
    </row>
    <row r="354" spans="5:6" x14ac:dyDescent="0.2">
      <c r="E354" s="124"/>
      <c r="F354" s="124"/>
    </row>
    <row r="355" spans="5:6" x14ac:dyDescent="0.2">
      <c r="E355" s="124"/>
      <c r="F355" s="124"/>
    </row>
    <row r="356" spans="5:6" x14ac:dyDescent="0.2">
      <c r="E356" s="124"/>
      <c r="F356" s="124"/>
    </row>
    <row r="357" spans="5:6" x14ac:dyDescent="0.2">
      <c r="E357" s="124"/>
      <c r="F357" s="124"/>
    </row>
    <row r="358" spans="5:6" x14ac:dyDescent="0.2">
      <c r="E358" s="124"/>
      <c r="F358" s="124"/>
    </row>
    <row r="359" spans="5:6" x14ac:dyDescent="0.2">
      <c r="E359" s="124"/>
      <c r="F359" s="124"/>
    </row>
    <row r="360" spans="5:6" x14ac:dyDescent="0.2">
      <c r="E360" s="124"/>
      <c r="F360" s="124"/>
    </row>
    <row r="361" spans="5:6" x14ac:dyDescent="0.2">
      <c r="E361" s="124"/>
      <c r="F361" s="124"/>
    </row>
    <row r="362" spans="5:6" x14ac:dyDescent="0.2">
      <c r="E362" s="124"/>
      <c r="F362" s="124"/>
    </row>
    <row r="363" spans="5:6" x14ac:dyDescent="0.2">
      <c r="E363" s="124"/>
      <c r="F363" s="124"/>
    </row>
    <row r="364" spans="5:6" x14ac:dyDescent="0.2">
      <c r="E364" s="124"/>
      <c r="F364" s="124"/>
    </row>
  </sheetData>
  <phoneticPr fontId="70" type="noConversion"/>
  <pageMargins left="0.25" right="0.25" top="0.75" bottom="0.75" header="0.3" footer="0.3"/>
  <pageSetup scale="50" fitToHeight="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189A-A8EC-40C9-B890-261A1AF4FE5C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F86B-3DF8-4350-A31C-A46AB48B6366}">
  <dimension ref="B3:Z68"/>
  <sheetViews>
    <sheetView showGridLines="0" workbookViewId="0">
      <selection activeCell="B44" sqref="B44"/>
    </sheetView>
  </sheetViews>
  <sheetFormatPr defaultColWidth="9.140625" defaultRowHeight="12.75" x14ac:dyDescent="0.2"/>
  <cols>
    <col min="1" max="1" width="9.140625" style="13"/>
    <col min="2" max="2" width="36" style="13" customWidth="1"/>
    <col min="3" max="13" width="9.28515625" style="13" customWidth="1"/>
    <col min="14" max="14" width="9.140625" style="13"/>
    <col min="15" max="15" width="36" style="13" customWidth="1"/>
    <col min="16" max="26" width="9.28515625" style="13" customWidth="1"/>
    <col min="27" max="16384" width="9.140625" style="13"/>
  </cols>
  <sheetData>
    <row r="3" spans="2:26" x14ac:dyDescent="0.2">
      <c r="B3" s="209" t="s">
        <v>168</v>
      </c>
      <c r="C3" s="37"/>
      <c r="D3" s="98"/>
      <c r="E3" s="98"/>
      <c r="F3" s="98"/>
      <c r="G3" s="98"/>
      <c r="H3" s="98"/>
      <c r="I3" s="98"/>
      <c r="J3" s="98"/>
      <c r="K3" s="98"/>
      <c r="L3" s="98"/>
      <c r="M3" s="98"/>
      <c r="O3" s="209" t="s">
        <v>345</v>
      </c>
      <c r="P3" s="37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2:26" ht="5.0999999999999996" customHeight="1" x14ac:dyDescent="0.2">
      <c r="B4" s="245"/>
      <c r="C4" s="246"/>
      <c r="D4" s="247"/>
      <c r="E4" s="247"/>
      <c r="F4" s="247"/>
      <c r="G4" s="247"/>
      <c r="H4" s="247"/>
      <c r="I4" s="247"/>
      <c r="J4" s="247"/>
      <c r="K4" s="247"/>
      <c r="L4" s="247"/>
      <c r="M4" s="247"/>
      <c r="O4" s="245"/>
      <c r="P4" s="246"/>
      <c r="Q4" s="247"/>
      <c r="R4" s="247"/>
      <c r="S4" s="247"/>
      <c r="T4" s="247"/>
      <c r="U4" s="247"/>
      <c r="V4" s="247"/>
      <c r="W4" s="247"/>
      <c r="X4" s="247"/>
      <c r="Y4" s="247"/>
      <c r="Z4" s="247"/>
    </row>
    <row r="5" spans="2:26" x14ac:dyDescent="0.2">
      <c r="B5" s="211" t="s">
        <v>41</v>
      </c>
      <c r="C5" s="96" t="s">
        <v>318</v>
      </c>
      <c r="D5" s="96">
        <v>1</v>
      </c>
      <c r="E5" s="96">
        <f>+D5+1</f>
        <v>2</v>
      </c>
      <c r="F5" s="96">
        <f>+E5+1</f>
        <v>3</v>
      </c>
      <c r="G5" s="96">
        <f>+F5+1</f>
        <v>4</v>
      </c>
      <c r="H5" s="96">
        <f t="shared" ref="H5" si="0">+G5+1</f>
        <v>5</v>
      </c>
      <c r="I5" s="96">
        <f t="shared" ref="I5" si="1">+H5+1</f>
        <v>6</v>
      </c>
      <c r="J5" s="96">
        <f t="shared" ref="J5" si="2">+I5+1</f>
        <v>7</v>
      </c>
      <c r="K5" s="96">
        <f t="shared" ref="K5" si="3">+J5+1</f>
        <v>8</v>
      </c>
      <c r="L5" s="96">
        <f t="shared" ref="L5" si="4">+K5+1</f>
        <v>9</v>
      </c>
      <c r="M5" s="96">
        <f t="shared" ref="M5" si="5">+L5+1</f>
        <v>10</v>
      </c>
      <c r="O5" s="211" t="s">
        <v>41</v>
      </c>
      <c r="P5" s="96" t="s">
        <v>318</v>
      </c>
      <c r="Q5" s="96">
        <v>1</v>
      </c>
      <c r="R5" s="96">
        <f>+Q5+1</f>
        <v>2</v>
      </c>
      <c r="S5" s="96">
        <f>+R5+1</f>
        <v>3</v>
      </c>
      <c r="T5" s="96">
        <f>+S5+1</f>
        <v>4</v>
      </c>
      <c r="U5" s="96">
        <f t="shared" ref="U5:Z5" si="6">+T5+1</f>
        <v>5</v>
      </c>
      <c r="V5" s="96">
        <f t="shared" si="6"/>
        <v>6</v>
      </c>
      <c r="W5" s="96">
        <f t="shared" si="6"/>
        <v>7</v>
      </c>
      <c r="X5" s="96">
        <f t="shared" si="6"/>
        <v>8</v>
      </c>
      <c r="Y5" s="96">
        <f t="shared" si="6"/>
        <v>9</v>
      </c>
      <c r="Z5" s="96">
        <f t="shared" si="6"/>
        <v>10</v>
      </c>
    </row>
    <row r="6" spans="2:26" ht="5.0999999999999996" customHeight="1" x14ac:dyDescent="0.2">
      <c r="B6" s="244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O6" s="244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spans="2:26" x14ac:dyDescent="0.2">
      <c r="B7" s="206" t="s">
        <v>46</v>
      </c>
      <c r="C7" s="248">
        <f>+'Scenario 0'!E17</f>
        <v>0</v>
      </c>
      <c r="D7" s="200">
        <f>+'Scenario 0'!F17</f>
        <v>0</v>
      </c>
      <c r="E7" s="200">
        <f>+'Scenario 0'!G17</f>
        <v>0</v>
      </c>
      <c r="F7" s="200">
        <f>+'Scenario 0'!H17</f>
        <v>0</v>
      </c>
      <c r="G7" s="200">
        <f>+'Scenario 0'!I17</f>
        <v>0</v>
      </c>
      <c r="H7" s="200">
        <f>+'Scenario 0'!J17</f>
        <v>0</v>
      </c>
      <c r="I7" s="200">
        <f>+'Scenario 0'!K17</f>
        <v>0</v>
      </c>
      <c r="J7" s="200">
        <f>+'Scenario 0'!L17</f>
        <v>0</v>
      </c>
      <c r="K7" s="200">
        <f>+'Scenario 0'!M17</f>
        <v>0</v>
      </c>
      <c r="L7" s="200">
        <f>+'Scenario 0'!N17</f>
        <v>0</v>
      </c>
      <c r="M7" s="200">
        <f>+'Scenario 0'!O17</f>
        <v>0</v>
      </c>
      <c r="O7" s="206" t="s">
        <v>46</v>
      </c>
      <c r="P7" s="248">
        <f>+'Scenario 0'!E17/Dashboard!$E$16</f>
        <v>0</v>
      </c>
      <c r="Q7" s="200">
        <f>+'Scenario 0'!F17/Dashboard!$E$16</f>
        <v>0</v>
      </c>
      <c r="R7" s="200">
        <f>+'Scenario 0'!G17/Dashboard!$E$16</f>
        <v>0</v>
      </c>
      <c r="S7" s="200">
        <f>+'Scenario 0'!H17/Dashboard!$E$16</f>
        <v>0</v>
      </c>
      <c r="T7" s="200">
        <f>+'Scenario 0'!I17/Dashboard!$E$16</f>
        <v>0</v>
      </c>
      <c r="U7" s="200">
        <f>+'Scenario 0'!J17/Dashboard!$E$16</f>
        <v>0</v>
      </c>
      <c r="V7" s="200">
        <f>+'Scenario 0'!K17/Dashboard!$E$16</f>
        <v>0</v>
      </c>
      <c r="W7" s="200">
        <f>+'Scenario 0'!L17/Dashboard!$E$16</f>
        <v>0</v>
      </c>
      <c r="X7" s="200">
        <f>+'Scenario 0'!M17/Dashboard!$E$16</f>
        <v>0</v>
      </c>
      <c r="Y7" s="200">
        <f>+'Scenario 0'!N17/Dashboard!$E$16</f>
        <v>0</v>
      </c>
      <c r="Z7" s="200">
        <f>+'Scenario 0'!O17/Dashboard!$E$16</f>
        <v>0</v>
      </c>
    </row>
    <row r="8" spans="2:26" x14ac:dyDescent="0.2">
      <c r="B8" s="28" t="s">
        <v>336</v>
      </c>
      <c r="C8" s="255">
        <f>+'Scenario 0'!E18</f>
        <v>0</v>
      </c>
      <c r="D8" s="256">
        <f>+'Scenario 0'!F18</f>
        <v>0</v>
      </c>
      <c r="E8" s="256">
        <f>+'Scenario 0'!G18</f>
        <v>0</v>
      </c>
      <c r="F8" s="256">
        <f>+'Scenario 0'!H18</f>
        <v>0</v>
      </c>
      <c r="G8" s="256">
        <f>+'Scenario 0'!I18</f>
        <v>0</v>
      </c>
      <c r="H8" s="256">
        <f>+'Scenario 0'!J18</f>
        <v>0</v>
      </c>
      <c r="I8" s="256">
        <f>+'Scenario 0'!K18</f>
        <v>0</v>
      </c>
      <c r="J8" s="256">
        <f>+'Scenario 0'!L18</f>
        <v>0</v>
      </c>
      <c r="K8" s="256">
        <f>+'Scenario 0'!M18</f>
        <v>0</v>
      </c>
      <c r="L8" s="256">
        <f>+'Scenario 0'!N18</f>
        <v>0</v>
      </c>
      <c r="M8" s="256">
        <f>+'Scenario 0'!O18</f>
        <v>0</v>
      </c>
      <c r="O8" s="28" t="s">
        <v>336</v>
      </c>
      <c r="P8" s="255">
        <f>+'Scenario 0'!E18/Dashboard!$E$16</f>
        <v>0</v>
      </c>
      <c r="Q8" s="256">
        <f>+'Scenario 0'!F18/Dashboard!$E$16</f>
        <v>0</v>
      </c>
      <c r="R8" s="256">
        <f>+'Scenario 0'!G18/Dashboard!$E$16</f>
        <v>0</v>
      </c>
      <c r="S8" s="256">
        <f>+'Scenario 0'!H18/Dashboard!$E$16</f>
        <v>0</v>
      </c>
      <c r="T8" s="256">
        <f>+'Scenario 0'!I18/Dashboard!$E$16</f>
        <v>0</v>
      </c>
      <c r="U8" s="256">
        <f>+'Scenario 0'!J18/Dashboard!$E$16</f>
        <v>0</v>
      </c>
      <c r="V8" s="256">
        <f>+'Scenario 0'!K18/Dashboard!$E$16</f>
        <v>0</v>
      </c>
      <c r="W8" s="256">
        <f>+'Scenario 0'!L18/Dashboard!$E$16</f>
        <v>0</v>
      </c>
      <c r="X8" s="256">
        <f>+'Scenario 0'!M18/Dashboard!$E$16</f>
        <v>0</v>
      </c>
      <c r="Y8" s="256">
        <f>+'Scenario 0'!N18/Dashboard!$E$16</f>
        <v>0</v>
      </c>
      <c r="Z8" s="256">
        <f>+'Scenario 0'!O18/Dashboard!$E$16</f>
        <v>0</v>
      </c>
    </row>
    <row r="9" spans="2:26" ht="5.0999999999999996" customHeight="1" x14ac:dyDescent="0.2">
      <c r="C9" s="249"/>
      <c r="D9" s="40"/>
      <c r="E9" s="40"/>
      <c r="F9" s="40"/>
      <c r="G9" s="40"/>
      <c r="H9" s="40"/>
      <c r="I9" s="40"/>
      <c r="J9" s="40"/>
      <c r="K9" s="40"/>
      <c r="L9" s="40"/>
      <c r="M9" s="40"/>
      <c r="P9" s="249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2:26" x14ac:dyDescent="0.2">
      <c r="B10" s="206" t="s">
        <v>76</v>
      </c>
      <c r="C10" s="248">
        <f>+'Scenario 0'!E20</f>
        <v>21600</v>
      </c>
      <c r="D10" s="200">
        <f>+'Scenario 0'!F20</f>
        <v>21600</v>
      </c>
      <c r="E10" s="200">
        <f>+'Scenario 0'!G20</f>
        <v>21600</v>
      </c>
      <c r="F10" s="200">
        <f>+'Scenario 0'!H20</f>
        <v>21600</v>
      </c>
      <c r="G10" s="200">
        <f>+'Scenario 0'!I20</f>
        <v>21600</v>
      </c>
      <c r="H10" s="200">
        <f>+'Scenario 0'!J20</f>
        <v>21600</v>
      </c>
      <c r="I10" s="200">
        <f>+'Scenario 0'!K20</f>
        <v>21600</v>
      </c>
      <c r="J10" s="200">
        <f>+'Scenario 0'!L20</f>
        <v>21600</v>
      </c>
      <c r="K10" s="200">
        <f>+'Scenario 0'!M20</f>
        <v>21600</v>
      </c>
      <c r="L10" s="200">
        <f>+'Scenario 0'!N20</f>
        <v>21600</v>
      </c>
      <c r="M10" s="200">
        <f>+'Scenario 0'!O20</f>
        <v>21600</v>
      </c>
      <c r="O10" s="206" t="s">
        <v>76</v>
      </c>
      <c r="P10" s="248">
        <f>+'Scenario 0'!E20/Dashboard!$E$16</f>
        <v>300</v>
      </c>
      <c r="Q10" s="200">
        <f>+'Scenario 0'!F20/Dashboard!$E$16</f>
        <v>300</v>
      </c>
      <c r="R10" s="200">
        <f>+'Scenario 0'!G20/Dashboard!$E$16</f>
        <v>300</v>
      </c>
      <c r="S10" s="200">
        <f>+'Scenario 0'!H20/Dashboard!$E$16</f>
        <v>300</v>
      </c>
      <c r="T10" s="200">
        <f>+'Scenario 0'!I20/Dashboard!$E$16</f>
        <v>300</v>
      </c>
      <c r="U10" s="200">
        <f>+'Scenario 0'!J20/Dashboard!$E$16</f>
        <v>300</v>
      </c>
      <c r="V10" s="200">
        <f>+'Scenario 0'!K20/Dashboard!$E$16</f>
        <v>300</v>
      </c>
      <c r="W10" s="200">
        <f>+'Scenario 0'!L20/Dashboard!$E$16</f>
        <v>300</v>
      </c>
      <c r="X10" s="200">
        <f>+'Scenario 0'!M20/Dashboard!$E$16</f>
        <v>300</v>
      </c>
      <c r="Y10" s="200">
        <f>+'Scenario 0'!N20/Dashboard!$E$16</f>
        <v>300</v>
      </c>
      <c r="Z10" s="200">
        <f>+'Scenario 0'!O20/Dashboard!$E$16</f>
        <v>300</v>
      </c>
    </row>
    <row r="11" spans="2:26" x14ac:dyDescent="0.2">
      <c r="B11" s="207" t="s">
        <v>77</v>
      </c>
      <c r="C11" s="250">
        <f>+'Scenario 0'!E21</f>
        <v>0</v>
      </c>
      <c r="D11" s="204">
        <f>+'Scenario 0'!F21</f>
        <v>0</v>
      </c>
      <c r="E11" s="204">
        <f>+'Scenario 0'!G21</f>
        <v>0</v>
      </c>
      <c r="F11" s="204">
        <f>+'Scenario 0'!H21</f>
        <v>0</v>
      </c>
      <c r="G11" s="204">
        <f>+'Scenario 0'!I21</f>
        <v>0</v>
      </c>
      <c r="H11" s="204">
        <f>+'Scenario 0'!J21</f>
        <v>0</v>
      </c>
      <c r="I11" s="204">
        <f>+'Scenario 0'!K21</f>
        <v>0</v>
      </c>
      <c r="J11" s="204">
        <f>+'Scenario 0'!L21</f>
        <v>0</v>
      </c>
      <c r="K11" s="204">
        <f>+'Scenario 0'!M21</f>
        <v>0</v>
      </c>
      <c r="L11" s="204">
        <f>+'Scenario 0'!N21</f>
        <v>0</v>
      </c>
      <c r="M11" s="204">
        <f>+'Scenario 0'!O21</f>
        <v>0</v>
      </c>
      <c r="O11" s="207" t="s">
        <v>77</v>
      </c>
      <c r="P11" s="250">
        <f>+'Scenario 0'!E21/Dashboard!$E$16</f>
        <v>0</v>
      </c>
      <c r="Q11" s="204">
        <f>+'Scenario 0'!F21/Dashboard!$E$16</f>
        <v>0</v>
      </c>
      <c r="R11" s="204">
        <f>+'Scenario 0'!G21/Dashboard!$E$16</f>
        <v>0</v>
      </c>
      <c r="S11" s="204">
        <f>+'Scenario 0'!H21/Dashboard!$E$16</f>
        <v>0</v>
      </c>
      <c r="T11" s="204">
        <f>+'Scenario 0'!I21/Dashboard!$E$16</f>
        <v>0</v>
      </c>
      <c r="U11" s="204">
        <f>+'Scenario 0'!J21/Dashboard!$E$16</f>
        <v>0</v>
      </c>
      <c r="V11" s="204">
        <f>+'Scenario 0'!K21/Dashboard!$E$16</f>
        <v>0</v>
      </c>
      <c r="W11" s="204">
        <f>+'Scenario 0'!L21/Dashboard!$E$16</f>
        <v>0</v>
      </c>
      <c r="X11" s="204">
        <f>+'Scenario 0'!M21/Dashboard!$E$16</f>
        <v>0</v>
      </c>
      <c r="Y11" s="204">
        <f>+'Scenario 0'!N21/Dashboard!$E$16</f>
        <v>0</v>
      </c>
      <c r="Z11" s="204">
        <f>+'Scenario 0'!O21/Dashboard!$E$16</f>
        <v>0</v>
      </c>
    </row>
    <row r="12" spans="2:26" x14ac:dyDescent="0.2">
      <c r="B12" s="13" t="s">
        <v>79</v>
      </c>
      <c r="C12" s="231">
        <f>+'Scenario 0'!E22</f>
        <v>21600</v>
      </c>
      <c r="D12" s="177">
        <f>+'Scenario 0'!F22</f>
        <v>21600</v>
      </c>
      <c r="E12" s="177">
        <f>+'Scenario 0'!G22</f>
        <v>21600</v>
      </c>
      <c r="F12" s="177">
        <f>+'Scenario 0'!H22</f>
        <v>21600</v>
      </c>
      <c r="G12" s="177">
        <f>+'Scenario 0'!I22</f>
        <v>21600</v>
      </c>
      <c r="H12" s="177">
        <f>+'Scenario 0'!J22</f>
        <v>21600</v>
      </c>
      <c r="I12" s="177">
        <f>+'Scenario 0'!K22</f>
        <v>21600</v>
      </c>
      <c r="J12" s="177">
        <f>+'Scenario 0'!L22</f>
        <v>21600</v>
      </c>
      <c r="K12" s="177">
        <f>+'Scenario 0'!M22</f>
        <v>21600</v>
      </c>
      <c r="L12" s="177">
        <f>+'Scenario 0'!N22</f>
        <v>21600</v>
      </c>
      <c r="M12" s="177">
        <f>+'Scenario 0'!O22</f>
        <v>21600</v>
      </c>
      <c r="O12" s="13" t="s">
        <v>79</v>
      </c>
      <c r="P12" s="231">
        <f>+'Scenario 0'!E22/Dashboard!$E$16</f>
        <v>300</v>
      </c>
      <c r="Q12" s="177">
        <f>+'Scenario 0'!F22/Dashboard!$E$16</f>
        <v>300</v>
      </c>
      <c r="R12" s="177">
        <f>+'Scenario 0'!G22/Dashboard!$E$16</f>
        <v>300</v>
      </c>
      <c r="S12" s="177">
        <f>+'Scenario 0'!H22/Dashboard!$E$16</f>
        <v>300</v>
      </c>
      <c r="T12" s="177">
        <f>+'Scenario 0'!I22/Dashboard!$E$16</f>
        <v>300</v>
      </c>
      <c r="U12" s="177">
        <f>+'Scenario 0'!J22/Dashboard!$E$16</f>
        <v>300</v>
      </c>
      <c r="V12" s="177">
        <f>+'Scenario 0'!K22/Dashboard!$E$16</f>
        <v>300</v>
      </c>
      <c r="W12" s="177">
        <f>+'Scenario 0'!L22/Dashboard!$E$16</f>
        <v>300</v>
      </c>
      <c r="X12" s="177">
        <f>+'Scenario 0'!M22/Dashboard!$E$16</f>
        <v>300</v>
      </c>
      <c r="Y12" s="177">
        <f>+'Scenario 0'!N22/Dashboard!$E$16</f>
        <v>300</v>
      </c>
      <c r="Z12" s="177">
        <f>+'Scenario 0'!O22/Dashboard!$E$16</f>
        <v>300</v>
      </c>
    </row>
    <row r="13" spans="2:26" ht="5.0999999999999996" customHeight="1" x14ac:dyDescent="0.2">
      <c r="C13" s="231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P13" s="231"/>
      <c r="Q13" s="177"/>
      <c r="R13" s="177"/>
      <c r="S13" s="177"/>
      <c r="T13" s="177"/>
      <c r="U13" s="177"/>
      <c r="V13" s="177"/>
      <c r="W13" s="177"/>
      <c r="X13" s="177"/>
      <c r="Y13" s="177"/>
      <c r="Z13" s="177"/>
    </row>
    <row r="14" spans="2:26" x14ac:dyDescent="0.2">
      <c r="B14" s="206" t="s">
        <v>80</v>
      </c>
      <c r="C14" s="248">
        <f>+'Scenario 0'!E25</f>
        <v>0</v>
      </c>
      <c r="D14" s="200">
        <f>+'Scenario 0'!F25</f>
        <v>56160</v>
      </c>
      <c r="E14" s="200">
        <f>+'Scenario 0'!G25</f>
        <v>57844.800000000003</v>
      </c>
      <c r="F14" s="200">
        <f>+'Scenario 0'!H25</f>
        <v>59580.144000000008</v>
      </c>
      <c r="G14" s="200">
        <f>+'Scenario 0'!I25</f>
        <v>61367.548320000009</v>
      </c>
      <c r="H14" s="200">
        <f>+'Scenario 0'!J25</f>
        <v>63208.574769600011</v>
      </c>
      <c r="I14" s="200">
        <f>+'Scenario 0'!K25</f>
        <v>65104.832012688013</v>
      </c>
      <c r="J14" s="200">
        <f>+'Scenario 0'!L25</f>
        <v>67057.976973068653</v>
      </c>
      <c r="K14" s="200">
        <f>+'Scenario 0'!M25</f>
        <v>69069.716282260721</v>
      </c>
      <c r="L14" s="200">
        <f>+'Scenario 0'!N25</f>
        <v>71141.807770728541</v>
      </c>
      <c r="M14" s="200">
        <f>+'Scenario 0'!O25</f>
        <v>73276.062003850398</v>
      </c>
      <c r="O14" s="206" t="s">
        <v>80</v>
      </c>
      <c r="P14" s="248">
        <f>+'Scenario 0'!E25/Dashboard!$E$16</f>
        <v>0</v>
      </c>
      <c r="Q14" s="200">
        <f>+'Scenario 0'!F25/Dashboard!$E$16</f>
        <v>780</v>
      </c>
      <c r="R14" s="200">
        <f>+'Scenario 0'!G25/Dashboard!$E$16</f>
        <v>803.40000000000009</v>
      </c>
      <c r="S14" s="200">
        <f>+'Scenario 0'!H25/Dashboard!$E$16</f>
        <v>827.50200000000007</v>
      </c>
      <c r="T14" s="200">
        <f>+'Scenario 0'!I25/Dashboard!$E$16</f>
        <v>852.32706000000007</v>
      </c>
      <c r="U14" s="200">
        <f>+'Scenario 0'!J25/Dashboard!$E$16</f>
        <v>877.8968718000001</v>
      </c>
      <c r="V14" s="200">
        <f>+'Scenario 0'!K25/Dashboard!$E$16</f>
        <v>904.23377795400017</v>
      </c>
      <c r="W14" s="200">
        <f>+'Scenario 0'!L25/Dashboard!$E$16</f>
        <v>931.36079129262021</v>
      </c>
      <c r="X14" s="200">
        <f>+'Scenario 0'!M25/Dashboard!$E$16</f>
        <v>959.30161503139891</v>
      </c>
      <c r="Y14" s="200">
        <f>+'Scenario 0'!N25/Dashboard!$E$16</f>
        <v>988.08066348234081</v>
      </c>
      <c r="Z14" s="200">
        <f>+'Scenario 0'!O25/Dashboard!$E$16</f>
        <v>1017.7230833868111</v>
      </c>
    </row>
    <row r="15" spans="2:26" x14ac:dyDescent="0.2">
      <c r="B15" s="207" t="s">
        <v>81</v>
      </c>
      <c r="C15" s="250">
        <f>+'Scenario 0'!E26</f>
        <v>0</v>
      </c>
      <c r="D15" s="204">
        <f>+'Scenario 0'!F26</f>
        <v>0</v>
      </c>
      <c r="E15" s="204">
        <f>+'Scenario 0'!G26</f>
        <v>0</v>
      </c>
      <c r="F15" s="204">
        <f>+'Scenario 0'!H26</f>
        <v>0</v>
      </c>
      <c r="G15" s="204">
        <f>+'Scenario 0'!I26</f>
        <v>0</v>
      </c>
      <c r="H15" s="204">
        <f>+'Scenario 0'!J26</f>
        <v>0</v>
      </c>
      <c r="I15" s="204">
        <f>+'Scenario 0'!K26</f>
        <v>0</v>
      </c>
      <c r="J15" s="204">
        <f>+'Scenario 0'!L26</f>
        <v>0</v>
      </c>
      <c r="K15" s="204">
        <f>+'Scenario 0'!M26</f>
        <v>0</v>
      </c>
      <c r="L15" s="204">
        <f>+'Scenario 0'!N26</f>
        <v>0</v>
      </c>
      <c r="M15" s="204">
        <f>+'Scenario 0'!O26</f>
        <v>0</v>
      </c>
      <c r="O15" s="207" t="s">
        <v>81</v>
      </c>
      <c r="P15" s="250">
        <f>+'Scenario 0'!E26/Dashboard!$E$16</f>
        <v>0</v>
      </c>
      <c r="Q15" s="204">
        <f>+'Scenario 0'!F26/Dashboard!$E$16</f>
        <v>0</v>
      </c>
      <c r="R15" s="204">
        <f>+'Scenario 0'!G26/Dashboard!$E$16</f>
        <v>0</v>
      </c>
      <c r="S15" s="204">
        <f>+'Scenario 0'!H26/Dashboard!$E$16</f>
        <v>0</v>
      </c>
      <c r="T15" s="204">
        <f>+'Scenario 0'!I26/Dashboard!$E$16</f>
        <v>0</v>
      </c>
      <c r="U15" s="204">
        <f>+'Scenario 0'!J26/Dashboard!$E$16</f>
        <v>0</v>
      </c>
      <c r="V15" s="204">
        <f>+'Scenario 0'!K26/Dashboard!$E$16</f>
        <v>0</v>
      </c>
      <c r="W15" s="204">
        <f>+'Scenario 0'!L26/Dashboard!$E$16</f>
        <v>0</v>
      </c>
      <c r="X15" s="204">
        <f>+'Scenario 0'!M26/Dashboard!$E$16</f>
        <v>0</v>
      </c>
      <c r="Y15" s="204">
        <f>+'Scenario 0'!N26/Dashboard!$E$16</f>
        <v>0</v>
      </c>
      <c r="Z15" s="204">
        <f>+'Scenario 0'!O26/Dashboard!$E$16</f>
        <v>0</v>
      </c>
    </row>
    <row r="16" spans="2:26" x14ac:dyDescent="0.2">
      <c r="B16" s="207" t="s">
        <v>82</v>
      </c>
      <c r="C16" s="250">
        <f>+'Scenario 0'!E27</f>
        <v>0</v>
      </c>
      <c r="D16" s="204">
        <f>+'Scenario 0'!F27</f>
        <v>0</v>
      </c>
      <c r="E16" s="204">
        <f>+'Scenario 0'!G27</f>
        <v>0</v>
      </c>
      <c r="F16" s="204">
        <f>+'Scenario 0'!H27</f>
        <v>0</v>
      </c>
      <c r="G16" s="204">
        <f>+'Scenario 0'!I27</f>
        <v>0</v>
      </c>
      <c r="H16" s="204">
        <f>+'Scenario 0'!J27</f>
        <v>0</v>
      </c>
      <c r="I16" s="204">
        <f>+'Scenario 0'!K27</f>
        <v>0</v>
      </c>
      <c r="J16" s="204">
        <f>+'Scenario 0'!L27</f>
        <v>0</v>
      </c>
      <c r="K16" s="204">
        <f>+'Scenario 0'!M27</f>
        <v>0</v>
      </c>
      <c r="L16" s="204">
        <f>+'Scenario 0'!N27</f>
        <v>0</v>
      </c>
      <c r="M16" s="204">
        <f>+'Scenario 0'!O27</f>
        <v>0</v>
      </c>
      <c r="O16" s="207" t="s">
        <v>82</v>
      </c>
      <c r="P16" s="250">
        <f>+'Scenario 0'!E27/Dashboard!$E$16</f>
        <v>0</v>
      </c>
      <c r="Q16" s="204">
        <f>+'Scenario 0'!F27/Dashboard!$E$16</f>
        <v>0</v>
      </c>
      <c r="R16" s="204">
        <f>+'Scenario 0'!G27/Dashboard!$E$16</f>
        <v>0</v>
      </c>
      <c r="S16" s="204">
        <f>+'Scenario 0'!H27/Dashboard!$E$16</f>
        <v>0</v>
      </c>
      <c r="T16" s="204">
        <f>+'Scenario 0'!I27/Dashboard!$E$16</f>
        <v>0</v>
      </c>
      <c r="U16" s="204">
        <f>+'Scenario 0'!J27/Dashboard!$E$16</f>
        <v>0</v>
      </c>
      <c r="V16" s="204">
        <f>+'Scenario 0'!K27/Dashboard!$E$16</f>
        <v>0</v>
      </c>
      <c r="W16" s="204">
        <f>+'Scenario 0'!L27/Dashboard!$E$16</f>
        <v>0</v>
      </c>
      <c r="X16" s="204">
        <f>+'Scenario 0'!M27/Dashboard!$E$16</f>
        <v>0</v>
      </c>
      <c r="Y16" s="204">
        <f>+'Scenario 0'!N27/Dashboard!$E$16</f>
        <v>0</v>
      </c>
      <c r="Z16" s="204">
        <f>+'Scenario 0'!O27/Dashboard!$E$16</f>
        <v>0</v>
      </c>
    </row>
    <row r="17" spans="2:26" x14ac:dyDescent="0.2">
      <c r="B17" s="207" t="s">
        <v>83</v>
      </c>
      <c r="C17" s="250">
        <f>+'Scenario 0'!E28</f>
        <v>0</v>
      </c>
      <c r="D17" s="204">
        <f>+'Scenario 0'!F28</f>
        <v>56160</v>
      </c>
      <c r="E17" s="204">
        <f>+'Scenario 0'!G28</f>
        <v>57844.800000000003</v>
      </c>
      <c r="F17" s="204">
        <f>+'Scenario 0'!H28</f>
        <v>59580.144000000008</v>
      </c>
      <c r="G17" s="204">
        <f>+'Scenario 0'!I28</f>
        <v>61367.548320000009</v>
      </c>
      <c r="H17" s="204">
        <f>+'Scenario 0'!J28</f>
        <v>63208.574769600011</v>
      </c>
      <c r="I17" s="204">
        <f>+'Scenario 0'!K28</f>
        <v>65104.832012688013</v>
      </c>
      <c r="J17" s="204">
        <f>+'Scenario 0'!L28</f>
        <v>67057.976973068653</v>
      </c>
      <c r="K17" s="204">
        <f>+'Scenario 0'!M28</f>
        <v>69069.716282260721</v>
      </c>
      <c r="L17" s="204">
        <f>+'Scenario 0'!N28</f>
        <v>71141.807770728541</v>
      </c>
      <c r="M17" s="204">
        <f>+'Scenario 0'!O28</f>
        <v>73276.062003850398</v>
      </c>
      <c r="O17" s="207" t="s">
        <v>83</v>
      </c>
      <c r="P17" s="250">
        <f>+'Scenario 0'!E28/Dashboard!$E$16</f>
        <v>0</v>
      </c>
      <c r="Q17" s="204">
        <f>+'Scenario 0'!F28/Dashboard!$E$16</f>
        <v>780</v>
      </c>
      <c r="R17" s="204">
        <f>+'Scenario 0'!G28/Dashboard!$E$16</f>
        <v>803.40000000000009</v>
      </c>
      <c r="S17" s="204">
        <f>+'Scenario 0'!H28/Dashboard!$E$16</f>
        <v>827.50200000000007</v>
      </c>
      <c r="T17" s="204">
        <f>+'Scenario 0'!I28/Dashboard!$E$16</f>
        <v>852.32706000000007</v>
      </c>
      <c r="U17" s="204">
        <f>+'Scenario 0'!J28/Dashboard!$E$16</f>
        <v>877.8968718000001</v>
      </c>
      <c r="V17" s="204">
        <f>+'Scenario 0'!K28/Dashboard!$E$16</f>
        <v>904.23377795400017</v>
      </c>
      <c r="W17" s="204">
        <f>+'Scenario 0'!L28/Dashboard!$E$16</f>
        <v>931.36079129262021</v>
      </c>
      <c r="X17" s="204">
        <f>+'Scenario 0'!M28/Dashboard!$E$16</f>
        <v>959.30161503139891</v>
      </c>
      <c r="Y17" s="204">
        <f>+'Scenario 0'!N28/Dashboard!$E$16</f>
        <v>988.08066348234081</v>
      </c>
      <c r="Z17" s="204">
        <f>+'Scenario 0'!O28/Dashboard!$E$16</f>
        <v>1017.7230833868111</v>
      </c>
    </row>
    <row r="18" spans="2:26" x14ac:dyDescent="0.2">
      <c r="B18" s="28" t="s">
        <v>335</v>
      </c>
      <c r="C18" s="253">
        <f>+'Scenario 0'!E29</f>
        <v>0</v>
      </c>
      <c r="D18" s="254">
        <f>+'Scenario 0'!F29</f>
        <v>126720</v>
      </c>
      <c r="E18" s="254">
        <f>+'Scenario 0'!G29</f>
        <v>130521.60000000001</v>
      </c>
      <c r="F18" s="254">
        <f>+'Scenario 0'!H29</f>
        <v>134437.24800000002</v>
      </c>
      <c r="G18" s="254">
        <f>+'Scenario 0'!I29</f>
        <v>138470.36544000002</v>
      </c>
      <c r="H18" s="254">
        <f>+'Scenario 0'!J29</f>
        <v>142624.47640320001</v>
      </c>
      <c r="I18" s="254">
        <f>+'Scenario 0'!K29</f>
        <v>146903.21069529603</v>
      </c>
      <c r="J18" s="254">
        <f>+'Scenario 0'!L29</f>
        <v>151310.30701615493</v>
      </c>
      <c r="K18" s="254">
        <f>+'Scenario 0'!M29</f>
        <v>155849.61622663957</v>
      </c>
      <c r="L18" s="254">
        <f>+'Scenario 0'!N29</f>
        <v>160525.10471343878</v>
      </c>
      <c r="M18" s="254">
        <f>+'Scenario 0'!O29</f>
        <v>165340.85785484192</v>
      </c>
      <c r="O18" s="28" t="s">
        <v>335</v>
      </c>
      <c r="P18" s="253">
        <f>+'Scenario 0'!E29/Dashboard!$E$16</f>
        <v>0</v>
      </c>
      <c r="Q18" s="254">
        <f>+'Scenario 0'!F29/Dashboard!$E$16</f>
        <v>1760</v>
      </c>
      <c r="R18" s="254">
        <f>+'Scenario 0'!G29/Dashboard!$E$16</f>
        <v>1812.8000000000002</v>
      </c>
      <c r="S18" s="254">
        <f>+'Scenario 0'!H29/Dashboard!$E$16</f>
        <v>1867.1840000000002</v>
      </c>
      <c r="T18" s="254">
        <f>+'Scenario 0'!I29/Dashboard!$E$16</f>
        <v>1923.1995200000003</v>
      </c>
      <c r="U18" s="254">
        <f>+'Scenario 0'!J29/Dashboard!$E$16</f>
        <v>1980.8955056000002</v>
      </c>
      <c r="V18" s="254">
        <f>+'Scenario 0'!K29/Dashboard!$E$16</f>
        <v>2040.3223707680004</v>
      </c>
      <c r="W18" s="254">
        <f>+'Scenario 0'!L29/Dashboard!$E$16</f>
        <v>2101.5320418910405</v>
      </c>
      <c r="X18" s="254">
        <f>+'Scenario 0'!M29/Dashboard!$E$16</f>
        <v>2164.5780031477716</v>
      </c>
      <c r="Y18" s="254">
        <f>+'Scenario 0'!N29/Dashboard!$E$16</f>
        <v>2229.5153432422053</v>
      </c>
      <c r="Z18" s="254">
        <f>+'Scenario 0'!O29/Dashboard!$E$16</f>
        <v>2296.4008035394709</v>
      </c>
    </row>
    <row r="19" spans="2:26" ht="5.0999999999999996" customHeight="1" x14ac:dyDescent="0.2">
      <c r="C19" s="231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P19" s="231"/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 spans="2:26" x14ac:dyDescent="0.2">
      <c r="B20" s="208" t="s">
        <v>92</v>
      </c>
      <c r="C20" s="248">
        <f>+'Scenario 0'!E31</f>
        <v>0</v>
      </c>
      <c r="D20" s="200">
        <f>+'Scenario 0'!F31</f>
        <v>28199.61</v>
      </c>
      <c r="E20" s="200">
        <f>+'Scenario 0'!G31</f>
        <v>29045.598300000001</v>
      </c>
      <c r="F20" s="200">
        <f>+'Scenario 0'!H31</f>
        <v>29916.966249000005</v>
      </c>
      <c r="G20" s="200">
        <f>+'Scenario 0'!I31</f>
        <v>30814.475236470003</v>
      </c>
      <c r="H20" s="200">
        <f>+'Scenario 0'!J31</f>
        <v>31738.909493564104</v>
      </c>
      <c r="I20" s="200">
        <f>+'Scenario 0'!K31</f>
        <v>32691.076778371029</v>
      </c>
      <c r="J20" s="200">
        <f>+'Scenario 0'!L31</f>
        <v>33671.80908172216</v>
      </c>
      <c r="K20" s="200">
        <f>+'Scenario 0'!M31</f>
        <v>34681.963354173829</v>
      </c>
      <c r="L20" s="200">
        <f>+'Scenario 0'!N31</f>
        <v>35722.422254799043</v>
      </c>
      <c r="M20" s="200">
        <f>+'Scenario 0'!O31</f>
        <v>36794.094922443022</v>
      </c>
      <c r="O20" s="208" t="s">
        <v>92</v>
      </c>
      <c r="P20" s="248">
        <f>+'Scenario 0'!E31/Dashboard!$E$16</f>
        <v>0</v>
      </c>
      <c r="Q20" s="200">
        <f>+'Scenario 0'!F31/Dashboard!$E$16</f>
        <v>391.66125</v>
      </c>
      <c r="R20" s="200">
        <f>+'Scenario 0'!G31/Dashboard!$E$16</f>
        <v>403.41108750000001</v>
      </c>
      <c r="S20" s="200">
        <f>+'Scenario 0'!H31/Dashboard!$E$16</f>
        <v>415.51342012500004</v>
      </c>
      <c r="T20" s="200">
        <f>+'Scenario 0'!I31/Dashboard!$E$16</f>
        <v>427.97882272875006</v>
      </c>
      <c r="U20" s="200">
        <f>+'Scenario 0'!J31/Dashboard!$E$16</f>
        <v>440.81818741061255</v>
      </c>
      <c r="V20" s="200">
        <f>+'Scenario 0'!K31/Dashboard!$E$16</f>
        <v>454.04273303293098</v>
      </c>
      <c r="W20" s="200">
        <f>+'Scenario 0'!L31/Dashboard!$E$16</f>
        <v>467.66401502391886</v>
      </c>
      <c r="X20" s="200">
        <f>+'Scenario 0'!M31/Dashboard!$E$16</f>
        <v>481.69393547463653</v>
      </c>
      <c r="Y20" s="200">
        <f>+'Scenario 0'!N31/Dashboard!$E$16</f>
        <v>496.14475353887559</v>
      </c>
      <c r="Z20" s="200">
        <f>+'Scenario 0'!O31/Dashboard!$E$16</f>
        <v>511.02909614504199</v>
      </c>
    </row>
    <row r="21" spans="2:26" x14ac:dyDescent="0.2">
      <c r="B21" s="208" t="s">
        <v>93</v>
      </c>
      <c r="C21" s="250">
        <f>+'Scenario 0'!E32</f>
        <v>0</v>
      </c>
      <c r="D21" s="202">
        <f>+'Scenario 0'!F32</f>
        <v>6000</v>
      </c>
      <c r="E21" s="204">
        <f>+'Scenario 0'!G32</f>
        <v>6180</v>
      </c>
      <c r="F21" s="204">
        <f>+'Scenario 0'!H32</f>
        <v>6365.4000000000005</v>
      </c>
      <c r="G21" s="204">
        <f>+'Scenario 0'!I32</f>
        <v>6556.362000000001</v>
      </c>
      <c r="H21" s="204">
        <f>+'Scenario 0'!J32</f>
        <v>6753.0528600000016</v>
      </c>
      <c r="I21" s="204">
        <f>+'Scenario 0'!K32</f>
        <v>6955.6444458000014</v>
      </c>
      <c r="J21" s="204">
        <f>+'Scenario 0'!L32</f>
        <v>7164.3137791740019</v>
      </c>
      <c r="K21" s="204">
        <f>+'Scenario 0'!M32</f>
        <v>7379.2431925492219</v>
      </c>
      <c r="L21" s="204">
        <f>+'Scenario 0'!N32</f>
        <v>7600.6204883256987</v>
      </c>
      <c r="M21" s="204">
        <f>+'Scenario 0'!O32</f>
        <v>7828.6391029754695</v>
      </c>
      <c r="O21" s="208" t="s">
        <v>93</v>
      </c>
      <c r="P21" s="250">
        <f>+'Scenario 0'!E32/Dashboard!$E$16</f>
        <v>0</v>
      </c>
      <c r="Q21" s="202">
        <f>+'Scenario 0'!F32/Dashboard!$E$16</f>
        <v>83.333333333333329</v>
      </c>
      <c r="R21" s="204">
        <f>+'Scenario 0'!G32/Dashboard!$E$16</f>
        <v>85.833333333333329</v>
      </c>
      <c r="S21" s="204">
        <f>+'Scenario 0'!H32/Dashboard!$E$16</f>
        <v>88.408333333333346</v>
      </c>
      <c r="T21" s="204">
        <f>+'Scenario 0'!I32/Dashboard!$E$16</f>
        <v>91.060583333333341</v>
      </c>
      <c r="U21" s="204">
        <f>+'Scenario 0'!J32/Dashboard!$E$16</f>
        <v>93.79240083333336</v>
      </c>
      <c r="V21" s="204">
        <f>+'Scenario 0'!K32/Dashboard!$E$16</f>
        <v>96.606172858333352</v>
      </c>
      <c r="W21" s="204">
        <f>+'Scenario 0'!L32/Dashboard!$E$16</f>
        <v>99.504358044083361</v>
      </c>
      <c r="X21" s="204">
        <f>+'Scenario 0'!M32/Dashboard!$E$16</f>
        <v>102.48948878540585</v>
      </c>
      <c r="Y21" s="204">
        <f>+'Scenario 0'!N32/Dashboard!$E$16</f>
        <v>105.56417344896803</v>
      </c>
      <c r="Z21" s="204">
        <f>+'Scenario 0'!O32/Dashboard!$E$16</f>
        <v>108.73109865243708</v>
      </c>
    </row>
    <row r="22" spans="2:26" x14ac:dyDescent="0.2">
      <c r="B22" s="208" t="s">
        <v>94</v>
      </c>
      <c r="C22" s="250">
        <f>+'Scenario 0'!E33</f>
        <v>0</v>
      </c>
      <c r="D22" s="202">
        <f>+'Scenario 0'!F33</f>
        <v>10800</v>
      </c>
      <c r="E22" s="204">
        <f>+'Scenario 0'!G33</f>
        <v>11124</v>
      </c>
      <c r="F22" s="204">
        <f>+'Scenario 0'!H33</f>
        <v>11457.720000000001</v>
      </c>
      <c r="G22" s="204">
        <f>+'Scenario 0'!I33</f>
        <v>11801.451600000002</v>
      </c>
      <c r="H22" s="204">
        <f>+'Scenario 0'!J33</f>
        <v>12155.495148000002</v>
      </c>
      <c r="I22" s="204">
        <f>+'Scenario 0'!K33</f>
        <v>12520.160002440001</v>
      </c>
      <c r="J22" s="204">
        <f>+'Scenario 0'!L33</f>
        <v>12895.764802513202</v>
      </c>
      <c r="K22" s="204">
        <f>+'Scenario 0'!M33</f>
        <v>13282.637746588598</v>
      </c>
      <c r="L22" s="204">
        <f>+'Scenario 0'!N33</f>
        <v>13681.116878986257</v>
      </c>
      <c r="M22" s="204">
        <f>+'Scenario 0'!O33</f>
        <v>14091.550385355846</v>
      </c>
      <c r="O22" s="208" t="s">
        <v>94</v>
      </c>
      <c r="P22" s="250">
        <f>+'Scenario 0'!E33/Dashboard!$E$16</f>
        <v>0</v>
      </c>
      <c r="Q22" s="202">
        <f>+'Scenario 0'!F33/Dashboard!$E$16</f>
        <v>150</v>
      </c>
      <c r="R22" s="204">
        <f>+'Scenario 0'!G33/Dashboard!$E$16</f>
        <v>154.5</v>
      </c>
      <c r="S22" s="204">
        <f>+'Scenario 0'!H33/Dashboard!$E$16</f>
        <v>159.13500000000002</v>
      </c>
      <c r="T22" s="204">
        <f>+'Scenario 0'!I33/Dashboard!$E$16</f>
        <v>163.90905000000004</v>
      </c>
      <c r="U22" s="204">
        <f>+'Scenario 0'!J33/Dashboard!$E$16</f>
        <v>168.82632150000003</v>
      </c>
      <c r="V22" s="204">
        <f>+'Scenario 0'!K33/Dashboard!$E$16</f>
        <v>173.89111114500002</v>
      </c>
      <c r="W22" s="204">
        <f>+'Scenario 0'!L33/Dashboard!$E$16</f>
        <v>179.10784447935004</v>
      </c>
      <c r="X22" s="204">
        <f>+'Scenario 0'!M33/Dashboard!$E$16</f>
        <v>184.48107981373053</v>
      </c>
      <c r="Y22" s="204">
        <f>+'Scenario 0'!N33/Dashboard!$E$16</f>
        <v>190.01551220814247</v>
      </c>
      <c r="Z22" s="204">
        <f>+'Scenario 0'!O33/Dashboard!$E$16</f>
        <v>195.71597757438676</v>
      </c>
    </row>
    <row r="23" spans="2:26" x14ac:dyDescent="0.2">
      <c r="B23" s="208" t="s">
        <v>95</v>
      </c>
      <c r="C23" s="250">
        <f>+'Scenario 0'!E34</f>
        <v>0</v>
      </c>
      <c r="D23" s="202">
        <f>+'Scenario 0'!F34</f>
        <v>6000</v>
      </c>
      <c r="E23" s="204">
        <f>+'Scenario 0'!G34</f>
        <v>6180</v>
      </c>
      <c r="F23" s="204">
        <f>+'Scenario 0'!H34</f>
        <v>6365.4000000000005</v>
      </c>
      <c r="G23" s="204">
        <f>+'Scenario 0'!I34</f>
        <v>6556.362000000001</v>
      </c>
      <c r="H23" s="204">
        <f>+'Scenario 0'!J34</f>
        <v>6753.0528600000016</v>
      </c>
      <c r="I23" s="204">
        <f>+'Scenario 0'!K34</f>
        <v>6955.6444458000014</v>
      </c>
      <c r="J23" s="204">
        <f>+'Scenario 0'!L34</f>
        <v>7164.3137791740019</v>
      </c>
      <c r="K23" s="204">
        <f>+'Scenario 0'!M34</f>
        <v>7379.2431925492219</v>
      </c>
      <c r="L23" s="204">
        <f>+'Scenario 0'!N34</f>
        <v>7600.6204883256987</v>
      </c>
      <c r="M23" s="204">
        <f>+'Scenario 0'!O34</f>
        <v>7828.6391029754695</v>
      </c>
      <c r="O23" s="208" t="s">
        <v>95</v>
      </c>
      <c r="P23" s="250">
        <f>+'Scenario 0'!E34/Dashboard!$E$16</f>
        <v>0</v>
      </c>
      <c r="Q23" s="202">
        <f>+'Scenario 0'!F34/Dashboard!$E$16</f>
        <v>83.333333333333329</v>
      </c>
      <c r="R23" s="204">
        <f>+'Scenario 0'!G34/Dashboard!$E$16</f>
        <v>85.833333333333329</v>
      </c>
      <c r="S23" s="204">
        <f>+'Scenario 0'!H34/Dashboard!$E$16</f>
        <v>88.408333333333346</v>
      </c>
      <c r="T23" s="204">
        <f>+'Scenario 0'!I34/Dashboard!$E$16</f>
        <v>91.060583333333341</v>
      </c>
      <c r="U23" s="204">
        <f>+'Scenario 0'!J34/Dashboard!$E$16</f>
        <v>93.79240083333336</v>
      </c>
      <c r="V23" s="204">
        <f>+'Scenario 0'!K34/Dashboard!$E$16</f>
        <v>96.606172858333352</v>
      </c>
      <c r="W23" s="204">
        <f>+'Scenario 0'!L34/Dashboard!$E$16</f>
        <v>99.504358044083361</v>
      </c>
      <c r="X23" s="204">
        <f>+'Scenario 0'!M34/Dashboard!$E$16</f>
        <v>102.48948878540585</v>
      </c>
      <c r="Y23" s="204">
        <f>+'Scenario 0'!N34/Dashboard!$E$16</f>
        <v>105.56417344896803</v>
      </c>
      <c r="Z23" s="204">
        <f>+'Scenario 0'!O34/Dashboard!$E$16</f>
        <v>108.73109865243708</v>
      </c>
    </row>
    <row r="24" spans="2:26" x14ac:dyDescent="0.2">
      <c r="B24" s="208" t="s">
        <v>96</v>
      </c>
      <c r="C24" s="250">
        <f>+'Scenario 0'!E35</f>
        <v>0</v>
      </c>
      <c r="D24" s="202">
        <f>+'Scenario 0'!F35</f>
        <v>6500</v>
      </c>
      <c r="E24" s="204">
        <f>+'Scenario 0'!G35</f>
        <v>6695</v>
      </c>
      <c r="F24" s="204">
        <f>+'Scenario 0'!H35</f>
        <v>6895.85</v>
      </c>
      <c r="G24" s="204">
        <f>+'Scenario 0'!I35</f>
        <v>7102.7255000000005</v>
      </c>
      <c r="H24" s="204">
        <f>+'Scenario 0'!J35</f>
        <v>7315.8072650000004</v>
      </c>
      <c r="I24" s="204">
        <f>+'Scenario 0'!K35</f>
        <v>7535.2814829500003</v>
      </c>
      <c r="J24" s="204">
        <f>+'Scenario 0'!L35</f>
        <v>7761.3399274385001</v>
      </c>
      <c r="K24" s="204">
        <f>+'Scenario 0'!M35</f>
        <v>7994.1801252616551</v>
      </c>
      <c r="L24" s="204">
        <f>+'Scenario 0'!N35</f>
        <v>8234.005529019505</v>
      </c>
      <c r="M24" s="204">
        <f>+'Scenario 0'!O35</f>
        <v>8481.0256948900897</v>
      </c>
      <c r="O24" s="208" t="s">
        <v>96</v>
      </c>
      <c r="P24" s="250">
        <f>+'Scenario 0'!E35/Dashboard!$E$16</f>
        <v>0</v>
      </c>
      <c r="Q24" s="202">
        <f>+'Scenario 0'!F35/Dashboard!$E$16</f>
        <v>90.277777777777771</v>
      </c>
      <c r="R24" s="204">
        <f>+'Scenario 0'!G35/Dashboard!$E$16</f>
        <v>92.986111111111114</v>
      </c>
      <c r="S24" s="204">
        <f>+'Scenario 0'!H35/Dashboard!$E$16</f>
        <v>95.775694444444454</v>
      </c>
      <c r="T24" s="204">
        <f>+'Scenario 0'!I35/Dashboard!$E$16</f>
        <v>98.648965277777791</v>
      </c>
      <c r="U24" s="204">
        <f>+'Scenario 0'!J35/Dashboard!$E$16</f>
        <v>101.60843423611112</v>
      </c>
      <c r="V24" s="204">
        <f>+'Scenario 0'!K35/Dashboard!$E$16</f>
        <v>104.65668726319444</v>
      </c>
      <c r="W24" s="204">
        <f>+'Scenario 0'!L35/Dashboard!$E$16</f>
        <v>107.79638788109028</v>
      </c>
      <c r="X24" s="204">
        <f>+'Scenario 0'!M35/Dashboard!$E$16</f>
        <v>111.03027951752298</v>
      </c>
      <c r="Y24" s="204">
        <f>+'Scenario 0'!N35/Dashboard!$E$16</f>
        <v>114.36118790304869</v>
      </c>
      <c r="Z24" s="204">
        <f>+'Scenario 0'!O35/Dashboard!$E$16</f>
        <v>117.79202354014014</v>
      </c>
    </row>
    <row r="25" spans="2:26" x14ac:dyDescent="0.2">
      <c r="B25" s="208" t="s">
        <v>97</v>
      </c>
      <c r="C25" s="250">
        <f>+'Scenario 0'!E36</f>
        <v>0</v>
      </c>
      <c r="D25" s="202">
        <f>+'Scenario 0'!F36</f>
        <v>0</v>
      </c>
      <c r="E25" s="204">
        <f>+'Scenario 0'!G36</f>
        <v>0</v>
      </c>
      <c r="F25" s="204">
        <f>+'Scenario 0'!H36</f>
        <v>0</v>
      </c>
      <c r="G25" s="204">
        <f>+'Scenario 0'!I36</f>
        <v>0</v>
      </c>
      <c r="H25" s="204">
        <f>+'Scenario 0'!J36</f>
        <v>0</v>
      </c>
      <c r="I25" s="204">
        <f>+'Scenario 0'!K36</f>
        <v>0</v>
      </c>
      <c r="J25" s="204">
        <f>+'Scenario 0'!L36</f>
        <v>0</v>
      </c>
      <c r="K25" s="204">
        <f>+'Scenario 0'!M36</f>
        <v>0</v>
      </c>
      <c r="L25" s="204">
        <f>+'Scenario 0'!N36</f>
        <v>0</v>
      </c>
      <c r="M25" s="204">
        <f>+'Scenario 0'!O36</f>
        <v>0</v>
      </c>
      <c r="O25" s="208" t="s">
        <v>97</v>
      </c>
      <c r="P25" s="250">
        <f>+'Scenario 0'!E36/Dashboard!$E$16</f>
        <v>0</v>
      </c>
      <c r="Q25" s="202">
        <f>+'Scenario 0'!F36/Dashboard!$E$16</f>
        <v>0</v>
      </c>
      <c r="R25" s="204">
        <f>+'Scenario 0'!G36/Dashboard!$E$16</f>
        <v>0</v>
      </c>
      <c r="S25" s="204">
        <f>+'Scenario 0'!H36/Dashboard!$E$16</f>
        <v>0</v>
      </c>
      <c r="T25" s="204">
        <f>+'Scenario 0'!I36/Dashboard!$E$16</f>
        <v>0</v>
      </c>
      <c r="U25" s="204">
        <f>+'Scenario 0'!J36/Dashboard!$E$16</f>
        <v>0</v>
      </c>
      <c r="V25" s="204">
        <f>+'Scenario 0'!K36/Dashboard!$E$16</f>
        <v>0</v>
      </c>
      <c r="W25" s="204">
        <f>+'Scenario 0'!L36/Dashboard!$E$16</f>
        <v>0</v>
      </c>
      <c r="X25" s="204">
        <f>+'Scenario 0'!M36/Dashboard!$E$16</f>
        <v>0</v>
      </c>
      <c r="Y25" s="204">
        <f>+'Scenario 0'!N36/Dashboard!$E$16</f>
        <v>0</v>
      </c>
      <c r="Z25" s="204">
        <f>+'Scenario 0'!O36/Dashboard!$E$16</f>
        <v>0</v>
      </c>
    </row>
    <row r="26" spans="2:26" x14ac:dyDescent="0.2">
      <c r="B26" s="208" t="s">
        <v>98</v>
      </c>
      <c r="C26" s="250">
        <f>+'Scenario 0'!E37</f>
        <v>0</v>
      </c>
      <c r="D26" s="202">
        <f>+'Scenario 0'!F37</f>
        <v>0</v>
      </c>
      <c r="E26" s="204">
        <f>+'Scenario 0'!G37</f>
        <v>0</v>
      </c>
      <c r="F26" s="204">
        <f>+'Scenario 0'!H37</f>
        <v>0</v>
      </c>
      <c r="G26" s="204">
        <f>+'Scenario 0'!I37</f>
        <v>0</v>
      </c>
      <c r="H26" s="204">
        <f>+'Scenario 0'!J37</f>
        <v>0</v>
      </c>
      <c r="I26" s="204">
        <f>+'Scenario 0'!K37</f>
        <v>0</v>
      </c>
      <c r="J26" s="204">
        <f>+'Scenario 0'!L37</f>
        <v>0</v>
      </c>
      <c r="K26" s="204">
        <f>+'Scenario 0'!M37</f>
        <v>0</v>
      </c>
      <c r="L26" s="204">
        <f>+'Scenario 0'!N37</f>
        <v>0</v>
      </c>
      <c r="M26" s="204">
        <f>+'Scenario 0'!O37</f>
        <v>0</v>
      </c>
      <c r="O26" s="208" t="s">
        <v>98</v>
      </c>
      <c r="P26" s="250">
        <f>+'Scenario 0'!E37/Dashboard!$E$16</f>
        <v>0</v>
      </c>
      <c r="Q26" s="202">
        <f>+'Scenario 0'!F37/Dashboard!$E$16</f>
        <v>0</v>
      </c>
      <c r="R26" s="204">
        <f>+'Scenario 0'!G37/Dashboard!$E$16</f>
        <v>0</v>
      </c>
      <c r="S26" s="204">
        <f>+'Scenario 0'!H37/Dashboard!$E$16</f>
        <v>0</v>
      </c>
      <c r="T26" s="204">
        <f>+'Scenario 0'!I37/Dashboard!$E$16</f>
        <v>0</v>
      </c>
      <c r="U26" s="204">
        <f>+'Scenario 0'!J37/Dashboard!$E$16</f>
        <v>0</v>
      </c>
      <c r="V26" s="204">
        <f>+'Scenario 0'!K37/Dashboard!$E$16</f>
        <v>0</v>
      </c>
      <c r="W26" s="204">
        <f>+'Scenario 0'!L37/Dashboard!$E$16</f>
        <v>0</v>
      </c>
      <c r="X26" s="204">
        <f>+'Scenario 0'!M37/Dashboard!$E$16</f>
        <v>0</v>
      </c>
      <c r="Y26" s="204">
        <f>+'Scenario 0'!N37/Dashboard!$E$16</f>
        <v>0</v>
      </c>
      <c r="Z26" s="204">
        <f>+'Scenario 0'!O37/Dashboard!$E$16</f>
        <v>0</v>
      </c>
    </row>
    <row r="27" spans="2:26" x14ac:dyDescent="0.2">
      <c r="B27" s="208" t="s">
        <v>99</v>
      </c>
      <c r="C27" s="250">
        <f>+'Scenario 0'!E38</f>
        <v>0</v>
      </c>
      <c r="D27" s="202">
        <f>+'Scenario 0'!F38</f>
        <v>0</v>
      </c>
      <c r="E27" s="204">
        <f>+'Scenario 0'!G38</f>
        <v>0</v>
      </c>
      <c r="F27" s="204">
        <f>+'Scenario 0'!H38</f>
        <v>0</v>
      </c>
      <c r="G27" s="204">
        <f>+'Scenario 0'!I38</f>
        <v>0</v>
      </c>
      <c r="H27" s="204">
        <f>+'Scenario 0'!J38</f>
        <v>0</v>
      </c>
      <c r="I27" s="204">
        <f>+'Scenario 0'!K38</f>
        <v>0</v>
      </c>
      <c r="J27" s="204">
        <f>+'Scenario 0'!L38</f>
        <v>0</v>
      </c>
      <c r="K27" s="204">
        <f>+'Scenario 0'!M38</f>
        <v>0</v>
      </c>
      <c r="L27" s="204">
        <f>+'Scenario 0'!N38</f>
        <v>0</v>
      </c>
      <c r="M27" s="204">
        <f>+'Scenario 0'!O38</f>
        <v>0</v>
      </c>
      <c r="O27" s="208" t="s">
        <v>99</v>
      </c>
      <c r="P27" s="250">
        <f>+'Scenario 0'!E38/Dashboard!$E$16</f>
        <v>0</v>
      </c>
      <c r="Q27" s="202">
        <f>+'Scenario 0'!F38/Dashboard!$E$16</f>
        <v>0</v>
      </c>
      <c r="R27" s="204">
        <f>+'Scenario 0'!G38/Dashboard!$E$16</f>
        <v>0</v>
      </c>
      <c r="S27" s="204">
        <f>+'Scenario 0'!H38/Dashboard!$E$16</f>
        <v>0</v>
      </c>
      <c r="T27" s="204">
        <f>+'Scenario 0'!I38/Dashboard!$E$16</f>
        <v>0</v>
      </c>
      <c r="U27" s="204">
        <f>+'Scenario 0'!J38/Dashboard!$E$16</f>
        <v>0</v>
      </c>
      <c r="V27" s="204">
        <f>+'Scenario 0'!K38/Dashboard!$E$16</f>
        <v>0</v>
      </c>
      <c r="W27" s="204">
        <f>+'Scenario 0'!L38/Dashboard!$E$16</f>
        <v>0</v>
      </c>
      <c r="X27" s="204">
        <f>+'Scenario 0'!M38/Dashboard!$E$16</f>
        <v>0</v>
      </c>
      <c r="Y27" s="204">
        <f>+'Scenario 0'!N38/Dashboard!$E$16</f>
        <v>0</v>
      </c>
      <c r="Z27" s="204">
        <f>+'Scenario 0'!O38/Dashboard!$E$16</f>
        <v>0</v>
      </c>
    </row>
    <row r="28" spans="2:26" x14ac:dyDescent="0.2">
      <c r="B28" s="208" t="s">
        <v>100</v>
      </c>
      <c r="C28" s="250">
        <f>+'Scenario 0'!E39</f>
        <v>0</v>
      </c>
      <c r="D28" s="202">
        <f>+'Scenario 0'!F39</f>
        <v>2000</v>
      </c>
      <c r="E28" s="204">
        <f>+'Scenario 0'!G39</f>
        <v>2060</v>
      </c>
      <c r="F28" s="204">
        <f>+'Scenario 0'!H39</f>
        <v>2121.8000000000002</v>
      </c>
      <c r="G28" s="204">
        <f>+'Scenario 0'!I39</f>
        <v>2185.4540000000002</v>
      </c>
      <c r="H28" s="204">
        <f>+'Scenario 0'!J39</f>
        <v>2251.0176200000001</v>
      </c>
      <c r="I28" s="204">
        <f>+'Scenario 0'!K39</f>
        <v>2318.5481486000003</v>
      </c>
      <c r="J28" s="204">
        <f>+'Scenario 0'!L39</f>
        <v>2388.1045930580003</v>
      </c>
      <c r="K28" s="204">
        <f>+'Scenario 0'!M39</f>
        <v>2459.7477308497405</v>
      </c>
      <c r="L28" s="204">
        <f>+'Scenario 0'!N39</f>
        <v>2533.5401627752326</v>
      </c>
      <c r="M28" s="204">
        <f>+'Scenario 0'!O39</f>
        <v>2609.5463676584895</v>
      </c>
      <c r="O28" s="208" t="s">
        <v>100</v>
      </c>
      <c r="P28" s="250">
        <f>+'Scenario 0'!E39/Dashboard!$E$16</f>
        <v>0</v>
      </c>
      <c r="Q28" s="202">
        <f>+'Scenario 0'!F39/Dashboard!$E$16</f>
        <v>27.777777777777779</v>
      </c>
      <c r="R28" s="204">
        <f>+'Scenario 0'!G39/Dashboard!$E$16</f>
        <v>28.611111111111111</v>
      </c>
      <c r="S28" s="204">
        <f>+'Scenario 0'!H39/Dashboard!$E$16</f>
        <v>29.469444444444449</v>
      </c>
      <c r="T28" s="204">
        <f>+'Scenario 0'!I39/Dashboard!$E$16</f>
        <v>30.353527777777781</v>
      </c>
      <c r="U28" s="204">
        <f>+'Scenario 0'!J39/Dashboard!$E$16</f>
        <v>31.264133611111113</v>
      </c>
      <c r="V28" s="204">
        <f>+'Scenario 0'!K39/Dashboard!$E$16</f>
        <v>32.202057619444446</v>
      </c>
      <c r="W28" s="204">
        <f>+'Scenario 0'!L39/Dashboard!$E$16</f>
        <v>33.16811934802778</v>
      </c>
      <c r="X28" s="204">
        <f>+'Scenario 0'!M39/Dashboard!$E$16</f>
        <v>34.163162928468616</v>
      </c>
      <c r="Y28" s="204">
        <f>+'Scenario 0'!N39/Dashboard!$E$16</f>
        <v>35.188057816322676</v>
      </c>
      <c r="Z28" s="204">
        <f>+'Scenario 0'!O39/Dashboard!$E$16</f>
        <v>36.243699550812352</v>
      </c>
    </row>
    <row r="29" spans="2:26" x14ac:dyDescent="0.2">
      <c r="B29" s="208" t="s">
        <v>101</v>
      </c>
      <c r="C29" s="250">
        <f>+'Scenario 0'!E40</f>
        <v>0</v>
      </c>
      <c r="D29" s="202">
        <f>+'Scenario 0'!F40</f>
        <v>0</v>
      </c>
      <c r="E29" s="204">
        <f>+'Scenario 0'!G40</f>
        <v>0</v>
      </c>
      <c r="F29" s="204">
        <f>+'Scenario 0'!H40</f>
        <v>0</v>
      </c>
      <c r="G29" s="204">
        <f>+'Scenario 0'!I40</f>
        <v>0</v>
      </c>
      <c r="H29" s="204">
        <f>+'Scenario 0'!J40</f>
        <v>0</v>
      </c>
      <c r="I29" s="204">
        <f>+'Scenario 0'!K40</f>
        <v>0</v>
      </c>
      <c r="J29" s="204">
        <f>+'Scenario 0'!L40</f>
        <v>0</v>
      </c>
      <c r="K29" s="204">
        <f>+'Scenario 0'!M40</f>
        <v>0</v>
      </c>
      <c r="L29" s="204">
        <f>+'Scenario 0'!N40</f>
        <v>0</v>
      </c>
      <c r="M29" s="204">
        <f>+'Scenario 0'!O40</f>
        <v>0</v>
      </c>
      <c r="O29" s="208" t="s">
        <v>101</v>
      </c>
      <c r="P29" s="250">
        <f>+'Scenario 0'!E40/Dashboard!$E$16</f>
        <v>0</v>
      </c>
      <c r="Q29" s="202">
        <f>+'Scenario 0'!F40/Dashboard!$E$16</f>
        <v>0</v>
      </c>
      <c r="R29" s="204">
        <f>+'Scenario 0'!G40/Dashboard!$E$16</f>
        <v>0</v>
      </c>
      <c r="S29" s="204">
        <f>+'Scenario 0'!H40/Dashboard!$E$16</f>
        <v>0</v>
      </c>
      <c r="T29" s="204">
        <f>+'Scenario 0'!I40/Dashboard!$E$16</f>
        <v>0</v>
      </c>
      <c r="U29" s="204">
        <f>+'Scenario 0'!J40/Dashboard!$E$16</f>
        <v>0</v>
      </c>
      <c r="V29" s="204">
        <f>+'Scenario 0'!K40/Dashboard!$E$16</f>
        <v>0</v>
      </c>
      <c r="W29" s="204">
        <f>+'Scenario 0'!L40/Dashboard!$E$16</f>
        <v>0</v>
      </c>
      <c r="X29" s="204">
        <f>+'Scenario 0'!M40/Dashboard!$E$16</f>
        <v>0</v>
      </c>
      <c r="Y29" s="204">
        <f>+'Scenario 0'!N40/Dashboard!$E$16</f>
        <v>0</v>
      </c>
      <c r="Z29" s="204">
        <f>+'Scenario 0'!O40/Dashboard!$E$16</f>
        <v>0</v>
      </c>
    </row>
    <row r="30" spans="2:26" x14ac:dyDescent="0.2">
      <c r="B30" s="208" t="s">
        <v>299</v>
      </c>
      <c r="C30" s="250">
        <f>+'Scenario 0'!E41</f>
        <v>0</v>
      </c>
      <c r="D30" s="202">
        <f>+'Scenario 0'!F41</f>
        <v>0</v>
      </c>
      <c r="E30" s="204">
        <f>+'Scenario 0'!G41</f>
        <v>0</v>
      </c>
      <c r="F30" s="204">
        <f>+'Scenario 0'!H41</f>
        <v>0</v>
      </c>
      <c r="G30" s="204">
        <f>+'Scenario 0'!I41</f>
        <v>0</v>
      </c>
      <c r="H30" s="204">
        <f>+'Scenario 0'!J41</f>
        <v>0</v>
      </c>
      <c r="I30" s="204">
        <f>+'Scenario 0'!K41</f>
        <v>0</v>
      </c>
      <c r="J30" s="204">
        <f>+'Scenario 0'!L41</f>
        <v>0</v>
      </c>
      <c r="K30" s="204">
        <f>+'Scenario 0'!M41</f>
        <v>0</v>
      </c>
      <c r="L30" s="204">
        <f>+'Scenario 0'!N41</f>
        <v>0</v>
      </c>
      <c r="M30" s="204">
        <f>+'Scenario 0'!O41</f>
        <v>0</v>
      </c>
      <c r="O30" s="208" t="s">
        <v>299</v>
      </c>
      <c r="P30" s="250">
        <f>+'Scenario 0'!E41/Dashboard!$E$16</f>
        <v>0</v>
      </c>
      <c r="Q30" s="202">
        <f>+'Scenario 0'!F41/Dashboard!$E$16</f>
        <v>0</v>
      </c>
      <c r="R30" s="204">
        <f>+'Scenario 0'!G41/Dashboard!$E$16</f>
        <v>0</v>
      </c>
      <c r="S30" s="204">
        <f>+'Scenario 0'!H41/Dashboard!$E$16</f>
        <v>0</v>
      </c>
      <c r="T30" s="204">
        <f>+'Scenario 0'!I41/Dashboard!$E$16</f>
        <v>0</v>
      </c>
      <c r="U30" s="204">
        <f>+'Scenario 0'!J41/Dashboard!$E$16</f>
        <v>0</v>
      </c>
      <c r="V30" s="204">
        <f>+'Scenario 0'!K41/Dashboard!$E$16</f>
        <v>0</v>
      </c>
      <c r="W30" s="204">
        <f>+'Scenario 0'!L41/Dashboard!$E$16</f>
        <v>0</v>
      </c>
      <c r="X30" s="204">
        <f>+'Scenario 0'!M41/Dashboard!$E$16</f>
        <v>0</v>
      </c>
      <c r="Y30" s="204">
        <f>+'Scenario 0'!N41/Dashboard!$E$16</f>
        <v>0</v>
      </c>
      <c r="Z30" s="204">
        <f>+'Scenario 0'!O41/Dashboard!$E$16</f>
        <v>0</v>
      </c>
    </row>
    <row r="31" spans="2:26" x14ac:dyDescent="0.2">
      <c r="B31" s="208" t="s">
        <v>102</v>
      </c>
      <c r="C31" s="250">
        <f>+'Scenario 0'!E42</f>
        <v>0</v>
      </c>
      <c r="D31" s="202">
        <f>+'Scenario 0'!F42</f>
        <v>0</v>
      </c>
      <c r="E31" s="204">
        <f>+'Scenario 0'!G42</f>
        <v>0</v>
      </c>
      <c r="F31" s="204">
        <f>+'Scenario 0'!H42</f>
        <v>0</v>
      </c>
      <c r="G31" s="204">
        <f>+'Scenario 0'!I42</f>
        <v>0</v>
      </c>
      <c r="H31" s="204">
        <f>+'Scenario 0'!J42</f>
        <v>0</v>
      </c>
      <c r="I31" s="204">
        <f>+'Scenario 0'!K42</f>
        <v>0</v>
      </c>
      <c r="J31" s="204">
        <f>+'Scenario 0'!L42</f>
        <v>0</v>
      </c>
      <c r="K31" s="204">
        <f>+'Scenario 0'!M42</f>
        <v>0</v>
      </c>
      <c r="L31" s="204">
        <f>+'Scenario 0'!N42</f>
        <v>0</v>
      </c>
      <c r="M31" s="204">
        <f>+'Scenario 0'!O42</f>
        <v>0</v>
      </c>
      <c r="O31" s="208" t="s">
        <v>102</v>
      </c>
      <c r="P31" s="250">
        <f>+'Scenario 0'!E42/Dashboard!$E$16</f>
        <v>0</v>
      </c>
      <c r="Q31" s="202">
        <f>+'Scenario 0'!F42/Dashboard!$E$16</f>
        <v>0</v>
      </c>
      <c r="R31" s="204">
        <f>+'Scenario 0'!G42/Dashboard!$E$16</f>
        <v>0</v>
      </c>
      <c r="S31" s="204">
        <f>+'Scenario 0'!H42/Dashboard!$E$16</f>
        <v>0</v>
      </c>
      <c r="T31" s="204">
        <f>+'Scenario 0'!I42/Dashboard!$E$16</f>
        <v>0</v>
      </c>
      <c r="U31" s="204">
        <f>+'Scenario 0'!J42/Dashboard!$E$16</f>
        <v>0</v>
      </c>
      <c r="V31" s="204">
        <f>+'Scenario 0'!K42/Dashboard!$E$16</f>
        <v>0</v>
      </c>
      <c r="W31" s="204">
        <f>+'Scenario 0'!L42/Dashboard!$E$16</f>
        <v>0</v>
      </c>
      <c r="X31" s="204">
        <f>+'Scenario 0'!M42/Dashboard!$E$16</f>
        <v>0</v>
      </c>
      <c r="Y31" s="204">
        <f>+'Scenario 0'!N42/Dashboard!$E$16</f>
        <v>0</v>
      </c>
      <c r="Z31" s="204">
        <f>+'Scenario 0'!O42/Dashboard!$E$16</f>
        <v>0</v>
      </c>
    </row>
    <row r="32" spans="2:26" x14ac:dyDescent="0.2">
      <c r="B32" s="28" t="s">
        <v>334</v>
      </c>
      <c r="C32" s="253">
        <f>+'Scenario 0'!E43</f>
        <v>0</v>
      </c>
      <c r="D32" s="254">
        <f>+'Scenario 0'!F43</f>
        <v>59499.61</v>
      </c>
      <c r="E32" s="254">
        <f>+'Scenario 0'!G43</f>
        <v>61284.598299999998</v>
      </c>
      <c r="F32" s="254">
        <f>+'Scenario 0'!H43</f>
        <v>63123.13624900001</v>
      </c>
      <c r="G32" s="254">
        <f>+'Scenario 0'!I43</f>
        <v>65016.830336470004</v>
      </c>
      <c r="H32" s="254">
        <f>+'Scenario 0'!J43</f>
        <v>66967.335246564122</v>
      </c>
      <c r="I32" s="254">
        <f>+'Scenario 0'!K43</f>
        <v>68976.355303961041</v>
      </c>
      <c r="J32" s="254">
        <f>+'Scenario 0'!L43</f>
        <v>71045.645963079864</v>
      </c>
      <c r="K32" s="254">
        <f>+'Scenario 0'!M43</f>
        <v>73177.015341972263</v>
      </c>
      <c r="L32" s="254">
        <f>+'Scenario 0'!N43</f>
        <v>75372.32580223144</v>
      </c>
      <c r="M32" s="254">
        <f>+'Scenario 0'!O43</f>
        <v>77633.495576298388</v>
      </c>
      <c r="O32" s="28" t="s">
        <v>334</v>
      </c>
      <c r="P32" s="253">
        <f>+'Scenario 0'!E43/Dashboard!$E$16</f>
        <v>0</v>
      </c>
      <c r="Q32" s="254">
        <f>+'Scenario 0'!F43/Dashboard!$E$16</f>
        <v>826.38347222222228</v>
      </c>
      <c r="R32" s="254">
        <f>+'Scenario 0'!G43/Dashboard!$E$16</f>
        <v>851.17497638888881</v>
      </c>
      <c r="S32" s="254">
        <f>+'Scenario 0'!H43/Dashboard!$E$16</f>
        <v>876.71022568055571</v>
      </c>
      <c r="T32" s="254">
        <f>+'Scenario 0'!I43/Dashboard!$E$16</f>
        <v>903.01153245097225</v>
      </c>
      <c r="U32" s="254">
        <f>+'Scenario 0'!J43/Dashboard!$E$16</f>
        <v>930.10187842450171</v>
      </c>
      <c r="V32" s="254">
        <f>+'Scenario 0'!K43/Dashboard!$E$16</f>
        <v>958.00493477723671</v>
      </c>
      <c r="W32" s="254">
        <f>+'Scenario 0'!L43/Dashboard!$E$16</f>
        <v>986.74508282055365</v>
      </c>
      <c r="X32" s="254">
        <f>+'Scenario 0'!M43/Dashboard!$E$16</f>
        <v>1016.3474353051703</v>
      </c>
      <c r="Y32" s="254">
        <f>+'Scenario 0'!N43/Dashboard!$E$16</f>
        <v>1046.8378583643255</v>
      </c>
      <c r="Z32" s="254">
        <f>+'Scenario 0'!O43/Dashboard!$E$16</f>
        <v>1078.2429941152554</v>
      </c>
    </row>
    <row r="33" spans="2:26" ht="5.0999999999999996" customHeight="1" x14ac:dyDescent="0.2">
      <c r="C33" s="231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P33" s="231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 spans="2:26" x14ac:dyDescent="0.2">
      <c r="B34" s="206" t="s">
        <v>106</v>
      </c>
      <c r="C34" s="248">
        <f>+'Scenario 0'!E45</f>
        <v>0</v>
      </c>
      <c r="D34" s="200">
        <f>+'Scenario 0'!F45</f>
        <v>0</v>
      </c>
      <c r="E34" s="204">
        <f>+'Scenario 0'!G45</f>
        <v>0</v>
      </c>
      <c r="F34" s="204">
        <f>+'Scenario 0'!H45</f>
        <v>0</v>
      </c>
      <c r="G34" s="204">
        <f>+'Scenario 0'!I45</f>
        <v>0</v>
      </c>
      <c r="H34" s="204">
        <f>+'Scenario 0'!J45</f>
        <v>0</v>
      </c>
      <c r="I34" s="204">
        <f>+'Scenario 0'!K45</f>
        <v>0</v>
      </c>
      <c r="J34" s="204">
        <f>+'Scenario 0'!L45</f>
        <v>0</v>
      </c>
      <c r="K34" s="204">
        <f>+'Scenario 0'!M45</f>
        <v>0</v>
      </c>
      <c r="L34" s="204">
        <f>+'Scenario 0'!N45</f>
        <v>0</v>
      </c>
      <c r="M34" s="204">
        <f>+'Scenario 0'!O45</f>
        <v>0</v>
      </c>
      <c r="O34" s="206" t="s">
        <v>106</v>
      </c>
      <c r="P34" s="248">
        <f>+'Scenario 0'!E45/Dashboard!$E$16</f>
        <v>0</v>
      </c>
      <c r="Q34" s="200">
        <f>+'Scenario 0'!F45/Dashboard!$E$16</f>
        <v>0</v>
      </c>
      <c r="R34" s="204">
        <f>+'Scenario 0'!G45/Dashboard!$E$16</f>
        <v>0</v>
      </c>
      <c r="S34" s="204">
        <f>+'Scenario 0'!H45/Dashboard!$E$16</f>
        <v>0</v>
      </c>
      <c r="T34" s="204">
        <f>+'Scenario 0'!I45/Dashboard!$E$16</f>
        <v>0</v>
      </c>
      <c r="U34" s="204">
        <f>+'Scenario 0'!J45/Dashboard!$E$16</f>
        <v>0</v>
      </c>
      <c r="V34" s="204">
        <f>+'Scenario 0'!K45/Dashboard!$E$16</f>
        <v>0</v>
      </c>
      <c r="W34" s="204">
        <f>+'Scenario 0'!L45/Dashboard!$E$16</f>
        <v>0</v>
      </c>
      <c r="X34" s="204">
        <f>+'Scenario 0'!M45/Dashboard!$E$16</f>
        <v>0</v>
      </c>
      <c r="Y34" s="204">
        <f>+'Scenario 0'!N45/Dashboard!$E$16</f>
        <v>0</v>
      </c>
      <c r="Z34" s="204">
        <f>+'Scenario 0'!O45/Dashboard!$E$16</f>
        <v>0</v>
      </c>
    </row>
    <row r="35" spans="2:26" x14ac:dyDescent="0.2">
      <c r="B35" s="207" t="s">
        <v>111</v>
      </c>
      <c r="C35" s="250">
        <f>+'Scenario 0'!E46</f>
        <v>0</v>
      </c>
      <c r="D35" s="202">
        <f>+'Scenario 0'!F46</f>
        <v>0</v>
      </c>
      <c r="E35" s="204">
        <f>+'Scenario 0'!G46</f>
        <v>0</v>
      </c>
      <c r="F35" s="204">
        <f>+'Scenario 0'!H46</f>
        <v>0</v>
      </c>
      <c r="G35" s="204">
        <f>+'Scenario 0'!I46</f>
        <v>0</v>
      </c>
      <c r="H35" s="204">
        <f>+'Scenario 0'!J46</f>
        <v>0</v>
      </c>
      <c r="I35" s="204">
        <f>+'Scenario 0'!K46</f>
        <v>0</v>
      </c>
      <c r="J35" s="204">
        <f>+'Scenario 0'!L46</f>
        <v>0</v>
      </c>
      <c r="K35" s="204">
        <f>+'Scenario 0'!M46</f>
        <v>0</v>
      </c>
      <c r="L35" s="204">
        <f>+'Scenario 0'!N46</f>
        <v>0</v>
      </c>
      <c r="M35" s="204">
        <f>+'Scenario 0'!O46</f>
        <v>0</v>
      </c>
      <c r="O35" s="207" t="s">
        <v>111</v>
      </c>
      <c r="P35" s="250">
        <f>+'Scenario 0'!E46/Dashboard!$E$16</f>
        <v>0</v>
      </c>
      <c r="Q35" s="202">
        <f>+'Scenario 0'!F46/Dashboard!$E$16</f>
        <v>0</v>
      </c>
      <c r="R35" s="204">
        <f>+'Scenario 0'!G46/Dashboard!$E$16</f>
        <v>0</v>
      </c>
      <c r="S35" s="204">
        <f>+'Scenario 0'!H46/Dashboard!$E$16</f>
        <v>0</v>
      </c>
      <c r="T35" s="204">
        <f>+'Scenario 0'!I46/Dashboard!$E$16</f>
        <v>0</v>
      </c>
      <c r="U35" s="204">
        <f>+'Scenario 0'!J46/Dashboard!$E$16</f>
        <v>0</v>
      </c>
      <c r="V35" s="204">
        <f>+'Scenario 0'!K46/Dashboard!$E$16</f>
        <v>0</v>
      </c>
      <c r="W35" s="204">
        <f>+'Scenario 0'!L46/Dashboard!$E$16</f>
        <v>0</v>
      </c>
      <c r="X35" s="204">
        <f>+'Scenario 0'!M46/Dashboard!$E$16</f>
        <v>0</v>
      </c>
      <c r="Y35" s="204">
        <f>+'Scenario 0'!N46/Dashboard!$E$16</f>
        <v>0</v>
      </c>
      <c r="Z35" s="204">
        <f>+'Scenario 0'!O46/Dashboard!$E$16</f>
        <v>0</v>
      </c>
    </row>
    <row r="36" spans="2:26" x14ac:dyDescent="0.2">
      <c r="B36" s="207" t="s">
        <v>107</v>
      </c>
      <c r="C36" s="250">
        <f>+'Scenario 0'!E47</f>
        <v>0</v>
      </c>
      <c r="D36" s="202">
        <f>+'Scenario 0'!F47</f>
        <v>0</v>
      </c>
      <c r="E36" s="204">
        <f>+'Scenario 0'!G47</f>
        <v>0</v>
      </c>
      <c r="F36" s="204">
        <f>+'Scenario 0'!H47</f>
        <v>0</v>
      </c>
      <c r="G36" s="204">
        <f>+'Scenario 0'!I47</f>
        <v>0</v>
      </c>
      <c r="H36" s="204">
        <f>+'Scenario 0'!J47</f>
        <v>0</v>
      </c>
      <c r="I36" s="204">
        <f>+'Scenario 0'!K47</f>
        <v>0</v>
      </c>
      <c r="J36" s="204">
        <f>+'Scenario 0'!L47</f>
        <v>0</v>
      </c>
      <c r="K36" s="204">
        <f>+'Scenario 0'!M47</f>
        <v>0</v>
      </c>
      <c r="L36" s="204">
        <f>+'Scenario 0'!N47</f>
        <v>0</v>
      </c>
      <c r="M36" s="204">
        <f>+'Scenario 0'!O47</f>
        <v>0</v>
      </c>
      <c r="O36" s="207" t="s">
        <v>107</v>
      </c>
      <c r="P36" s="250">
        <f>+'Scenario 0'!E47/Dashboard!$E$16</f>
        <v>0</v>
      </c>
      <c r="Q36" s="202">
        <f>+'Scenario 0'!F47/Dashboard!$E$16</f>
        <v>0</v>
      </c>
      <c r="R36" s="204">
        <f>+'Scenario 0'!G47/Dashboard!$E$16</f>
        <v>0</v>
      </c>
      <c r="S36" s="204">
        <f>+'Scenario 0'!H47/Dashboard!$E$16</f>
        <v>0</v>
      </c>
      <c r="T36" s="204">
        <f>+'Scenario 0'!I47/Dashboard!$E$16</f>
        <v>0</v>
      </c>
      <c r="U36" s="204">
        <f>+'Scenario 0'!J47/Dashboard!$E$16</f>
        <v>0</v>
      </c>
      <c r="V36" s="204">
        <f>+'Scenario 0'!K47/Dashboard!$E$16</f>
        <v>0</v>
      </c>
      <c r="W36" s="204">
        <f>+'Scenario 0'!L47/Dashboard!$E$16</f>
        <v>0</v>
      </c>
      <c r="X36" s="204">
        <f>+'Scenario 0'!M47/Dashboard!$E$16</f>
        <v>0</v>
      </c>
      <c r="Y36" s="204">
        <f>+'Scenario 0'!N47/Dashboard!$E$16</f>
        <v>0</v>
      </c>
      <c r="Z36" s="204">
        <f>+'Scenario 0'!O47/Dashboard!$E$16</f>
        <v>0</v>
      </c>
    </row>
    <row r="37" spans="2:26" x14ac:dyDescent="0.2">
      <c r="B37" s="207" t="s">
        <v>108</v>
      </c>
      <c r="C37" s="250">
        <f>+'Scenario 0'!E48</f>
        <v>0</v>
      </c>
      <c r="D37" s="202">
        <f>+'Scenario 0'!F48</f>
        <v>0</v>
      </c>
      <c r="E37" s="204">
        <f>+'Scenario 0'!G48</f>
        <v>0</v>
      </c>
      <c r="F37" s="204">
        <f>+'Scenario 0'!H48</f>
        <v>0</v>
      </c>
      <c r="G37" s="204">
        <f>+'Scenario 0'!I48</f>
        <v>0</v>
      </c>
      <c r="H37" s="204">
        <f>+'Scenario 0'!J48</f>
        <v>0</v>
      </c>
      <c r="I37" s="204">
        <f>+'Scenario 0'!K48</f>
        <v>0</v>
      </c>
      <c r="J37" s="204">
        <f>+'Scenario 0'!L48</f>
        <v>0</v>
      </c>
      <c r="K37" s="204">
        <f>+'Scenario 0'!M48</f>
        <v>0</v>
      </c>
      <c r="L37" s="204">
        <f>+'Scenario 0'!N48</f>
        <v>0</v>
      </c>
      <c r="M37" s="204">
        <f>+'Scenario 0'!O48</f>
        <v>0</v>
      </c>
      <c r="O37" s="207" t="s">
        <v>108</v>
      </c>
      <c r="P37" s="250">
        <f>+'Scenario 0'!E48/Dashboard!$E$16</f>
        <v>0</v>
      </c>
      <c r="Q37" s="202">
        <f>+'Scenario 0'!F48/Dashboard!$E$16</f>
        <v>0</v>
      </c>
      <c r="R37" s="204">
        <f>+'Scenario 0'!G48/Dashboard!$E$16</f>
        <v>0</v>
      </c>
      <c r="S37" s="204">
        <f>+'Scenario 0'!H48/Dashboard!$E$16</f>
        <v>0</v>
      </c>
      <c r="T37" s="204">
        <f>+'Scenario 0'!I48/Dashboard!$E$16</f>
        <v>0</v>
      </c>
      <c r="U37" s="204">
        <f>+'Scenario 0'!J48/Dashboard!$E$16</f>
        <v>0</v>
      </c>
      <c r="V37" s="204">
        <f>+'Scenario 0'!K48/Dashboard!$E$16</f>
        <v>0</v>
      </c>
      <c r="W37" s="204">
        <f>+'Scenario 0'!L48/Dashboard!$E$16</f>
        <v>0</v>
      </c>
      <c r="X37" s="204">
        <f>+'Scenario 0'!M48/Dashboard!$E$16</f>
        <v>0</v>
      </c>
      <c r="Y37" s="204">
        <f>+'Scenario 0'!N48/Dashboard!$E$16</f>
        <v>0</v>
      </c>
      <c r="Z37" s="204">
        <f>+'Scenario 0'!O48/Dashboard!$E$16</f>
        <v>0</v>
      </c>
    </row>
    <row r="38" spans="2:26" x14ac:dyDescent="0.2">
      <c r="B38" s="207" t="s">
        <v>109</v>
      </c>
      <c r="C38" s="250">
        <f>+'Scenario 0'!E49</f>
        <v>0</v>
      </c>
      <c r="D38" s="202">
        <f>+'Scenario 0'!F49</f>
        <v>0</v>
      </c>
      <c r="E38" s="204">
        <f>+'Scenario 0'!G49</f>
        <v>0</v>
      </c>
      <c r="F38" s="204">
        <f>+'Scenario 0'!H49</f>
        <v>0</v>
      </c>
      <c r="G38" s="204">
        <f>+'Scenario 0'!I49</f>
        <v>0</v>
      </c>
      <c r="H38" s="204">
        <f>+'Scenario 0'!J49</f>
        <v>0</v>
      </c>
      <c r="I38" s="204">
        <f>+'Scenario 0'!K49</f>
        <v>0</v>
      </c>
      <c r="J38" s="204">
        <f>+'Scenario 0'!L49</f>
        <v>0</v>
      </c>
      <c r="K38" s="204">
        <f>+'Scenario 0'!M49</f>
        <v>0</v>
      </c>
      <c r="L38" s="204">
        <f>+'Scenario 0'!N49</f>
        <v>0</v>
      </c>
      <c r="M38" s="204">
        <f>+'Scenario 0'!O49</f>
        <v>0</v>
      </c>
      <c r="O38" s="207" t="s">
        <v>109</v>
      </c>
      <c r="P38" s="250">
        <f>+'Scenario 0'!E49/Dashboard!$E$16</f>
        <v>0</v>
      </c>
      <c r="Q38" s="202">
        <f>+'Scenario 0'!F49/Dashboard!$E$16</f>
        <v>0</v>
      </c>
      <c r="R38" s="204">
        <f>+'Scenario 0'!G49/Dashboard!$E$16</f>
        <v>0</v>
      </c>
      <c r="S38" s="204">
        <f>+'Scenario 0'!H49/Dashboard!$E$16</f>
        <v>0</v>
      </c>
      <c r="T38" s="204">
        <f>+'Scenario 0'!I49/Dashboard!$E$16</f>
        <v>0</v>
      </c>
      <c r="U38" s="204">
        <f>+'Scenario 0'!J49/Dashboard!$E$16</f>
        <v>0</v>
      </c>
      <c r="V38" s="204">
        <f>+'Scenario 0'!K49/Dashboard!$E$16</f>
        <v>0</v>
      </c>
      <c r="W38" s="204">
        <f>+'Scenario 0'!L49/Dashboard!$E$16</f>
        <v>0</v>
      </c>
      <c r="X38" s="204">
        <f>+'Scenario 0'!M49/Dashboard!$E$16</f>
        <v>0</v>
      </c>
      <c r="Y38" s="204">
        <f>+'Scenario 0'!N49/Dashboard!$E$16</f>
        <v>0</v>
      </c>
      <c r="Z38" s="204">
        <f>+'Scenario 0'!O49/Dashboard!$E$16</f>
        <v>0</v>
      </c>
    </row>
    <row r="39" spans="2:26" x14ac:dyDescent="0.2">
      <c r="B39" s="207" t="s">
        <v>110</v>
      </c>
      <c r="C39" s="250">
        <f>+'Scenario 0'!E50</f>
        <v>0</v>
      </c>
      <c r="D39" s="202">
        <f>+'Scenario 0'!F50</f>
        <v>0</v>
      </c>
      <c r="E39" s="204">
        <f>+'Scenario 0'!G50</f>
        <v>0</v>
      </c>
      <c r="F39" s="204">
        <f>+'Scenario 0'!H50</f>
        <v>0</v>
      </c>
      <c r="G39" s="204">
        <f>+'Scenario 0'!I50</f>
        <v>0</v>
      </c>
      <c r="H39" s="204">
        <f>+'Scenario 0'!J50</f>
        <v>0</v>
      </c>
      <c r="I39" s="204">
        <f>+'Scenario 0'!K50</f>
        <v>0</v>
      </c>
      <c r="J39" s="204">
        <f>+'Scenario 0'!L50</f>
        <v>0</v>
      </c>
      <c r="K39" s="204">
        <f>+'Scenario 0'!M50</f>
        <v>0</v>
      </c>
      <c r="L39" s="204">
        <f>+'Scenario 0'!N50</f>
        <v>0</v>
      </c>
      <c r="M39" s="204">
        <f>+'Scenario 0'!O50</f>
        <v>0</v>
      </c>
      <c r="O39" s="207" t="s">
        <v>110</v>
      </c>
      <c r="P39" s="250">
        <f>+'Scenario 0'!E50/Dashboard!$E$16</f>
        <v>0</v>
      </c>
      <c r="Q39" s="202">
        <f>+'Scenario 0'!F50/Dashboard!$E$16</f>
        <v>0</v>
      </c>
      <c r="R39" s="204">
        <f>+'Scenario 0'!G50/Dashboard!$E$16</f>
        <v>0</v>
      </c>
      <c r="S39" s="204">
        <f>+'Scenario 0'!H50/Dashboard!$E$16</f>
        <v>0</v>
      </c>
      <c r="T39" s="204">
        <f>+'Scenario 0'!I50/Dashboard!$E$16</f>
        <v>0</v>
      </c>
      <c r="U39" s="204">
        <f>+'Scenario 0'!J50/Dashboard!$E$16</f>
        <v>0</v>
      </c>
      <c r="V39" s="204">
        <f>+'Scenario 0'!K50/Dashboard!$E$16</f>
        <v>0</v>
      </c>
      <c r="W39" s="204">
        <f>+'Scenario 0'!L50/Dashboard!$E$16</f>
        <v>0</v>
      </c>
      <c r="X39" s="204">
        <f>+'Scenario 0'!M50/Dashboard!$E$16</f>
        <v>0</v>
      </c>
      <c r="Y39" s="204">
        <f>+'Scenario 0'!N50/Dashboard!$E$16</f>
        <v>0</v>
      </c>
      <c r="Z39" s="204">
        <f>+'Scenario 0'!O50/Dashboard!$E$16</f>
        <v>0</v>
      </c>
    </row>
    <row r="40" spans="2:26" x14ac:dyDescent="0.2">
      <c r="B40" s="28" t="s">
        <v>333</v>
      </c>
      <c r="C40" s="253">
        <f>+'Scenario 0'!E51</f>
        <v>0</v>
      </c>
      <c r="D40" s="254">
        <f>+'Scenario 0'!F51</f>
        <v>0</v>
      </c>
      <c r="E40" s="254">
        <f>+'Scenario 0'!G51</f>
        <v>0</v>
      </c>
      <c r="F40" s="254">
        <f>+'Scenario 0'!H51</f>
        <v>0</v>
      </c>
      <c r="G40" s="254">
        <f>+'Scenario 0'!I51</f>
        <v>0</v>
      </c>
      <c r="H40" s="254">
        <f>+'Scenario 0'!J51</f>
        <v>0</v>
      </c>
      <c r="I40" s="254">
        <f>+'Scenario 0'!K51</f>
        <v>0</v>
      </c>
      <c r="J40" s="254">
        <f>+'Scenario 0'!L51</f>
        <v>0</v>
      </c>
      <c r="K40" s="254">
        <f>+'Scenario 0'!M51</f>
        <v>0</v>
      </c>
      <c r="L40" s="254">
        <f>+'Scenario 0'!N51</f>
        <v>0</v>
      </c>
      <c r="M40" s="254">
        <f>+'Scenario 0'!O51</f>
        <v>0</v>
      </c>
      <c r="O40" s="28" t="s">
        <v>333</v>
      </c>
      <c r="P40" s="253">
        <f>+'Scenario 0'!E51/Dashboard!$E$16</f>
        <v>0</v>
      </c>
      <c r="Q40" s="254">
        <f>+'Scenario 0'!F51/Dashboard!$E$16</f>
        <v>0</v>
      </c>
      <c r="R40" s="254">
        <f>+'Scenario 0'!G51/Dashboard!$E$16</f>
        <v>0</v>
      </c>
      <c r="S40" s="254">
        <f>+'Scenario 0'!H51/Dashboard!$E$16</f>
        <v>0</v>
      </c>
      <c r="T40" s="254">
        <f>+'Scenario 0'!I51/Dashboard!$E$16</f>
        <v>0</v>
      </c>
      <c r="U40" s="254">
        <f>+'Scenario 0'!J51/Dashboard!$E$16</f>
        <v>0</v>
      </c>
      <c r="V40" s="254">
        <f>+'Scenario 0'!K51/Dashboard!$E$16</f>
        <v>0</v>
      </c>
      <c r="W40" s="254">
        <f>+'Scenario 0'!L51/Dashboard!$E$16</f>
        <v>0</v>
      </c>
      <c r="X40" s="254">
        <f>+'Scenario 0'!M51/Dashboard!$E$16</f>
        <v>0</v>
      </c>
      <c r="Y40" s="254">
        <f>+'Scenario 0'!N51/Dashboard!$E$16</f>
        <v>0</v>
      </c>
      <c r="Z40" s="254">
        <f>+'Scenario 0'!O51/Dashboard!$E$16</f>
        <v>0</v>
      </c>
    </row>
    <row r="41" spans="2:26" ht="5.0999999999999996" customHeight="1" x14ac:dyDescent="0.2">
      <c r="C41" s="231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P41" s="231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 spans="2:26" x14ac:dyDescent="0.2">
      <c r="B42" s="206" t="s">
        <v>113</v>
      </c>
      <c r="C42" s="248">
        <f>+'Scenario 0'!E53</f>
        <v>0</v>
      </c>
      <c r="D42" s="200">
        <f>+'Scenario 0'!F53</f>
        <v>0</v>
      </c>
      <c r="E42" s="200">
        <f>+'Scenario 0'!G53</f>
        <v>0</v>
      </c>
      <c r="F42" s="200">
        <f>+'Scenario 0'!H53</f>
        <v>0</v>
      </c>
      <c r="G42" s="200">
        <f>+'Scenario 0'!I53</f>
        <v>0</v>
      </c>
      <c r="H42" s="200">
        <f>+'Scenario 0'!J53</f>
        <v>0</v>
      </c>
      <c r="I42" s="200">
        <f>+'Scenario 0'!K53</f>
        <v>0</v>
      </c>
      <c r="J42" s="200">
        <f>+'Scenario 0'!L53</f>
        <v>0</v>
      </c>
      <c r="K42" s="200">
        <f>+'Scenario 0'!M53</f>
        <v>0</v>
      </c>
      <c r="L42" s="200">
        <f>+'Scenario 0'!N53</f>
        <v>0</v>
      </c>
      <c r="M42" s="200">
        <f>+'Scenario 0'!O53</f>
        <v>0</v>
      </c>
      <c r="O42" s="206" t="s">
        <v>113</v>
      </c>
      <c r="P42" s="248">
        <f>+'Scenario 0'!E53/Dashboard!$E$16</f>
        <v>0</v>
      </c>
      <c r="Q42" s="200">
        <f>+'Scenario 0'!F53/Dashboard!$E$16</f>
        <v>0</v>
      </c>
      <c r="R42" s="200">
        <f>+'Scenario 0'!G53/Dashboard!$E$16</f>
        <v>0</v>
      </c>
      <c r="S42" s="200">
        <f>+'Scenario 0'!H53/Dashboard!$E$16</f>
        <v>0</v>
      </c>
      <c r="T42" s="200">
        <f>+'Scenario 0'!I53/Dashboard!$E$16</f>
        <v>0</v>
      </c>
      <c r="U42" s="200">
        <f>+'Scenario 0'!J53/Dashboard!$E$16</f>
        <v>0</v>
      </c>
      <c r="V42" s="200">
        <f>+'Scenario 0'!K53/Dashboard!$E$16</f>
        <v>0</v>
      </c>
      <c r="W42" s="200">
        <f>+'Scenario 0'!L53/Dashboard!$E$16</f>
        <v>0</v>
      </c>
      <c r="X42" s="200">
        <f>+'Scenario 0'!M53/Dashboard!$E$16</f>
        <v>0</v>
      </c>
      <c r="Y42" s="200">
        <f>+'Scenario 0'!N53/Dashboard!$E$16</f>
        <v>0</v>
      </c>
      <c r="Z42" s="200">
        <f>+'Scenario 0'!O53/Dashboard!$E$16</f>
        <v>0</v>
      </c>
    </row>
    <row r="43" spans="2:26" x14ac:dyDescent="0.2">
      <c r="B43" s="207" t="s">
        <v>432</v>
      </c>
      <c r="C43" s="250">
        <f>+'Scenario 0'!E54</f>
        <v>0</v>
      </c>
      <c r="D43" s="202">
        <f>+'Scenario 0'!F54</f>
        <v>0</v>
      </c>
      <c r="E43" s="204">
        <f>+'Scenario 0'!G54</f>
        <v>0</v>
      </c>
      <c r="F43" s="204">
        <f>+'Scenario 0'!H54</f>
        <v>0</v>
      </c>
      <c r="G43" s="204">
        <f>+'Scenario 0'!I54</f>
        <v>0</v>
      </c>
      <c r="H43" s="204">
        <f>+'Scenario 0'!J54</f>
        <v>0</v>
      </c>
      <c r="I43" s="204">
        <f>+'Scenario 0'!K54</f>
        <v>0</v>
      </c>
      <c r="J43" s="204">
        <f>+'Scenario 0'!L54</f>
        <v>0</v>
      </c>
      <c r="K43" s="204">
        <f>+'Scenario 0'!M54</f>
        <v>0</v>
      </c>
      <c r="L43" s="204">
        <f>+'Scenario 0'!N54</f>
        <v>0</v>
      </c>
      <c r="M43" s="204">
        <f>+'Scenario 0'!O54</f>
        <v>0</v>
      </c>
      <c r="O43" s="207" t="s">
        <v>432</v>
      </c>
      <c r="P43" s="250">
        <f>+'Scenario 0'!E54/Dashboard!$E$16</f>
        <v>0</v>
      </c>
      <c r="Q43" s="202">
        <f>+'Scenario 0'!F54/Dashboard!$E$16</f>
        <v>0</v>
      </c>
      <c r="R43" s="204">
        <f>+'Scenario 0'!G54/Dashboard!$E$16</f>
        <v>0</v>
      </c>
      <c r="S43" s="204">
        <f>+'Scenario 0'!H54/Dashboard!$E$16</f>
        <v>0</v>
      </c>
      <c r="T43" s="204">
        <f>+'Scenario 0'!I54/Dashboard!$E$16</f>
        <v>0</v>
      </c>
      <c r="U43" s="204">
        <f>+'Scenario 0'!J54/Dashboard!$E$16</f>
        <v>0</v>
      </c>
      <c r="V43" s="204">
        <f>+'Scenario 0'!K54/Dashboard!$E$16</f>
        <v>0</v>
      </c>
      <c r="W43" s="204">
        <f>+'Scenario 0'!L54/Dashboard!$E$16</f>
        <v>0</v>
      </c>
      <c r="X43" s="204">
        <f>+'Scenario 0'!M54/Dashboard!$E$16</f>
        <v>0</v>
      </c>
      <c r="Y43" s="204">
        <f>+'Scenario 0'!N54/Dashboard!$E$16</f>
        <v>0</v>
      </c>
      <c r="Z43" s="204">
        <f>+'Scenario 0'!O54/Dashboard!$E$16</f>
        <v>0</v>
      </c>
    </row>
    <row r="44" spans="2:26" x14ac:dyDescent="0.2">
      <c r="B44" s="207" t="s">
        <v>114</v>
      </c>
      <c r="C44" s="250">
        <f>+'Scenario 0'!E55</f>
        <v>0</v>
      </c>
      <c r="D44" s="202">
        <f>+'Scenario 0'!F55</f>
        <v>12960</v>
      </c>
      <c r="E44" s="204">
        <f>+'Scenario 0'!G55</f>
        <v>13348.800000000001</v>
      </c>
      <c r="F44" s="204">
        <f>+'Scenario 0'!H55</f>
        <v>13749.264000000001</v>
      </c>
      <c r="G44" s="204">
        <f>+'Scenario 0'!I55</f>
        <v>14161.741920000002</v>
      </c>
      <c r="H44" s="204">
        <f>+'Scenario 0'!J55</f>
        <v>14586.594177600002</v>
      </c>
      <c r="I44" s="204">
        <f>+'Scenario 0'!K55</f>
        <v>15024.192002928003</v>
      </c>
      <c r="J44" s="204">
        <f>+'Scenario 0'!L55</f>
        <v>15474.917763015843</v>
      </c>
      <c r="K44" s="204">
        <f>+'Scenario 0'!M55</f>
        <v>15939.165295906319</v>
      </c>
      <c r="L44" s="204">
        <f>+'Scenario 0'!N55</f>
        <v>16417.34025478351</v>
      </c>
      <c r="M44" s="204">
        <f>+'Scenario 0'!O55</f>
        <v>16909.860462427016</v>
      </c>
      <c r="O44" s="207" t="s">
        <v>114</v>
      </c>
      <c r="P44" s="250">
        <f>+'Scenario 0'!E55/Dashboard!$E$16</f>
        <v>0</v>
      </c>
      <c r="Q44" s="202">
        <f>+'Scenario 0'!F55/Dashboard!$E$16</f>
        <v>180</v>
      </c>
      <c r="R44" s="204">
        <f>+'Scenario 0'!G55/Dashboard!$E$16</f>
        <v>185.4</v>
      </c>
      <c r="S44" s="204">
        <f>+'Scenario 0'!H55/Dashboard!$E$16</f>
        <v>190.96200000000002</v>
      </c>
      <c r="T44" s="204">
        <f>+'Scenario 0'!I55/Dashboard!$E$16</f>
        <v>196.69086000000004</v>
      </c>
      <c r="U44" s="204">
        <f>+'Scenario 0'!J55/Dashboard!$E$16</f>
        <v>202.59158580000002</v>
      </c>
      <c r="V44" s="204">
        <f>+'Scenario 0'!K55/Dashboard!$E$16</f>
        <v>208.66933337400005</v>
      </c>
      <c r="W44" s="204">
        <f>+'Scenario 0'!L55/Dashboard!$E$16</f>
        <v>214.92941337522004</v>
      </c>
      <c r="X44" s="204">
        <f>+'Scenario 0'!M55/Dashboard!$E$16</f>
        <v>221.37729577647667</v>
      </c>
      <c r="Y44" s="204">
        <f>+'Scenario 0'!N55/Dashboard!$E$16</f>
        <v>228.01861464977097</v>
      </c>
      <c r="Z44" s="204">
        <f>+'Scenario 0'!O55/Dashboard!$E$16</f>
        <v>234.85917308926412</v>
      </c>
    </row>
    <row r="45" spans="2:26" x14ac:dyDescent="0.2">
      <c r="B45" s="207" t="s">
        <v>115</v>
      </c>
      <c r="C45" s="250">
        <f>+'Scenario 0'!E56</f>
        <v>0</v>
      </c>
      <c r="D45" s="202">
        <f>+'Scenario 0'!F56</f>
        <v>2100</v>
      </c>
      <c r="E45" s="204">
        <f>+'Scenario 0'!G56</f>
        <v>2163</v>
      </c>
      <c r="F45" s="204">
        <f>+'Scenario 0'!H56</f>
        <v>2227.89</v>
      </c>
      <c r="G45" s="204">
        <f>+'Scenario 0'!I56</f>
        <v>2294.7266999999997</v>
      </c>
      <c r="H45" s="204">
        <f>+'Scenario 0'!J56</f>
        <v>2363.5685009999997</v>
      </c>
      <c r="I45" s="204">
        <f>+'Scenario 0'!K56</f>
        <v>2434.47555603</v>
      </c>
      <c r="J45" s="204">
        <f>+'Scenario 0'!L56</f>
        <v>2507.5098227109002</v>
      </c>
      <c r="K45" s="204">
        <f>+'Scenario 0'!M56</f>
        <v>2582.735117392227</v>
      </c>
      <c r="L45" s="204">
        <f>+'Scenario 0'!N56</f>
        <v>2660.2171709139939</v>
      </c>
      <c r="M45" s="204">
        <f>+'Scenario 0'!O56</f>
        <v>2740.0236860414138</v>
      </c>
      <c r="O45" s="207" t="s">
        <v>115</v>
      </c>
      <c r="P45" s="250">
        <f>+'Scenario 0'!E56/Dashboard!$E$16</f>
        <v>0</v>
      </c>
      <c r="Q45" s="202">
        <f>+'Scenario 0'!F56/Dashboard!$E$16</f>
        <v>29.166666666666668</v>
      </c>
      <c r="R45" s="204">
        <f>+'Scenario 0'!G56/Dashboard!$E$16</f>
        <v>30.041666666666668</v>
      </c>
      <c r="S45" s="204">
        <f>+'Scenario 0'!H56/Dashboard!$E$16</f>
        <v>30.942916666666665</v>
      </c>
      <c r="T45" s="204">
        <f>+'Scenario 0'!I56/Dashboard!$E$16</f>
        <v>31.871204166666661</v>
      </c>
      <c r="U45" s="204">
        <f>+'Scenario 0'!J56/Dashboard!$E$16</f>
        <v>32.827340291666665</v>
      </c>
      <c r="V45" s="204">
        <f>+'Scenario 0'!K56/Dashboard!$E$16</f>
        <v>33.812160500416667</v>
      </c>
      <c r="W45" s="204">
        <f>+'Scenario 0'!L56/Dashboard!$E$16</f>
        <v>34.826525315429166</v>
      </c>
      <c r="X45" s="204">
        <f>+'Scenario 0'!M56/Dashboard!$E$16</f>
        <v>35.871321074892045</v>
      </c>
      <c r="Y45" s="204">
        <f>+'Scenario 0'!N56/Dashboard!$E$16</f>
        <v>36.947460707138802</v>
      </c>
      <c r="Z45" s="204">
        <f>+'Scenario 0'!O56/Dashboard!$E$16</f>
        <v>38.055884528352969</v>
      </c>
    </row>
    <row r="46" spans="2:26" x14ac:dyDescent="0.2">
      <c r="B46" s="207" t="s">
        <v>116</v>
      </c>
      <c r="C46" s="250">
        <f>+'Scenario 0'!E57</f>
        <v>0</v>
      </c>
      <c r="D46" s="202">
        <f>+'Scenario 0'!F57</f>
        <v>0</v>
      </c>
      <c r="E46" s="204">
        <f>+'Scenario 0'!G57</f>
        <v>0</v>
      </c>
      <c r="F46" s="204">
        <f>+'Scenario 0'!H57</f>
        <v>0</v>
      </c>
      <c r="G46" s="204">
        <f>+'Scenario 0'!I57</f>
        <v>0</v>
      </c>
      <c r="H46" s="204">
        <f>+'Scenario 0'!J57</f>
        <v>0</v>
      </c>
      <c r="I46" s="204">
        <f>+'Scenario 0'!K57</f>
        <v>0</v>
      </c>
      <c r="J46" s="204">
        <f>+'Scenario 0'!L57</f>
        <v>0</v>
      </c>
      <c r="K46" s="204">
        <f>+'Scenario 0'!M57</f>
        <v>0</v>
      </c>
      <c r="L46" s="204">
        <f>+'Scenario 0'!N57</f>
        <v>0</v>
      </c>
      <c r="M46" s="204">
        <f>+'Scenario 0'!O57</f>
        <v>0</v>
      </c>
      <c r="O46" s="207" t="s">
        <v>116</v>
      </c>
      <c r="P46" s="250">
        <f>+'Scenario 0'!E57/Dashboard!$E$16</f>
        <v>0</v>
      </c>
      <c r="Q46" s="202">
        <f>+'Scenario 0'!F57/Dashboard!$E$16</f>
        <v>0</v>
      </c>
      <c r="R46" s="204">
        <f>+'Scenario 0'!G57/Dashboard!$E$16</f>
        <v>0</v>
      </c>
      <c r="S46" s="204">
        <f>+'Scenario 0'!H57/Dashboard!$E$16</f>
        <v>0</v>
      </c>
      <c r="T46" s="204">
        <f>+'Scenario 0'!I57/Dashboard!$E$16</f>
        <v>0</v>
      </c>
      <c r="U46" s="204">
        <f>+'Scenario 0'!J57/Dashboard!$E$16</f>
        <v>0</v>
      </c>
      <c r="V46" s="204">
        <f>+'Scenario 0'!K57/Dashboard!$E$16</f>
        <v>0</v>
      </c>
      <c r="W46" s="204">
        <f>+'Scenario 0'!L57/Dashboard!$E$16</f>
        <v>0</v>
      </c>
      <c r="X46" s="204">
        <f>+'Scenario 0'!M57/Dashboard!$E$16</f>
        <v>0</v>
      </c>
      <c r="Y46" s="204">
        <f>+'Scenario 0'!N57/Dashboard!$E$16</f>
        <v>0</v>
      </c>
      <c r="Z46" s="204">
        <f>+'Scenario 0'!O57/Dashboard!$E$16</f>
        <v>0</v>
      </c>
    </row>
    <row r="47" spans="2:26" x14ac:dyDescent="0.2">
      <c r="B47" s="207" t="s">
        <v>117</v>
      </c>
      <c r="C47" s="250">
        <f>+'Scenario 0'!E58</f>
        <v>0</v>
      </c>
      <c r="D47" s="202">
        <f>+'Scenario 0'!F58</f>
        <v>0</v>
      </c>
      <c r="E47" s="204">
        <f>+'Scenario 0'!G58</f>
        <v>0</v>
      </c>
      <c r="F47" s="204">
        <f>+'Scenario 0'!H58</f>
        <v>0</v>
      </c>
      <c r="G47" s="204">
        <f>+'Scenario 0'!I58</f>
        <v>0</v>
      </c>
      <c r="H47" s="204">
        <f>+'Scenario 0'!J58</f>
        <v>0</v>
      </c>
      <c r="I47" s="204">
        <f>+'Scenario 0'!K58</f>
        <v>0</v>
      </c>
      <c r="J47" s="204">
        <f>+'Scenario 0'!L58</f>
        <v>0</v>
      </c>
      <c r="K47" s="204">
        <f>+'Scenario 0'!M58</f>
        <v>0</v>
      </c>
      <c r="L47" s="204">
        <f>+'Scenario 0'!N58</f>
        <v>0</v>
      </c>
      <c r="M47" s="204">
        <f>+'Scenario 0'!O58</f>
        <v>0</v>
      </c>
      <c r="O47" s="207" t="s">
        <v>117</v>
      </c>
      <c r="P47" s="250">
        <f>+'Scenario 0'!E58/Dashboard!$E$16</f>
        <v>0</v>
      </c>
      <c r="Q47" s="202">
        <f>+'Scenario 0'!F58/Dashboard!$E$16</f>
        <v>0</v>
      </c>
      <c r="R47" s="204">
        <f>+'Scenario 0'!G58/Dashboard!$E$16</f>
        <v>0</v>
      </c>
      <c r="S47" s="204">
        <f>+'Scenario 0'!H58/Dashboard!$E$16</f>
        <v>0</v>
      </c>
      <c r="T47" s="204">
        <f>+'Scenario 0'!I58/Dashboard!$E$16</f>
        <v>0</v>
      </c>
      <c r="U47" s="204">
        <f>+'Scenario 0'!J58/Dashboard!$E$16</f>
        <v>0</v>
      </c>
      <c r="V47" s="204">
        <f>+'Scenario 0'!K58/Dashboard!$E$16</f>
        <v>0</v>
      </c>
      <c r="W47" s="204">
        <f>+'Scenario 0'!L58/Dashboard!$E$16</f>
        <v>0</v>
      </c>
      <c r="X47" s="204">
        <f>+'Scenario 0'!M58/Dashboard!$E$16</f>
        <v>0</v>
      </c>
      <c r="Y47" s="204">
        <f>+'Scenario 0'!N58/Dashboard!$E$16</f>
        <v>0</v>
      </c>
      <c r="Z47" s="204">
        <f>+'Scenario 0'!O58/Dashboard!$E$16</f>
        <v>0</v>
      </c>
    </row>
    <row r="48" spans="2:26" x14ac:dyDescent="0.2">
      <c r="B48" s="28" t="s">
        <v>332</v>
      </c>
      <c r="C48" s="253">
        <f>+'Scenario 0'!E59</f>
        <v>0</v>
      </c>
      <c r="D48" s="254">
        <f>+'Scenario 0'!F59</f>
        <v>15060</v>
      </c>
      <c r="E48" s="254">
        <f>+'Scenario 0'!G59</f>
        <v>15511.800000000001</v>
      </c>
      <c r="F48" s="254">
        <f>+'Scenario 0'!H59</f>
        <v>15977.154</v>
      </c>
      <c r="G48" s="254">
        <f>+'Scenario 0'!I59</f>
        <v>16456.468620000003</v>
      </c>
      <c r="H48" s="254">
        <f>+'Scenario 0'!J59</f>
        <v>16950.162678600002</v>
      </c>
      <c r="I48" s="254">
        <f>+'Scenario 0'!K59</f>
        <v>17458.667558958005</v>
      </c>
      <c r="J48" s="254">
        <f>+'Scenario 0'!L59</f>
        <v>17982.427585726742</v>
      </c>
      <c r="K48" s="254">
        <f>+'Scenario 0'!M59</f>
        <v>18521.900413298546</v>
      </c>
      <c r="L48" s="254">
        <f>+'Scenario 0'!N59</f>
        <v>19077.557425697505</v>
      </c>
      <c r="M48" s="254">
        <f>+'Scenario 0'!O59</f>
        <v>19649.884148468431</v>
      </c>
      <c r="O48" s="28" t="s">
        <v>332</v>
      </c>
      <c r="P48" s="253">
        <f>+'Scenario 0'!E59/Dashboard!$E$16</f>
        <v>0</v>
      </c>
      <c r="Q48" s="254">
        <f>+'Scenario 0'!F59/Dashboard!$E$16</f>
        <v>209.16666666666666</v>
      </c>
      <c r="R48" s="254">
        <f>+'Scenario 0'!G59/Dashboard!$E$16</f>
        <v>215.44166666666669</v>
      </c>
      <c r="S48" s="254">
        <f>+'Scenario 0'!H59/Dashboard!$E$16</f>
        <v>221.90491666666668</v>
      </c>
      <c r="T48" s="254">
        <f>+'Scenario 0'!I59/Dashboard!$E$16</f>
        <v>228.56206416666672</v>
      </c>
      <c r="U48" s="254">
        <f>+'Scenario 0'!J59/Dashboard!$E$16</f>
        <v>235.41892609166669</v>
      </c>
      <c r="V48" s="254">
        <f>+'Scenario 0'!K59/Dashboard!$E$16</f>
        <v>242.48149387441674</v>
      </c>
      <c r="W48" s="254">
        <f>+'Scenario 0'!L59/Dashboard!$E$16</f>
        <v>249.7559386906492</v>
      </c>
      <c r="X48" s="254">
        <f>+'Scenario 0'!M59/Dashboard!$E$16</f>
        <v>257.24861685136869</v>
      </c>
      <c r="Y48" s="254">
        <f>+'Scenario 0'!N59/Dashboard!$E$16</f>
        <v>264.96607535690981</v>
      </c>
      <c r="Z48" s="254">
        <f>+'Scenario 0'!O59/Dashboard!$E$16</f>
        <v>272.91505761761709</v>
      </c>
    </row>
    <row r="49" spans="2:26" ht="5.0999999999999996" customHeight="1" x14ac:dyDescent="0.2">
      <c r="C49" s="231">
        <f>+'Scenario 0'!R60/Dashboard!$E$16</f>
        <v>0</v>
      </c>
      <c r="D49" s="177">
        <f>+'Scenario 0'!S60/Dashboard!$E$16</f>
        <v>0</v>
      </c>
      <c r="E49" s="177">
        <f>+'Scenario 0'!T60/Dashboard!$E$16</f>
        <v>0</v>
      </c>
      <c r="F49" s="177">
        <f>+'Scenario 0'!U60/Dashboard!$E$16</f>
        <v>0</v>
      </c>
      <c r="G49" s="177">
        <f>+'Scenario 0'!V60/Dashboard!$E$16</f>
        <v>0</v>
      </c>
      <c r="H49" s="177">
        <f>+'Scenario 0'!W60/Dashboard!$E$16</f>
        <v>0</v>
      </c>
      <c r="I49" s="177">
        <f>+'Scenario 0'!X60/Dashboard!$E$16</f>
        <v>0</v>
      </c>
      <c r="J49" s="177">
        <f>+'Scenario 0'!Y60/Dashboard!$E$16</f>
        <v>0</v>
      </c>
      <c r="K49" s="177">
        <f>+'Scenario 0'!Z60/Dashboard!$E$16</f>
        <v>0</v>
      </c>
      <c r="L49" s="177">
        <f>+'Scenario 0'!AA60/Dashboard!$E$16</f>
        <v>0</v>
      </c>
      <c r="M49" s="177">
        <f>+'Scenario 0'!AB60/Dashboard!$E$16</f>
        <v>0</v>
      </c>
      <c r="P49" s="231">
        <f>+'Scenario 0'!E60/Dashboard!$E$16</f>
        <v>0</v>
      </c>
      <c r="Q49" s="177">
        <f>+'Scenario 0'!F60/Dashboard!$E$16</f>
        <v>0</v>
      </c>
      <c r="R49" s="177">
        <f>+'Scenario 0'!G60/Dashboard!$E$16</f>
        <v>0</v>
      </c>
      <c r="S49" s="177">
        <f>+'Scenario 0'!H60/Dashboard!$E$16</f>
        <v>0</v>
      </c>
      <c r="T49" s="177">
        <f>+'Scenario 0'!I60/Dashboard!$E$16</f>
        <v>0</v>
      </c>
      <c r="U49" s="177">
        <f>+'Scenario 0'!J60/Dashboard!$E$16</f>
        <v>0</v>
      </c>
      <c r="V49" s="177">
        <f>+'Scenario 0'!K60/Dashboard!$E$16</f>
        <v>0</v>
      </c>
      <c r="W49" s="177">
        <f>+'Scenario 0'!L60/Dashboard!$E$16</f>
        <v>0</v>
      </c>
      <c r="X49" s="177">
        <f>+'Scenario 0'!M60/Dashboard!$E$16</f>
        <v>0</v>
      </c>
      <c r="Y49" s="177">
        <f>+'Scenario 0'!N60/Dashboard!$E$16</f>
        <v>0</v>
      </c>
      <c r="Z49" s="177">
        <f>+'Scenario 0'!O60/Dashboard!$E$16</f>
        <v>0</v>
      </c>
    </row>
    <row r="50" spans="2:26" x14ac:dyDescent="0.2">
      <c r="B50" s="206" t="s">
        <v>118</v>
      </c>
      <c r="C50" s="248">
        <f>+'Scenario 0'!E61</f>
        <v>0</v>
      </c>
      <c r="D50" s="200">
        <f>+'Scenario 0'!F61</f>
        <v>0</v>
      </c>
      <c r="E50" s="200">
        <f>+'Scenario 0'!G61</f>
        <v>0</v>
      </c>
      <c r="F50" s="200">
        <f>+'Scenario 0'!H61</f>
        <v>0</v>
      </c>
      <c r="G50" s="200">
        <f>+'Scenario 0'!I61</f>
        <v>0</v>
      </c>
      <c r="H50" s="200">
        <f>+'Scenario 0'!J61</f>
        <v>0</v>
      </c>
      <c r="I50" s="200">
        <f>+'Scenario 0'!K61</f>
        <v>0</v>
      </c>
      <c r="J50" s="200">
        <f>+'Scenario 0'!L61</f>
        <v>0</v>
      </c>
      <c r="K50" s="200">
        <f>+'Scenario 0'!M61</f>
        <v>0</v>
      </c>
      <c r="L50" s="200">
        <f>+'Scenario 0'!N61</f>
        <v>0</v>
      </c>
      <c r="M50" s="200">
        <f>+'Scenario 0'!O61</f>
        <v>0</v>
      </c>
      <c r="O50" s="206" t="s">
        <v>118</v>
      </c>
      <c r="P50" s="248">
        <f>+'Scenario 0'!E61/Dashboard!$E$16</f>
        <v>0</v>
      </c>
      <c r="Q50" s="200">
        <f>+'Scenario 0'!F61/Dashboard!$E$16</f>
        <v>0</v>
      </c>
      <c r="R50" s="200">
        <f>+'Scenario 0'!G61/Dashboard!$E$16</f>
        <v>0</v>
      </c>
      <c r="S50" s="200">
        <f>+'Scenario 0'!H61/Dashboard!$E$16</f>
        <v>0</v>
      </c>
      <c r="T50" s="200">
        <f>+'Scenario 0'!I61/Dashboard!$E$16</f>
        <v>0</v>
      </c>
      <c r="U50" s="200">
        <f>+'Scenario 0'!J61/Dashboard!$E$16</f>
        <v>0</v>
      </c>
      <c r="V50" s="200">
        <f>+'Scenario 0'!K61/Dashboard!$E$16</f>
        <v>0</v>
      </c>
      <c r="W50" s="200">
        <f>+'Scenario 0'!L61/Dashboard!$E$16</f>
        <v>0</v>
      </c>
      <c r="X50" s="200">
        <f>+'Scenario 0'!M61/Dashboard!$E$16</f>
        <v>0</v>
      </c>
      <c r="Y50" s="200">
        <f>+'Scenario 0'!N61/Dashboard!$E$16</f>
        <v>0</v>
      </c>
      <c r="Z50" s="200">
        <f>+'Scenario 0'!O61/Dashboard!$E$16</f>
        <v>0</v>
      </c>
    </row>
    <row r="51" spans="2:26" x14ac:dyDescent="0.2">
      <c r="B51" s="207" t="s">
        <v>119</v>
      </c>
      <c r="C51" s="250">
        <f>+'Scenario 0'!E62</f>
        <v>0</v>
      </c>
      <c r="D51" s="202">
        <f>+'Scenario 0'!F62</f>
        <v>0</v>
      </c>
      <c r="E51" s="204">
        <f>+'Scenario 0'!G62</f>
        <v>0</v>
      </c>
      <c r="F51" s="204">
        <f>+'Scenario 0'!H62</f>
        <v>0</v>
      </c>
      <c r="G51" s="204">
        <f>+'Scenario 0'!I62</f>
        <v>0</v>
      </c>
      <c r="H51" s="204">
        <f>+'Scenario 0'!J62</f>
        <v>0</v>
      </c>
      <c r="I51" s="204">
        <f>+'Scenario 0'!K62</f>
        <v>0</v>
      </c>
      <c r="J51" s="204">
        <f>+'Scenario 0'!L62</f>
        <v>0</v>
      </c>
      <c r="K51" s="204">
        <f>+'Scenario 0'!M62</f>
        <v>0</v>
      </c>
      <c r="L51" s="204">
        <f>+'Scenario 0'!N62</f>
        <v>0</v>
      </c>
      <c r="M51" s="204">
        <f>+'Scenario 0'!O62</f>
        <v>0</v>
      </c>
      <c r="O51" s="207" t="s">
        <v>119</v>
      </c>
      <c r="P51" s="250">
        <f>+'Scenario 0'!E62/Dashboard!$E$16</f>
        <v>0</v>
      </c>
      <c r="Q51" s="202">
        <f>+'Scenario 0'!F62/Dashboard!$E$16</f>
        <v>0</v>
      </c>
      <c r="R51" s="204">
        <f>+'Scenario 0'!G62/Dashboard!$E$16</f>
        <v>0</v>
      </c>
      <c r="S51" s="204">
        <f>+'Scenario 0'!H62/Dashboard!$E$16</f>
        <v>0</v>
      </c>
      <c r="T51" s="204">
        <f>+'Scenario 0'!I62/Dashboard!$E$16</f>
        <v>0</v>
      </c>
      <c r="U51" s="204">
        <f>+'Scenario 0'!J62/Dashboard!$E$16</f>
        <v>0</v>
      </c>
      <c r="V51" s="204">
        <f>+'Scenario 0'!K62/Dashboard!$E$16</f>
        <v>0</v>
      </c>
      <c r="W51" s="204">
        <f>+'Scenario 0'!L62/Dashboard!$E$16</f>
        <v>0</v>
      </c>
      <c r="X51" s="204">
        <f>+'Scenario 0'!M62/Dashboard!$E$16</f>
        <v>0</v>
      </c>
      <c r="Y51" s="204">
        <f>+'Scenario 0'!N62/Dashboard!$E$16</f>
        <v>0</v>
      </c>
      <c r="Z51" s="204">
        <f>+'Scenario 0'!O62/Dashboard!$E$16</f>
        <v>0</v>
      </c>
    </row>
    <row r="52" spans="2:26" x14ac:dyDescent="0.2">
      <c r="B52" s="207" t="s">
        <v>120</v>
      </c>
      <c r="C52" s="250">
        <f>+'Scenario 0'!E63</f>
        <v>0</v>
      </c>
      <c r="D52" s="202">
        <f>+'Scenario 0'!F63</f>
        <v>0</v>
      </c>
      <c r="E52" s="204">
        <f>+'Scenario 0'!G63</f>
        <v>0</v>
      </c>
      <c r="F52" s="204">
        <f>+'Scenario 0'!H63</f>
        <v>0</v>
      </c>
      <c r="G52" s="204">
        <f>+'Scenario 0'!I63</f>
        <v>0</v>
      </c>
      <c r="H52" s="204">
        <f>+'Scenario 0'!J63</f>
        <v>0</v>
      </c>
      <c r="I52" s="204">
        <f>+'Scenario 0'!K63</f>
        <v>0</v>
      </c>
      <c r="J52" s="204">
        <f>+'Scenario 0'!L63</f>
        <v>0</v>
      </c>
      <c r="K52" s="204">
        <f>+'Scenario 0'!M63</f>
        <v>0</v>
      </c>
      <c r="L52" s="204">
        <f>+'Scenario 0'!N63</f>
        <v>0</v>
      </c>
      <c r="M52" s="204">
        <f>+'Scenario 0'!O63</f>
        <v>0</v>
      </c>
      <c r="O52" s="207" t="s">
        <v>120</v>
      </c>
      <c r="P52" s="250">
        <f>+'Scenario 0'!E63/Dashboard!$E$16</f>
        <v>0</v>
      </c>
      <c r="Q52" s="202">
        <f>+'Scenario 0'!F63/Dashboard!$E$16</f>
        <v>0</v>
      </c>
      <c r="R52" s="204">
        <f>+'Scenario 0'!G63/Dashboard!$E$16</f>
        <v>0</v>
      </c>
      <c r="S52" s="204">
        <f>+'Scenario 0'!H63/Dashboard!$E$16</f>
        <v>0</v>
      </c>
      <c r="T52" s="204">
        <f>+'Scenario 0'!I63/Dashboard!$E$16</f>
        <v>0</v>
      </c>
      <c r="U52" s="204">
        <f>+'Scenario 0'!J63/Dashboard!$E$16</f>
        <v>0</v>
      </c>
      <c r="V52" s="204">
        <f>+'Scenario 0'!K63/Dashboard!$E$16</f>
        <v>0</v>
      </c>
      <c r="W52" s="204">
        <f>+'Scenario 0'!L63/Dashboard!$E$16</f>
        <v>0</v>
      </c>
      <c r="X52" s="204">
        <f>+'Scenario 0'!M63/Dashboard!$E$16</f>
        <v>0</v>
      </c>
      <c r="Y52" s="204">
        <f>+'Scenario 0'!N63/Dashboard!$E$16</f>
        <v>0</v>
      </c>
      <c r="Z52" s="204">
        <f>+'Scenario 0'!O63/Dashboard!$E$16</f>
        <v>0</v>
      </c>
    </row>
    <row r="53" spans="2:26" x14ac:dyDescent="0.2">
      <c r="B53" s="207" t="s">
        <v>121</v>
      </c>
      <c r="C53" s="250">
        <f>+'Scenario 0'!E64</f>
        <v>0</v>
      </c>
      <c r="D53" s="202">
        <f>+'Scenario 0'!F64</f>
        <v>0</v>
      </c>
      <c r="E53" s="204">
        <f>+'Scenario 0'!G64</f>
        <v>0</v>
      </c>
      <c r="F53" s="204">
        <f>+'Scenario 0'!H64</f>
        <v>0</v>
      </c>
      <c r="G53" s="204">
        <f>+'Scenario 0'!I64</f>
        <v>0</v>
      </c>
      <c r="H53" s="204">
        <f>+'Scenario 0'!J64</f>
        <v>0</v>
      </c>
      <c r="I53" s="204">
        <f>+'Scenario 0'!K64</f>
        <v>0</v>
      </c>
      <c r="J53" s="204">
        <f>+'Scenario 0'!L64</f>
        <v>0</v>
      </c>
      <c r="K53" s="204">
        <f>+'Scenario 0'!M64</f>
        <v>0</v>
      </c>
      <c r="L53" s="204">
        <f>+'Scenario 0'!N64</f>
        <v>0</v>
      </c>
      <c r="M53" s="204">
        <f>+'Scenario 0'!O64</f>
        <v>0</v>
      </c>
      <c r="O53" s="207" t="s">
        <v>121</v>
      </c>
      <c r="P53" s="250">
        <f>+'Scenario 0'!E64/Dashboard!$E$16</f>
        <v>0</v>
      </c>
      <c r="Q53" s="202">
        <f>+'Scenario 0'!F64/Dashboard!$E$16</f>
        <v>0</v>
      </c>
      <c r="R53" s="204">
        <f>+'Scenario 0'!G64/Dashboard!$E$16</f>
        <v>0</v>
      </c>
      <c r="S53" s="204">
        <f>+'Scenario 0'!H64/Dashboard!$E$16</f>
        <v>0</v>
      </c>
      <c r="T53" s="204">
        <f>+'Scenario 0'!I64/Dashboard!$E$16</f>
        <v>0</v>
      </c>
      <c r="U53" s="204">
        <f>+'Scenario 0'!J64/Dashboard!$E$16</f>
        <v>0</v>
      </c>
      <c r="V53" s="204">
        <f>+'Scenario 0'!K64/Dashboard!$E$16</f>
        <v>0</v>
      </c>
      <c r="W53" s="204">
        <f>+'Scenario 0'!L64/Dashboard!$E$16</f>
        <v>0</v>
      </c>
      <c r="X53" s="204">
        <f>+'Scenario 0'!M64/Dashboard!$E$16</f>
        <v>0</v>
      </c>
      <c r="Y53" s="204">
        <f>+'Scenario 0'!N64/Dashboard!$E$16</f>
        <v>0</v>
      </c>
      <c r="Z53" s="204">
        <f>+'Scenario 0'!O64/Dashboard!$E$16</f>
        <v>0</v>
      </c>
    </row>
    <row r="54" spans="2:26" x14ac:dyDescent="0.2">
      <c r="B54" s="207" t="s">
        <v>122</v>
      </c>
      <c r="C54" s="250">
        <f>+'Scenario 0'!E65</f>
        <v>0</v>
      </c>
      <c r="D54" s="202">
        <f>+'Scenario 0'!F65</f>
        <v>0</v>
      </c>
      <c r="E54" s="204">
        <f>+'Scenario 0'!G65</f>
        <v>0</v>
      </c>
      <c r="F54" s="204">
        <f>+'Scenario 0'!H65</f>
        <v>0</v>
      </c>
      <c r="G54" s="204">
        <f>+'Scenario 0'!I65</f>
        <v>0</v>
      </c>
      <c r="H54" s="204">
        <f>+'Scenario 0'!J65</f>
        <v>0</v>
      </c>
      <c r="I54" s="204">
        <f>+'Scenario 0'!K65</f>
        <v>0</v>
      </c>
      <c r="J54" s="204">
        <f>+'Scenario 0'!L65</f>
        <v>0</v>
      </c>
      <c r="K54" s="204">
        <f>+'Scenario 0'!M65</f>
        <v>0</v>
      </c>
      <c r="L54" s="204">
        <f>+'Scenario 0'!N65</f>
        <v>0</v>
      </c>
      <c r="M54" s="204">
        <f>+'Scenario 0'!O65</f>
        <v>0</v>
      </c>
      <c r="O54" s="207" t="s">
        <v>122</v>
      </c>
      <c r="P54" s="250">
        <f>+'Scenario 0'!E65/Dashboard!$E$16</f>
        <v>0</v>
      </c>
      <c r="Q54" s="202">
        <f>+'Scenario 0'!F65/Dashboard!$E$16</f>
        <v>0</v>
      </c>
      <c r="R54" s="204">
        <f>+'Scenario 0'!G65/Dashboard!$E$16</f>
        <v>0</v>
      </c>
      <c r="S54" s="204">
        <f>+'Scenario 0'!H65/Dashboard!$E$16</f>
        <v>0</v>
      </c>
      <c r="T54" s="204">
        <f>+'Scenario 0'!I65/Dashboard!$E$16</f>
        <v>0</v>
      </c>
      <c r="U54" s="204">
        <f>+'Scenario 0'!J65/Dashboard!$E$16</f>
        <v>0</v>
      </c>
      <c r="V54" s="204">
        <f>+'Scenario 0'!K65/Dashboard!$E$16</f>
        <v>0</v>
      </c>
      <c r="W54" s="204">
        <f>+'Scenario 0'!L65/Dashboard!$E$16</f>
        <v>0</v>
      </c>
      <c r="X54" s="204">
        <f>+'Scenario 0'!M65/Dashboard!$E$16</f>
        <v>0</v>
      </c>
      <c r="Y54" s="204">
        <f>+'Scenario 0'!N65/Dashboard!$E$16</f>
        <v>0</v>
      </c>
      <c r="Z54" s="204">
        <f>+'Scenario 0'!O65/Dashboard!$E$16</f>
        <v>0</v>
      </c>
    </row>
    <row r="55" spans="2:26" x14ac:dyDescent="0.2">
      <c r="B55" s="207" t="s">
        <v>123</v>
      </c>
      <c r="C55" s="250">
        <f>+'Scenario 0'!E66</f>
        <v>0</v>
      </c>
      <c r="D55" s="202">
        <f>+'Scenario 0'!F66</f>
        <v>0</v>
      </c>
      <c r="E55" s="204">
        <f>+'Scenario 0'!G66</f>
        <v>0</v>
      </c>
      <c r="F55" s="204">
        <f>+'Scenario 0'!H66</f>
        <v>0</v>
      </c>
      <c r="G55" s="204">
        <f>+'Scenario 0'!I66</f>
        <v>0</v>
      </c>
      <c r="H55" s="204">
        <f>+'Scenario 0'!J66</f>
        <v>0</v>
      </c>
      <c r="I55" s="204">
        <f>+'Scenario 0'!K66</f>
        <v>0</v>
      </c>
      <c r="J55" s="204">
        <f>+'Scenario 0'!L66</f>
        <v>0</v>
      </c>
      <c r="K55" s="204">
        <f>+'Scenario 0'!M66</f>
        <v>0</v>
      </c>
      <c r="L55" s="204">
        <f>+'Scenario 0'!N66</f>
        <v>0</v>
      </c>
      <c r="M55" s="204">
        <f>+'Scenario 0'!O66</f>
        <v>0</v>
      </c>
      <c r="O55" s="207" t="s">
        <v>123</v>
      </c>
      <c r="P55" s="250">
        <f>+'Scenario 0'!E66/Dashboard!$E$16</f>
        <v>0</v>
      </c>
      <c r="Q55" s="202">
        <f>+'Scenario 0'!F66/Dashboard!$E$16</f>
        <v>0</v>
      </c>
      <c r="R55" s="204">
        <f>+'Scenario 0'!G66/Dashboard!$E$16</f>
        <v>0</v>
      </c>
      <c r="S55" s="204">
        <f>+'Scenario 0'!H66/Dashboard!$E$16</f>
        <v>0</v>
      </c>
      <c r="T55" s="204">
        <f>+'Scenario 0'!I66/Dashboard!$E$16</f>
        <v>0</v>
      </c>
      <c r="U55" s="204">
        <f>+'Scenario 0'!J66/Dashboard!$E$16</f>
        <v>0</v>
      </c>
      <c r="V55" s="204">
        <f>+'Scenario 0'!K66/Dashboard!$E$16</f>
        <v>0</v>
      </c>
      <c r="W55" s="204">
        <f>+'Scenario 0'!L66/Dashboard!$E$16</f>
        <v>0</v>
      </c>
      <c r="X55" s="204">
        <f>+'Scenario 0'!M66/Dashboard!$E$16</f>
        <v>0</v>
      </c>
      <c r="Y55" s="204">
        <f>+'Scenario 0'!N66/Dashboard!$E$16</f>
        <v>0</v>
      </c>
      <c r="Z55" s="204">
        <f>+'Scenario 0'!O66/Dashboard!$E$16</f>
        <v>0</v>
      </c>
    </row>
    <row r="56" spans="2:26" x14ac:dyDescent="0.2">
      <c r="B56" s="207" t="s">
        <v>124</v>
      </c>
      <c r="C56" s="250">
        <f>+'Scenario 0'!E67</f>
        <v>0</v>
      </c>
      <c r="D56" s="202">
        <f>+'Scenario 0'!F67</f>
        <v>0</v>
      </c>
      <c r="E56" s="204">
        <f>+'Scenario 0'!G67</f>
        <v>0</v>
      </c>
      <c r="F56" s="204">
        <f>+'Scenario 0'!H67</f>
        <v>0</v>
      </c>
      <c r="G56" s="204">
        <f>+'Scenario 0'!I67</f>
        <v>0</v>
      </c>
      <c r="H56" s="204">
        <f>+'Scenario 0'!J67</f>
        <v>0</v>
      </c>
      <c r="I56" s="204">
        <f>+'Scenario 0'!K67</f>
        <v>0</v>
      </c>
      <c r="J56" s="204">
        <f>+'Scenario 0'!L67</f>
        <v>0</v>
      </c>
      <c r="K56" s="204">
        <f>+'Scenario 0'!M67</f>
        <v>0</v>
      </c>
      <c r="L56" s="204">
        <f>+'Scenario 0'!N67</f>
        <v>0</v>
      </c>
      <c r="M56" s="204">
        <f>+'Scenario 0'!O67</f>
        <v>0</v>
      </c>
      <c r="O56" s="207" t="s">
        <v>124</v>
      </c>
      <c r="P56" s="250">
        <f>+'Scenario 0'!E67/Dashboard!$E$16</f>
        <v>0</v>
      </c>
      <c r="Q56" s="202">
        <f>+'Scenario 0'!F67/Dashboard!$E$16</f>
        <v>0</v>
      </c>
      <c r="R56" s="204">
        <f>+'Scenario 0'!G67/Dashboard!$E$16</f>
        <v>0</v>
      </c>
      <c r="S56" s="204">
        <f>+'Scenario 0'!H67/Dashboard!$E$16</f>
        <v>0</v>
      </c>
      <c r="T56" s="204">
        <f>+'Scenario 0'!I67/Dashboard!$E$16</f>
        <v>0</v>
      </c>
      <c r="U56" s="204">
        <f>+'Scenario 0'!J67/Dashboard!$E$16</f>
        <v>0</v>
      </c>
      <c r="V56" s="204">
        <f>+'Scenario 0'!K67/Dashboard!$E$16</f>
        <v>0</v>
      </c>
      <c r="W56" s="204">
        <f>+'Scenario 0'!L67/Dashboard!$E$16</f>
        <v>0</v>
      </c>
      <c r="X56" s="204">
        <f>+'Scenario 0'!M67/Dashboard!$E$16</f>
        <v>0</v>
      </c>
      <c r="Y56" s="204">
        <f>+'Scenario 0'!N67/Dashboard!$E$16</f>
        <v>0</v>
      </c>
      <c r="Z56" s="204">
        <f>+'Scenario 0'!O67/Dashboard!$E$16</f>
        <v>0</v>
      </c>
    </row>
    <row r="57" spans="2:26" x14ac:dyDescent="0.2">
      <c r="B57" s="207" t="s">
        <v>125</v>
      </c>
      <c r="C57" s="250">
        <f>+'Scenario 0'!E68</f>
        <v>0</v>
      </c>
      <c r="D57" s="202">
        <f>+'Scenario 0'!F68</f>
        <v>0</v>
      </c>
      <c r="E57" s="204">
        <f>+'Scenario 0'!G68</f>
        <v>0</v>
      </c>
      <c r="F57" s="204">
        <f>+'Scenario 0'!H68</f>
        <v>0</v>
      </c>
      <c r="G57" s="204">
        <f>+'Scenario 0'!I68</f>
        <v>0</v>
      </c>
      <c r="H57" s="204">
        <f>+'Scenario 0'!J68</f>
        <v>0</v>
      </c>
      <c r="I57" s="204">
        <f>+'Scenario 0'!K68</f>
        <v>0</v>
      </c>
      <c r="J57" s="204">
        <f>+'Scenario 0'!L68</f>
        <v>0</v>
      </c>
      <c r="K57" s="204">
        <f>+'Scenario 0'!M68</f>
        <v>0</v>
      </c>
      <c r="L57" s="204">
        <f>+'Scenario 0'!N68</f>
        <v>0</v>
      </c>
      <c r="M57" s="204">
        <f>+'Scenario 0'!O68</f>
        <v>0</v>
      </c>
      <c r="O57" s="207" t="s">
        <v>125</v>
      </c>
      <c r="P57" s="250">
        <f>+'Scenario 0'!E68/Dashboard!$E$16</f>
        <v>0</v>
      </c>
      <c r="Q57" s="202">
        <f>+'Scenario 0'!F68/Dashboard!$E$16</f>
        <v>0</v>
      </c>
      <c r="R57" s="204">
        <f>+'Scenario 0'!G68/Dashboard!$E$16</f>
        <v>0</v>
      </c>
      <c r="S57" s="204">
        <f>+'Scenario 0'!H68/Dashboard!$E$16</f>
        <v>0</v>
      </c>
      <c r="T57" s="204">
        <f>+'Scenario 0'!I68/Dashboard!$E$16</f>
        <v>0</v>
      </c>
      <c r="U57" s="204">
        <f>+'Scenario 0'!J68/Dashboard!$E$16</f>
        <v>0</v>
      </c>
      <c r="V57" s="204">
        <f>+'Scenario 0'!K68/Dashboard!$E$16</f>
        <v>0</v>
      </c>
      <c r="W57" s="204">
        <f>+'Scenario 0'!L68/Dashboard!$E$16</f>
        <v>0</v>
      </c>
      <c r="X57" s="204">
        <f>+'Scenario 0'!M68/Dashboard!$E$16</f>
        <v>0</v>
      </c>
      <c r="Y57" s="204">
        <f>+'Scenario 0'!N68/Dashboard!$E$16</f>
        <v>0</v>
      </c>
      <c r="Z57" s="204">
        <f>+'Scenario 0'!O68/Dashboard!$E$16</f>
        <v>0</v>
      </c>
    </row>
    <row r="58" spans="2:26" x14ac:dyDescent="0.2">
      <c r="B58" s="28" t="s">
        <v>331</v>
      </c>
      <c r="C58" s="253">
        <f>+'Scenario 0'!E69</f>
        <v>0</v>
      </c>
      <c r="D58" s="254">
        <f>+'Scenario 0'!F69</f>
        <v>0</v>
      </c>
      <c r="E58" s="254">
        <f>+'Scenario 0'!G69</f>
        <v>0</v>
      </c>
      <c r="F58" s="254">
        <f>+'Scenario 0'!H69</f>
        <v>0</v>
      </c>
      <c r="G58" s="254">
        <f>+'Scenario 0'!I69</f>
        <v>0</v>
      </c>
      <c r="H58" s="254">
        <f>+'Scenario 0'!J69</f>
        <v>0</v>
      </c>
      <c r="I58" s="254">
        <f>+'Scenario 0'!K69</f>
        <v>0</v>
      </c>
      <c r="J58" s="254">
        <f>+'Scenario 0'!L69</f>
        <v>0</v>
      </c>
      <c r="K58" s="254">
        <f>+'Scenario 0'!M69</f>
        <v>0</v>
      </c>
      <c r="L58" s="254">
        <f>+'Scenario 0'!N69</f>
        <v>0</v>
      </c>
      <c r="M58" s="254">
        <f>+'Scenario 0'!O69</f>
        <v>0</v>
      </c>
      <c r="O58" s="28" t="s">
        <v>331</v>
      </c>
      <c r="P58" s="253">
        <f>+'Scenario 0'!E69/Dashboard!$E$16</f>
        <v>0</v>
      </c>
      <c r="Q58" s="254">
        <f>+'Scenario 0'!F69/Dashboard!$E$16</f>
        <v>0</v>
      </c>
      <c r="R58" s="254">
        <f>+'Scenario 0'!G69/Dashboard!$E$16</f>
        <v>0</v>
      </c>
      <c r="S58" s="254">
        <f>+'Scenario 0'!H69/Dashboard!$E$16</f>
        <v>0</v>
      </c>
      <c r="T58" s="254">
        <f>+'Scenario 0'!I69/Dashboard!$E$16</f>
        <v>0</v>
      </c>
      <c r="U58" s="254">
        <f>+'Scenario 0'!J69/Dashboard!$E$16</f>
        <v>0</v>
      </c>
      <c r="V58" s="254">
        <f>+'Scenario 0'!K69/Dashboard!$E$16</f>
        <v>0</v>
      </c>
      <c r="W58" s="254">
        <f>+'Scenario 0'!L69/Dashboard!$E$16</f>
        <v>0</v>
      </c>
      <c r="X58" s="254">
        <f>+'Scenario 0'!M69/Dashboard!$E$16</f>
        <v>0</v>
      </c>
      <c r="Y58" s="254">
        <f>+'Scenario 0'!N69/Dashboard!$E$16</f>
        <v>0</v>
      </c>
      <c r="Z58" s="254">
        <f>+'Scenario 0'!O69/Dashboard!$E$16</f>
        <v>0</v>
      </c>
    </row>
    <row r="59" spans="2:26" ht="5.0999999999999996" customHeight="1" x14ac:dyDescent="0.2">
      <c r="C59" s="231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P59" s="231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spans="2:26" x14ac:dyDescent="0.2">
      <c r="B60" s="207" t="s">
        <v>50</v>
      </c>
      <c r="C60" s="248">
        <f>+'Scenario 0'!E71</f>
        <v>0</v>
      </c>
      <c r="D60" s="200">
        <f>+'Scenario 0'!F71</f>
        <v>0</v>
      </c>
      <c r="E60" s="200">
        <f>+'Scenario 0'!G71</f>
        <v>0</v>
      </c>
      <c r="F60" s="200">
        <f>+'Scenario 0'!H71</f>
        <v>0</v>
      </c>
      <c r="G60" s="200">
        <f>+'Scenario 0'!I71</f>
        <v>0</v>
      </c>
      <c r="H60" s="200">
        <f>+'Scenario 0'!J71</f>
        <v>0</v>
      </c>
      <c r="I60" s="200">
        <f>+'Scenario 0'!K71</f>
        <v>0</v>
      </c>
      <c r="J60" s="200">
        <f>+'Scenario 0'!L71</f>
        <v>0</v>
      </c>
      <c r="K60" s="200">
        <f>+'Scenario 0'!M71</f>
        <v>0</v>
      </c>
      <c r="L60" s="200">
        <f>+'Scenario 0'!N71</f>
        <v>0</v>
      </c>
      <c r="M60" s="200">
        <f>+'Scenario 0'!O71</f>
        <v>0</v>
      </c>
      <c r="O60" s="207" t="s">
        <v>50</v>
      </c>
      <c r="P60" s="248">
        <f>+'Scenario 0'!E71/Dashboard!$E$16</f>
        <v>0</v>
      </c>
      <c r="Q60" s="200">
        <f>+'Scenario 0'!F71/Dashboard!$E$16</f>
        <v>0</v>
      </c>
      <c r="R60" s="200">
        <f>+'Scenario 0'!G71/Dashboard!$E$16</f>
        <v>0</v>
      </c>
      <c r="S60" s="200">
        <f>+'Scenario 0'!H71/Dashboard!$E$16</f>
        <v>0</v>
      </c>
      <c r="T60" s="200">
        <f>+'Scenario 0'!I71/Dashboard!$E$16</f>
        <v>0</v>
      </c>
      <c r="U60" s="200">
        <f>+'Scenario 0'!J71/Dashboard!$E$16</f>
        <v>0</v>
      </c>
      <c r="V60" s="200">
        <f>+'Scenario 0'!K71/Dashboard!$E$16</f>
        <v>0</v>
      </c>
      <c r="W60" s="200">
        <f>+'Scenario 0'!L71/Dashboard!$E$16</f>
        <v>0</v>
      </c>
      <c r="X60" s="200">
        <f>+'Scenario 0'!M71/Dashboard!$E$16</f>
        <v>0</v>
      </c>
      <c r="Y60" s="200">
        <f>+'Scenario 0'!N71/Dashboard!$E$16</f>
        <v>0</v>
      </c>
      <c r="Z60" s="200">
        <f>+'Scenario 0'!O71/Dashboard!$E$16</f>
        <v>0</v>
      </c>
    </row>
    <row r="61" spans="2:26" x14ac:dyDescent="0.2">
      <c r="B61" s="207" t="s">
        <v>49</v>
      </c>
      <c r="C61" s="250">
        <f>+'Scenario 0'!E72</f>
        <v>0</v>
      </c>
      <c r="D61" s="202">
        <f>+'Scenario 0'!F72</f>
        <v>32400</v>
      </c>
      <c r="E61" s="204">
        <f>+'Scenario 0'!G72</f>
        <v>33372</v>
      </c>
      <c r="F61" s="204">
        <f>+'Scenario 0'!H72</f>
        <v>34373.160000000003</v>
      </c>
      <c r="G61" s="204">
        <f>+'Scenario 0'!I72</f>
        <v>35404.354800000001</v>
      </c>
      <c r="H61" s="204">
        <f>+'Scenario 0'!J72</f>
        <v>36466.485444000005</v>
      </c>
      <c r="I61" s="204">
        <f>+'Scenario 0'!K72</f>
        <v>37560.480007320009</v>
      </c>
      <c r="J61" s="204">
        <f>+'Scenario 0'!L72</f>
        <v>38687.294407539608</v>
      </c>
      <c r="K61" s="204">
        <f>+'Scenario 0'!M72</f>
        <v>39847.913239765796</v>
      </c>
      <c r="L61" s="204">
        <f>+'Scenario 0'!N72</f>
        <v>41043.35063695877</v>
      </c>
      <c r="M61" s="204">
        <f>+'Scenario 0'!O72</f>
        <v>42274.651156067535</v>
      </c>
      <c r="O61" s="207" t="s">
        <v>49</v>
      </c>
      <c r="P61" s="250">
        <f>+'Scenario 0'!E72/Dashboard!$E$16</f>
        <v>0</v>
      </c>
      <c r="Q61" s="202">
        <f>+'Scenario 0'!F72/Dashboard!$E$16</f>
        <v>450</v>
      </c>
      <c r="R61" s="204">
        <f>+'Scenario 0'!G72/Dashboard!$E$16</f>
        <v>463.5</v>
      </c>
      <c r="S61" s="204">
        <f>+'Scenario 0'!H72/Dashboard!$E$16</f>
        <v>477.40500000000003</v>
      </c>
      <c r="T61" s="204">
        <f>+'Scenario 0'!I72/Dashboard!$E$16</f>
        <v>491.72714999999999</v>
      </c>
      <c r="U61" s="204">
        <f>+'Scenario 0'!J72/Dashboard!$E$16</f>
        <v>506.47896450000007</v>
      </c>
      <c r="V61" s="204">
        <f>+'Scenario 0'!K72/Dashboard!$E$16</f>
        <v>521.67333343500013</v>
      </c>
      <c r="W61" s="204">
        <f>+'Scenario 0'!L72/Dashboard!$E$16</f>
        <v>537.32353343805016</v>
      </c>
      <c r="X61" s="204">
        <f>+'Scenario 0'!M72/Dashboard!$E$16</f>
        <v>553.44323944119162</v>
      </c>
      <c r="Y61" s="204">
        <f>+'Scenario 0'!N72/Dashboard!$E$16</f>
        <v>570.0465366244274</v>
      </c>
      <c r="Z61" s="204">
        <f>+'Scenario 0'!O72/Dashboard!$E$16</f>
        <v>587.14793272316024</v>
      </c>
    </row>
    <row r="62" spans="2:26" x14ac:dyDescent="0.2">
      <c r="B62" s="207" t="s">
        <v>127</v>
      </c>
      <c r="C62" s="250">
        <f>+'Scenario 0'!E73</f>
        <v>0</v>
      </c>
      <c r="D62" s="202">
        <f>+'Scenario 0'!F73</f>
        <v>2246.4</v>
      </c>
      <c r="E62" s="204">
        <f>+'Scenario 0'!G73</f>
        <v>2313.7920000000004</v>
      </c>
      <c r="F62" s="204">
        <f>+'Scenario 0'!H73</f>
        <v>2383.2057600000003</v>
      </c>
      <c r="G62" s="204">
        <f>+'Scenario 0'!I73</f>
        <v>2454.7019328000006</v>
      </c>
      <c r="H62" s="204">
        <f>+'Scenario 0'!J73</f>
        <v>2528.3429907840004</v>
      </c>
      <c r="I62" s="204">
        <f>+'Scenario 0'!K73</f>
        <v>2604.1932805075207</v>
      </c>
      <c r="J62" s="204">
        <f>+'Scenario 0'!L73</f>
        <v>2682.3190789227465</v>
      </c>
      <c r="K62" s="204">
        <f>+'Scenario 0'!M73</f>
        <v>2762.7886512904288</v>
      </c>
      <c r="L62" s="204">
        <f>+'Scenario 0'!N73</f>
        <v>2845.6723108291417</v>
      </c>
      <c r="M62" s="204">
        <f>+'Scenario 0'!O73</f>
        <v>2931.0424801540162</v>
      </c>
      <c r="O62" s="207" t="s">
        <v>127</v>
      </c>
      <c r="P62" s="250">
        <f>+'Scenario 0'!E73/Dashboard!$E$16</f>
        <v>0</v>
      </c>
      <c r="Q62" s="202">
        <f>+'Scenario 0'!F73/Dashboard!$E$16</f>
        <v>31.200000000000003</v>
      </c>
      <c r="R62" s="204">
        <f>+'Scenario 0'!G73/Dashboard!$E$16</f>
        <v>32.136000000000003</v>
      </c>
      <c r="S62" s="204">
        <f>+'Scenario 0'!H73/Dashboard!$E$16</f>
        <v>33.100080000000005</v>
      </c>
      <c r="T62" s="204">
        <f>+'Scenario 0'!I73/Dashboard!$E$16</f>
        <v>34.093082400000007</v>
      </c>
      <c r="U62" s="204">
        <f>+'Scenario 0'!J73/Dashboard!$E$16</f>
        <v>35.115874872000006</v>
      </c>
      <c r="V62" s="204">
        <f>+'Scenario 0'!K73/Dashboard!$E$16</f>
        <v>36.169351118160009</v>
      </c>
      <c r="W62" s="204">
        <f>+'Scenario 0'!L73/Dashboard!$E$16</f>
        <v>37.254431651704813</v>
      </c>
      <c r="X62" s="204">
        <f>+'Scenario 0'!M73/Dashboard!$E$16</f>
        <v>38.372064601255957</v>
      </c>
      <c r="Y62" s="204">
        <f>+'Scenario 0'!N73/Dashboard!$E$16</f>
        <v>39.523226539293631</v>
      </c>
      <c r="Z62" s="204">
        <f>+'Scenario 0'!O73/Dashboard!$E$16</f>
        <v>40.708923335472448</v>
      </c>
    </row>
    <row r="63" spans="2:26" x14ac:dyDescent="0.2">
      <c r="B63" s="207" t="s">
        <v>128</v>
      </c>
      <c r="C63" s="250">
        <f>+'Scenario 0'!E74</f>
        <v>0</v>
      </c>
      <c r="D63" s="202">
        <f>+'Scenario 0'!F74</f>
        <v>3369.6</v>
      </c>
      <c r="E63" s="204">
        <f>+'Scenario 0'!G74</f>
        <v>3470.6880000000001</v>
      </c>
      <c r="F63" s="204">
        <f>+'Scenario 0'!H74</f>
        <v>3574.8086400000002</v>
      </c>
      <c r="G63" s="204">
        <f>+'Scenario 0'!I74</f>
        <v>3682.0528992000004</v>
      </c>
      <c r="H63" s="204">
        <f>+'Scenario 0'!J74</f>
        <v>3792.5144861760004</v>
      </c>
      <c r="I63" s="204">
        <f>+'Scenario 0'!K74</f>
        <v>3906.2899207612804</v>
      </c>
      <c r="J63" s="204">
        <f>+'Scenario 0'!L74</f>
        <v>4023.4786183841188</v>
      </c>
      <c r="K63" s="204">
        <f>+'Scenario 0'!M74</f>
        <v>4144.1829769356427</v>
      </c>
      <c r="L63" s="204">
        <f>+'Scenario 0'!N74</f>
        <v>4268.5084662437121</v>
      </c>
      <c r="M63" s="204">
        <f>+'Scenario 0'!O74</f>
        <v>4396.5637202310236</v>
      </c>
      <c r="O63" s="207" t="s">
        <v>128</v>
      </c>
      <c r="P63" s="250">
        <f>+'Scenario 0'!E74/Dashboard!$E$16</f>
        <v>0</v>
      </c>
      <c r="Q63" s="202">
        <f>+'Scenario 0'!F74/Dashboard!$E$16</f>
        <v>46.8</v>
      </c>
      <c r="R63" s="204">
        <f>+'Scenario 0'!G74/Dashboard!$E$16</f>
        <v>48.204000000000001</v>
      </c>
      <c r="S63" s="204">
        <f>+'Scenario 0'!H74/Dashboard!$E$16</f>
        <v>49.650120000000001</v>
      </c>
      <c r="T63" s="204">
        <f>+'Scenario 0'!I74/Dashboard!$E$16</f>
        <v>51.139623600000007</v>
      </c>
      <c r="U63" s="204">
        <f>+'Scenario 0'!J74/Dashboard!$E$16</f>
        <v>52.673812308000009</v>
      </c>
      <c r="V63" s="204">
        <f>+'Scenario 0'!K74/Dashboard!$E$16</f>
        <v>54.254026677240006</v>
      </c>
      <c r="W63" s="204">
        <f>+'Scenario 0'!L74/Dashboard!$E$16</f>
        <v>55.881647477557209</v>
      </c>
      <c r="X63" s="204">
        <f>+'Scenario 0'!M74/Dashboard!$E$16</f>
        <v>57.558096901883928</v>
      </c>
      <c r="Y63" s="204">
        <f>+'Scenario 0'!N74/Dashboard!$E$16</f>
        <v>59.284839808940447</v>
      </c>
      <c r="Z63" s="204">
        <f>+'Scenario 0'!O74/Dashboard!$E$16</f>
        <v>61.063385003208658</v>
      </c>
    </row>
    <row r="64" spans="2:26" x14ac:dyDescent="0.2">
      <c r="B64" s="207" t="s">
        <v>129</v>
      </c>
      <c r="C64" s="250">
        <f>+'Scenario 0'!E75</f>
        <v>0</v>
      </c>
      <c r="D64" s="202">
        <f>+'Scenario 0'!F75</f>
        <v>11232</v>
      </c>
      <c r="E64" s="204">
        <f>+'Scenario 0'!G75</f>
        <v>11568.960000000001</v>
      </c>
      <c r="F64" s="204">
        <f>+'Scenario 0'!H75</f>
        <v>11916.028800000002</v>
      </c>
      <c r="G64" s="204">
        <f>+'Scenario 0'!I75</f>
        <v>12273.509664000003</v>
      </c>
      <c r="H64" s="204">
        <f>+'Scenario 0'!J75</f>
        <v>12641.714953920004</v>
      </c>
      <c r="I64" s="204">
        <f>+'Scenario 0'!K75</f>
        <v>13020.966402537604</v>
      </c>
      <c r="J64" s="204">
        <f>+'Scenario 0'!L75</f>
        <v>13411.595394613732</v>
      </c>
      <c r="K64" s="204">
        <f>+'Scenario 0'!M75</f>
        <v>13813.943256452145</v>
      </c>
      <c r="L64" s="204">
        <f>+'Scenario 0'!N75</f>
        <v>14228.361554145709</v>
      </c>
      <c r="M64" s="204">
        <f>+'Scenario 0'!O75</f>
        <v>14655.21240077008</v>
      </c>
      <c r="O64" s="207" t="s">
        <v>129</v>
      </c>
      <c r="P64" s="250">
        <f>+'Scenario 0'!E75/Dashboard!$E$16</f>
        <v>0</v>
      </c>
      <c r="Q64" s="202">
        <f>+'Scenario 0'!F75/Dashboard!$E$16</f>
        <v>156</v>
      </c>
      <c r="R64" s="204">
        <f>+'Scenario 0'!G75/Dashboard!$E$16</f>
        <v>160.68</v>
      </c>
      <c r="S64" s="204">
        <f>+'Scenario 0'!H75/Dashboard!$E$16</f>
        <v>165.50040000000001</v>
      </c>
      <c r="T64" s="204">
        <f>+'Scenario 0'!I75/Dashboard!$E$16</f>
        <v>170.46541200000004</v>
      </c>
      <c r="U64" s="204">
        <f>+'Scenario 0'!J75/Dashboard!$E$16</f>
        <v>175.57937436000006</v>
      </c>
      <c r="V64" s="204">
        <f>+'Scenario 0'!K75/Dashboard!$E$16</f>
        <v>180.84675559080006</v>
      </c>
      <c r="W64" s="204">
        <f>+'Scenario 0'!L75/Dashboard!$E$16</f>
        <v>186.27215825852406</v>
      </c>
      <c r="X64" s="204">
        <f>+'Scenario 0'!M75/Dashboard!$E$16</f>
        <v>191.8603230062798</v>
      </c>
      <c r="Y64" s="204">
        <f>+'Scenario 0'!N75/Dashboard!$E$16</f>
        <v>197.61613269646818</v>
      </c>
      <c r="Z64" s="204">
        <f>+'Scenario 0'!O75/Dashboard!$E$16</f>
        <v>203.54461667736223</v>
      </c>
    </row>
    <row r="65" spans="2:26" x14ac:dyDescent="0.2">
      <c r="B65" s="207" t="s">
        <v>130</v>
      </c>
      <c r="C65" s="250">
        <f>+'Scenario 0'!E76</f>
        <v>0</v>
      </c>
      <c r="D65" s="202">
        <f>+'Scenario 0'!F76</f>
        <v>0</v>
      </c>
      <c r="E65" s="204">
        <f>+'Scenario 0'!G76</f>
        <v>0</v>
      </c>
      <c r="F65" s="204">
        <f>+'Scenario 0'!H76</f>
        <v>0</v>
      </c>
      <c r="G65" s="204">
        <f>+'Scenario 0'!I76</f>
        <v>0</v>
      </c>
      <c r="H65" s="204">
        <f>+'Scenario 0'!J76</f>
        <v>0</v>
      </c>
      <c r="I65" s="204">
        <f>+'Scenario 0'!K76</f>
        <v>0</v>
      </c>
      <c r="J65" s="204">
        <f>+'Scenario 0'!L76</f>
        <v>0</v>
      </c>
      <c r="K65" s="204">
        <f>+'Scenario 0'!M76</f>
        <v>0</v>
      </c>
      <c r="L65" s="204">
        <f>+'Scenario 0'!N76</f>
        <v>0</v>
      </c>
      <c r="M65" s="204">
        <f>+'Scenario 0'!O76</f>
        <v>0</v>
      </c>
      <c r="O65" s="207" t="s">
        <v>130</v>
      </c>
      <c r="P65" s="250">
        <f>+'Scenario 0'!E76/Dashboard!$E$16</f>
        <v>0</v>
      </c>
      <c r="Q65" s="202">
        <f>+'Scenario 0'!F76/Dashboard!$E$16</f>
        <v>0</v>
      </c>
      <c r="R65" s="204">
        <f>+'Scenario 0'!G76/Dashboard!$E$16</f>
        <v>0</v>
      </c>
      <c r="S65" s="204">
        <f>+'Scenario 0'!H76/Dashboard!$E$16</f>
        <v>0</v>
      </c>
      <c r="T65" s="204">
        <f>+'Scenario 0'!I76/Dashboard!$E$16</f>
        <v>0</v>
      </c>
      <c r="U65" s="204">
        <f>+'Scenario 0'!J76/Dashboard!$E$16</f>
        <v>0</v>
      </c>
      <c r="V65" s="204">
        <f>+'Scenario 0'!K76/Dashboard!$E$16</f>
        <v>0</v>
      </c>
      <c r="W65" s="204">
        <f>+'Scenario 0'!L76/Dashboard!$E$16</f>
        <v>0</v>
      </c>
      <c r="X65" s="204">
        <f>+'Scenario 0'!M76/Dashboard!$E$16</f>
        <v>0</v>
      </c>
      <c r="Y65" s="204">
        <f>+'Scenario 0'!N76/Dashboard!$E$16</f>
        <v>0</v>
      </c>
      <c r="Z65" s="204">
        <f>+'Scenario 0'!O76/Dashboard!$E$16</f>
        <v>0</v>
      </c>
    </row>
    <row r="66" spans="2:26" x14ac:dyDescent="0.2">
      <c r="B66" s="28" t="s">
        <v>126</v>
      </c>
      <c r="C66" s="253">
        <f>+'Scenario 0'!E77</f>
        <v>0</v>
      </c>
      <c r="D66" s="254">
        <f>+'Scenario 0'!F77</f>
        <v>49248</v>
      </c>
      <c r="E66" s="254">
        <f>+'Scenario 0'!G77</f>
        <v>50725.440000000002</v>
      </c>
      <c r="F66" s="254">
        <f>+'Scenario 0'!H77</f>
        <v>52247.203200000004</v>
      </c>
      <c r="G66" s="254">
        <f>+'Scenario 0'!I77</f>
        <v>53814.619296000012</v>
      </c>
      <c r="H66" s="254">
        <f>+'Scenario 0'!J77</f>
        <v>55429.057874880011</v>
      </c>
      <c r="I66" s="254">
        <f>+'Scenario 0'!K77</f>
        <v>57091.929611126412</v>
      </c>
      <c r="J66" s="254">
        <f>+'Scenario 0'!L77</f>
        <v>58804.687499460204</v>
      </c>
      <c r="K66" s="254">
        <f>+'Scenario 0'!M77</f>
        <v>60568.828124444015</v>
      </c>
      <c r="L66" s="254">
        <f>+'Scenario 0'!N77</f>
        <v>62385.892968177337</v>
      </c>
      <c r="M66" s="254">
        <f>+'Scenario 0'!O77</f>
        <v>64257.469757222658</v>
      </c>
      <c r="O66" s="28" t="s">
        <v>126</v>
      </c>
      <c r="P66" s="253">
        <f>+'Scenario 0'!E77/Dashboard!$E$16</f>
        <v>0</v>
      </c>
      <c r="Q66" s="254">
        <f>+'Scenario 0'!F77/Dashboard!$E$16</f>
        <v>684</v>
      </c>
      <c r="R66" s="254">
        <f>+'Scenario 0'!G77/Dashboard!$E$16</f>
        <v>704.52</v>
      </c>
      <c r="S66" s="254">
        <f>+'Scenario 0'!H77/Dashboard!$E$16</f>
        <v>725.65560000000005</v>
      </c>
      <c r="T66" s="254">
        <f>+'Scenario 0'!I77/Dashboard!$E$16</f>
        <v>747.42526800000019</v>
      </c>
      <c r="U66" s="254">
        <f>+'Scenario 0'!J77/Dashboard!$E$16</f>
        <v>769.84802604000015</v>
      </c>
      <c r="V66" s="254">
        <f>+'Scenario 0'!K77/Dashboard!$E$16</f>
        <v>792.94346682120022</v>
      </c>
      <c r="W66" s="254">
        <f>+'Scenario 0'!L77/Dashboard!$E$16</f>
        <v>816.73177082583618</v>
      </c>
      <c r="X66" s="254">
        <f>+'Scenario 0'!M77/Dashboard!$E$16</f>
        <v>841.23372395061131</v>
      </c>
      <c r="Y66" s="254">
        <f>+'Scenario 0'!N77/Dashboard!$E$16</f>
        <v>866.47073566912968</v>
      </c>
      <c r="Z66" s="254">
        <f>+'Scenario 0'!O77/Dashboard!$E$16</f>
        <v>892.46485773920358</v>
      </c>
    </row>
    <row r="67" spans="2:26" ht="5.0999999999999996" customHeight="1" x14ac:dyDescent="0.2">
      <c r="C67" s="231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P67" s="231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 spans="2:26" x14ac:dyDescent="0.2">
      <c r="B68" s="33" t="s">
        <v>168</v>
      </c>
      <c r="C68" s="251">
        <f>+'Scenario 0'!E79</f>
        <v>21600</v>
      </c>
      <c r="D68" s="252">
        <f>+'Scenario 0'!F79</f>
        <v>272127.61</v>
      </c>
      <c r="E68" s="252">
        <f>+'Scenario 0'!G79</f>
        <v>279643.43829999998</v>
      </c>
      <c r="F68" s="252">
        <f>+'Scenario 0'!H79</f>
        <v>287384.74144900002</v>
      </c>
      <c r="G68" s="252">
        <f>+'Scenario 0'!I79</f>
        <v>295358.28369247005</v>
      </c>
      <c r="H68" s="252">
        <f>+'Scenario 0'!J79</f>
        <v>303571.03220324416</v>
      </c>
      <c r="I68" s="252">
        <f>+'Scenario 0'!K79</f>
        <v>312030.16316934151</v>
      </c>
      <c r="J68" s="252">
        <f>+'Scenario 0'!L79</f>
        <v>320743.06806442176</v>
      </c>
      <c r="K68" s="252">
        <f>+'Scenario 0'!M79</f>
        <v>329717.3601063544</v>
      </c>
      <c r="L68" s="252">
        <f>+'Scenario 0'!N79</f>
        <v>338960.88090954506</v>
      </c>
      <c r="M68" s="252">
        <f>+'Scenario 0'!O79</f>
        <v>348481.70733683137</v>
      </c>
      <c r="O68" s="33" t="s">
        <v>168</v>
      </c>
      <c r="P68" s="251">
        <f>+'Scenario 0'!E79/Dashboard!$E$16</f>
        <v>300</v>
      </c>
      <c r="Q68" s="252">
        <f>+'Scenario 0'!F79/Dashboard!$E$16</f>
        <v>3779.5501388888888</v>
      </c>
      <c r="R68" s="252">
        <f>+'Scenario 0'!G79/Dashboard!$E$16</f>
        <v>3883.9366430555551</v>
      </c>
      <c r="S68" s="252">
        <f>+'Scenario 0'!H79/Dashboard!$E$16</f>
        <v>3991.4547423472227</v>
      </c>
      <c r="T68" s="252">
        <f>+'Scenario 0'!I79/Dashboard!$E$16</f>
        <v>4102.1983846176399</v>
      </c>
      <c r="U68" s="252">
        <f>+'Scenario 0'!J79/Dashboard!$E$16</f>
        <v>4216.2643361561686</v>
      </c>
      <c r="V68" s="252">
        <f>+'Scenario 0'!K79/Dashboard!$E$16</f>
        <v>4333.7522662408546</v>
      </c>
      <c r="W68" s="252">
        <f>+'Scenario 0'!L79/Dashboard!$E$16</f>
        <v>4454.76483422808</v>
      </c>
      <c r="X68" s="252">
        <f>+'Scenario 0'!M79/Dashboard!$E$16</f>
        <v>4579.4077792549224</v>
      </c>
      <c r="Y68" s="252">
        <f>+'Scenario 0'!N79/Dashboard!$E$16</f>
        <v>4707.7900126325703</v>
      </c>
      <c r="Z68" s="252">
        <f>+'Scenario 0'!O79/Dashboard!$E$16</f>
        <v>4840.0237130115465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5FD0-1754-461A-98D3-8F1A53A40EF6}">
  <dimension ref="B2:E14"/>
  <sheetViews>
    <sheetView showGridLines="0" workbookViewId="0"/>
  </sheetViews>
  <sheetFormatPr defaultRowHeight="15" x14ac:dyDescent="0.25"/>
  <cols>
    <col min="2" max="2" width="18.28515625" customWidth="1"/>
    <col min="4" max="5" width="13.28515625" customWidth="1"/>
  </cols>
  <sheetData>
    <row r="2" spans="2:5" x14ac:dyDescent="0.25">
      <c r="B2" s="263" t="s">
        <v>341</v>
      </c>
      <c r="C2" s="264"/>
      <c r="D2" s="264"/>
      <c r="E2" s="265"/>
    </row>
    <row r="3" spans="2:5" x14ac:dyDescent="0.25">
      <c r="B3" s="266" t="s">
        <v>342</v>
      </c>
      <c r="C3" s="267"/>
      <c r="D3" s="267"/>
      <c r="E3" s="268"/>
    </row>
    <row r="4" spans="2:5" x14ac:dyDescent="0.25">
      <c r="B4" s="260"/>
      <c r="C4" s="261"/>
      <c r="D4" s="262" t="s">
        <v>288</v>
      </c>
      <c r="E4" s="262" t="s">
        <v>289</v>
      </c>
    </row>
    <row r="5" spans="2:5" x14ac:dyDescent="0.25">
      <c r="B5" s="269" t="s">
        <v>291</v>
      </c>
      <c r="C5" s="270"/>
      <c r="D5" s="275">
        <f>+'Scenario 1'!$E$122</f>
        <v>0.11402294565424453</v>
      </c>
      <c r="E5" s="275">
        <f>+'Scenario 1'!$E$134</f>
        <v>0.13796015016657059</v>
      </c>
    </row>
    <row r="6" spans="2:5" x14ac:dyDescent="0.25">
      <c r="B6" s="269" t="s">
        <v>290</v>
      </c>
      <c r="C6" s="270"/>
      <c r="D6" s="273">
        <f>+'Scenario 1'!$E$123</f>
        <v>1.6264054848805249</v>
      </c>
      <c r="E6" s="273">
        <f>+'Scenario 1'!$E$135</f>
        <v>1.8048099753078757</v>
      </c>
    </row>
    <row r="7" spans="2:5" x14ac:dyDescent="0.25">
      <c r="B7" s="271" t="s">
        <v>343</v>
      </c>
      <c r="C7" s="272"/>
      <c r="D7" s="274">
        <f>+('Scenario 1'!$J$119+'Scenario 1'!$E$119)/1000000</f>
        <v>1.4685246627183277</v>
      </c>
      <c r="E7" s="274">
        <f>+('Scenario 1'!$J$131+'Scenario 1'!$E$131)/1000000</f>
        <v>0.96884966271832773</v>
      </c>
    </row>
    <row r="9" spans="2:5" x14ac:dyDescent="0.25">
      <c r="B9" s="263" t="s">
        <v>341</v>
      </c>
      <c r="C9" s="264"/>
      <c r="D9" s="264"/>
      <c r="E9" s="265"/>
    </row>
    <row r="10" spans="2:5" x14ac:dyDescent="0.25">
      <c r="B10" s="266" t="s">
        <v>344</v>
      </c>
      <c r="C10" s="267"/>
      <c r="D10" s="267"/>
      <c r="E10" s="268"/>
    </row>
    <row r="11" spans="2:5" x14ac:dyDescent="0.25">
      <c r="B11" s="260"/>
      <c r="C11" s="261"/>
      <c r="D11" s="262" t="s">
        <v>288</v>
      </c>
      <c r="E11" s="262" t="s">
        <v>289</v>
      </c>
    </row>
    <row r="12" spans="2:5" x14ac:dyDescent="0.25">
      <c r="B12" s="269" t="s">
        <v>291</v>
      </c>
      <c r="C12" s="270"/>
      <c r="D12" s="275">
        <f>+'Scenario 2'!$E$122</f>
        <v>0.15005360051057703</v>
      </c>
      <c r="E12" s="275">
        <f>+'Scenario 2'!$E$134</f>
        <v>0.21238056431499253</v>
      </c>
    </row>
    <row r="13" spans="2:5" x14ac:dyDescent="0.25">
      <c r="B13" s="269" t="s">
        <v>290</v>
      </c>
      <c r="C13" s="270"/>
      <c r="D13" s="273">
        <f>+'Scenario 2'!$E$123</f>
        <v>1.8714612737621752</v>
      </c>
      <c r="E13" s="273">
        <f>+'Scenario 2'!$E$135</f>
        <v>2.3828351493018944</v>
      </c>
    </row>
    <row r="14" spans="2:5" x14ac:dyDescent="0.25">
      <c r="B14" s="271" t="s">
        <v>343</v>
      </c>
      <c r="C14" s="272"/>
      <c r="D14" s="274">
        <f>+('Scenario 2'!$J$119+'Scenario 2'!$E$119)/1000000</f>
        <v>2.3369282053586224</v>
      </c>
      <c r="E14" s="274">
        <f>+('Scenario 2'!$J$131+'Scenario 2'!$E$131)/1000000</f>
        <v>1.8372532053586226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30F2-B509-4AF2-96DD-E3CBE6F4535C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CFEE-B3B0-4B4A-8D69-21BA26A3D245}">
  <sheetPr>
    <tabColor theme="0" tint="-4.9989318521683403E-2"/>
  </sheetPr>
  <dimension ref="A1:H304"/>
  <sheetViews>
    <sheetView showGridLines="0" view="pageBreakPreview" zoomScaleNormal="100" zoomScaleSheetLayoutView="100" workbookViewId="0">
      <selection activeCell="G9" sqref="G9"/>
    </sheetView>
  </sheetViews>
  <sheetFormatPr defaultColWidth="9.140625" defaultRowHeight="16.5" x14ac:dyDescent="0.25"/>
  <cols>
    <col min="1" max="1" width="2.7109375" style="276" customWidth="1"/>
    <col min="2" max="2" width="31" style="276" customWidth="1"/>
    <col min="3" max="6" width="24.7109375" style="276" bestFit="1" customWidth="1"/>
    <col min="7" max="7" width="20.7109375" style="276" customWidth="1"/>
    <col min="8" max="8" width="3.7109375" style="276" customWidth="1"/>
    <col min="9" max="16384" width="9.140625" style="276"/>
  </cols>
  <sheetData>
    <row r="1" spans="1:8" ht="8.25" customHeight="1" thickBot="1" x14ac:dyDescent="0.3"/>
    <row r="2" spans="1:8" ht="24" thickTop="1" x14ac:dyDescent="0.35">
      <c r="B2" s="277" t="s">
        <v>353</v>
      </c>
      <c r="C2" s="278"/>
      <c r="D2" s="278"/>
      <c r="E2" s="278"/>
      <c r="F2" s="278"/>
      <c r="G2" s="279">
        <f ca="1">TODAY()</f>
        <v>46065</v>
      </c>
      <c r="H2" s="278"/>
    </row>
    <row r="3" spans="1:8" customFormat="1" ht="21" thickBot="1" x14ac:dyDescent="0.3">
      <c r="A3" s="276"/>
      <c r="B3" s="280" t="s">
        <v>354</v>
      </c>
      <c r="C3" s="281"/>
      <c r="D3" s="281"/>
      <c r="E3" s="281"/>
      <c r="F3" s="281"/>
      <c r="G3" s="281"/>
      <c r="H3" s="276"/>
    </row>
    <row r="4" spans="1:8" customFormat="1" ht="17.25" thickTop="1" x14ac:dyDescent="0.25">
      <c r="A4" s="276"/>
      <c r="B4" s="282"/>
      <c r="C4" s="278"/>
      <c r="D4" s="278"/>
      <c r="E4" s="278"/>
      <c r="F4" s="278"/>
      <c r="G4" s="278"/>
      <c r="H4" s="278"/>
    </row>
    <row r="5" spans="1:8" customFormat="1" ht="20.100000000000001" customHeight="1" x14ac:dyDescent="0.25">
      <c r="A5" s="276"/>
      <c r="B5" s="524" t="s">
        <v>355</v>
      </c>
      <c r="C5" s="525"/>
      <c r="D5" s="525"/>
      <c r="E5" s="525"/>
      <c r="F5" s="525"/>
      <c r="G5" s="526"/>
      <c r="H5" s="276"/>
    </row>
    <row r="6" spans="1:8" customFormat="1" ht="20.100000000000001" customHeight="1" x14ac:dyDescent="0.25">
      <c r="A6" s="276"/>
      <c r="B6" s="276"/>
      <c r="C6" s="283" t="s">
        <v>356</v>
      </c>
      <c r="D6" s="283"/>
      <c r="E6" s="276"/>
      <c r="F6" s="283" t="s">
        <v>357</v>
      </c>
      <c r="G6" s="284"/>
      <c r="H6" s="276"/>
    </row>
    <row r="7" spans="1:8" customFormat="1" ht="20.100000000000001" customHeight="1" thickBot="1" x14ac:dyDescent="0.3">
      <c r="A7" s="276"/>
      <c r="B7" s="285" t="s">
        <v>358</v>
      </c>
      <c r="C7" s="286" t="s">
        <v>359</v>
      </c>
      <c r="D7" s="286" t="s">
        <v>348</v>
      </c>
      <c r="E7" s="287" t="s">
        <v>360</v>
      </c>
      <c r="F7" s="286" t="s">
        <v>439</v>
      </c>
      <c r="G7" s="288" t="s">
        <v>353</v>
      </c>
      <c r="H7" s="276"/>
    </row>
    <row r="8" spans="1:8" customFormat="1" ht="20.100000000000001" customHeight="1" x14ac:dyDescent="0.25">
      <c r="A8" s="276"/>
      <c r="B8" s="289" t="s">
        <v>361</v>
      </c>
      <c r="C8" s="290">
        <v>0.08</v>
      </c>
      <c r="D8" s="291">
        <v>0</v>
      </c>
      <c r="E8" s="292" t="s">
        <v>362</v>
      </c>
      <c r="F8" s="293">
        <v>0.75</v>
      </c>
      <c r="G8" s="294">
        <v>0.25</v>
      </c>
      <c r="H8" s="276"/>
    </row>
    <row r="9" spans="1:8" customFormat="1" ht="20.100000000000001" customHeight="1" x14ac:dyDescent="0.25">
      <c r="A9" s="276"/>
      <c r="B9" s="289" t="s">
        <v>363</v>
      </c>
      <c r="C9" s="295">
        <v>0.15</v>
      </c>
      <c r="D9" s="291">
        <v>1.7</v>
      </c>
      <c r="E9" s="290">
        <v>0.2</v>
      </c>
      <c r="F9" s="293">
        <v>0.72000000000000008</v>
      </c>
      <c r="G9" s="294">
        <v>0.27999999999999992</v>
      </c>
      <c r="H9" s="276"/>
    </row>
    <row r="10" spans="1:8" customFormat="1" ht="20.100000000000001" customHeight="1" x14ac:dyDescent="0.25">
      <c r="A10" s="276"/>
      <c r="B10" s="289" t="s">
        <v>364</v>
      </c>
      <c r="C10" s="295">
        <v>0.2</v>
      </c>
      <c r="D10" s="291">
        <v>2</v>
      </c>
      <c r="E10" s="293">
        <v>0.25</v>
      </c>
      <c r="F10" s="293">
        <v>0.67500000000000004</v>
      </c>
      <c r="G10" s="294">
        <v>0.32499999999999996</v>
      </c>
      <c r="H10" s="276"/>
    </row>
    <row r="11" spans="1:8" customFormat="1" ht="20.100000000000001" customHeight="1" x14ac:dyDescent="0.25">
      <c r="A11" s="276"/>
      <c r="B11" s="289" t="s">
        <v>365</v>
      </c>
      <c r="C11" s="295">
        <v>1.5</v>
      </c>
      <c r="D11" s="291">
        <v>0</v>
      </c>
      <c r="E11" s="293">
        <v>0.3</v>
      </c>
      <c r="F11" s="293">
        <v>0.63</v>
      </c>
      <c r="G11" s="294">
        <v>0.37</v>
      </c>
      <c r="H11" s="276"/>
    </row>
    <row r="12" spans="1:8" customFormat="1" ht="20.100000000000001" customHeight="1" x14ac:dyDescent="0.25">
      <c r="A12" s="276"/>
      <c r="B12" s="296" t="s">
        <v>366</v>
      </c>
      <c r="C12" s="297"/>
      <c r="D12" s="298"/>
      <c r="E12" s="299">
        <v>0.35</v>
      </c>
      <c r="F12" s="299">
        <v>0.58500000000000008</v>
      </c>
      <c r="G12" s="300">
        <v>0.41499999999999992</v>
      </c>
      <c r="H12" s="276"/>
    </row>
    <row r="13" spans="1:8" customFormat="1" ht="20.100000000000001" customHeight="1" x14ac:dyDescent="0.25">
      <c r="A13" s="276"/>
      <c r="B13" s="276"/>
      <c r="C13" s="276"/>
      <c r="D13" s="301"/>
      <c r="E13" s="276"/>
      <c r="F13" s="276"/>
      <c r="G13" s="276"/>
      <c r="H13" s="276"/>
    </row>
    <row r="14" spans="1:8" customFormat="1" ht="20.100000000000001" customHeight="1" x14ac:dyDescent="0.25">
      <c r="A14" s="276"/>
      <c r="B14" s="532" t="s">
        <v>367</v>
      </c>
      <c r="C14" s="533"/>
      <c r="D14" s="533"/>
      <c r="E14" s="534"/>
      <c r="F14" s="276"/>
      <c r="G14" s="276"/>
      <c r="H14" s="276"/>
    </row>
    <row r="15" spans="1:8" customFormat="1" ht="20.100000000000001" customHeight="1" x14ac:dyDescent="0.25">
      <c r="A15" s="276"/>
      <c r="B15" s="302"/>
      <c r="C15" s="303" t="s">
        <v>368</v>
      </c>
      <c r="D15" s="304" t="str">
        <f>F7</f>
        <v>LP</v>
      </c>
      <c r="E15" s="305" t="str">
        <f>G7</f>
        <v>Granite Park</v>
      </c>
      <c r="F15" s="276"/>
      <c r="G15" s="276"/>
      <c r="H15" s="276"/>
    </row>
    <row r="16" spans="1:8" customFormat="1" ht="20.100000000000001" customHeight="1" x14ac:dyDescent="0.25">
      <c r="A16" s="276"/>
      <c r="B16" s="306" t="s">
        <v>291</v>
      </c>
      <c r="C16" s="307">
        <f ca="1">'Promote Cash Flow'!D23</f>
        <v>0.21908336281776433</v>
      </c>
      <c r="D16" s="308">
        <f ca="1">'Promote Cash Flow'!D53</f>
        <v>0.21018254160881047</v>
      </c>
      <c r="E16" s="309">
        <f ca="1">'Promote Cash Flow'!D72</f>
        <v>0.24423472285270692</v>
      </c>
      <c r="F16" s="276"/>
      <c r="G16" s="276"/>
      <c r="H16" s="276"/>
    </row>
    <row r="17" spans="1:8" customFormat="1" ht="20.100000000000001" customHeight="1" x14ac:dyDescent="0.25">
      <c r="A17" s="276"/>
      <c r="B17" s="306" t="s">
        <v>290</v>
      </c>
      <c r="C17" s="310">
        <f>'Promote Cash Flow'!D24</f>
        <v>2.382835149301894</v>
      </c>
      <c r="D17" s="311">
        <f>'Promote Cash Flow'!D55</f>
        <v>2.3015412637198809</v>
      </c>
      <c r="E17" s="312">
        <f>'Promote Cash Flow'!D74</f>
        <v>2.6267168060479342</v>
      </c>
      <c r="F17" s="276"/>
      <c r="G17" s="276"/>
      <c r="H17" s="276"/>
    </row>
    <row r="18" spans="1:8" customFormat="1" ht="20.100000000000001" customHeight="1" x14ac:dyDescent="0.25">
      <c r="A18" s="276"/>
      <c r="B18" s="306" t="s">
        <v>349</v>
      </c>
      <c r="C18" s="313">
        <f>'Promote Cash Flow'!D25</f>
        <v>2520908.4771773517</v>
      </c>
      <c r="D18" s="314">
        <f>'Promote Cash Flow'!D54</f>
        <v>1779532.2928210052</v>
      </c>
      <c r="E18" s="315">
        <f>'Promote Cash Flow'!D73</f>
        <v>741376.1843563458</v>
      </c>
      <c r="F18" s="276"/>
      <c r="G18" s="276"/>
      <c r="H18" s="276"/>
    </row>
    <row r="19" spans="1:8" customFormat="1" ht="20.100000000000001" customHeight="1" x14ac:dyDescent="0.25">
      <c r="A19" s="276"/>
      <c r="B19" s="306" t="s">
        <v>369</v>
      </c>
      <c r="C19" s="316" t="s">
        <v>370</v>
      </c>
      <c r="D19" s="308">
        <f>'Promote Cash Flow'!D56</f>
        <v>0.70590912321162003</v>
      </c>
      <c r="E19" s="309">
        <f>'Promote Cash Flow'!D75</f>
        <v>0.29409087678837931</v>
      </c>
      <c r="F19" s="276"/>
      <c r="G19" s="276"/>
      <c r="H19" s="276"/>
    </row>
    <row r="20" spans="1:8" customFormat="1" ht="20.100000000000001" customHeight="1" x14ac:dyDescent="0.25">
      <c r="A20" s="276"/>
      <c r="B20" s="317" t="s">
        <v>371</v>
      </c>
      <c r="C20" s="318" t="s">
        <v>370</v>
      </c>
      <c r="D20" s="319" t="s">
        <v>370</v>
      </c>
      <c r="E20" s="320">
        <f>SUM('Promote Cash Flow'!D62,'Promote Cash Flow'!D64,'Promote Cash Flow'!D66,'Promote Cash Flow'!D68)</f>
        <v>431524.87126553961</v>
      </c>
      <c r="F20" s="276"/>
      <c r="G20" s="276"/>
      <c r="H20" s="276"/>
    </row>
    <row r="21" spans="1:8" customFormat="1" ht="20.100000000000001" customHeight="1" x14ac:dyDescent="0.25">
      <c r="A21" s="276"/>
      <c r="B21" s="276"/>
      <c r="C21" s="276"/>
      <c r="D21" s="276"/>
      <c r="E21" s="276"/>
      <c r="F21" s="276"/>
      <c r="G21" s="276"/>
      <c r="H21" s="276"/>
    </row>
    <row r="22" spans="1:8" customFormat="1" ht="20.100000000000001" customHeight="1" x14ac:dyDescent="0.25">
      <c r="A22" s="276"/>
      <c r="B22" s="276"/>
      <c r="C22" s="276"/>
      <c r="D22" s="276"/>
      <c r="E22" s="276"/>
      <c r="F22" s="276"/>
      <c r="G22" s="276"/>
      <c r="H22" s="276"/>
    </row>
    <row r="23" spans="1:8" ht="20.100000000000001" customHeight="1" x14ac:dyDescent="0.25"/>
    <row r="24" spans="1:8" ht="20.100000000000001" customHeight="1" x14ac:dyDescent="0.25"/>
    <row r="25" spans="1:8" ht="20.100000000000001" customHeight="1" x14ac:dyDescent="0.25"/>
    <row r="26" spans="1:8" ht="20.100000000000001" customHeight="1" x14ac:dyDescent="0.25"/>
    <row r="27" spans="1:8" ht="20.100000000000001" customHeight="1" x14ac:dyDescent="0.25"/>
    <row r="28" spans="1:8" ht="20.100000000000001" customHeight="1" x14ac:dyDescent="0.25"/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>
      <c r="B31"/>
      <c r="C31"/>
      <c r="D31"/>
      <c r="E31"/>
      <c r="F31"/>
      <c r="G31"/>
    </row>
    <row r="32" spans="1:8" ht="20.100000000000001" customHeight="1" x14ac:dyDescent="0.25">
      <c r="B32"/>
      <c r="C32"/>
      <c r="D32"/>
      <c r="E32"/>
      <c r="F32"/>
      <c r="G32"/>
    </row>
    <row r="33" spans="2:7" ht="20.100000000000001" customHeight="1" x14ac:dyDescent="0.25">
      <c r="B33"/>
      <c r="C33"/>
      <c r="D33"/>
      <c r="E33"/>
      <c r="F33"/>
      <c r="G33"/>
    </row>
    <row r="34" spans="2:7" x14ac:dyDescent="0.25">
      <c r="B34"/>
      <c r="C34"/>
      <c r="D34"/>
      <c r="E34"/>
      <c r="F34"/>
      <c r="G34"/>
    </row>
    <row r="35" spans="2:7" x14ac:dyDescent="0.25">
      <c r="B35"/>
      <c r="C35"/>
      <c r="D35"/>
      <c r="E35"/>
      <c r="F35"/>
      <c r="G35"/>
    </row>
    <row r="36" spans="2:7" ht="20.100000000000001" customHeight="1" x14ac:dyDescent="0.25">
      <c r="B36"/>
      <c r="C36"/>
      <c r="D36"/>
      <c r="E36"/>
      <c r="F36"/>
      <c r="G36"/>
    </row>
    <row r="37" spans="2:7" ht="20.100000000000001" customHeight="1" x14ac:dyDescent="0.25">
      <c r="B37"/>
      <c r="C37"/>
      <c r="D37"/>
      <c r="E37"/>
      <c r="F37"/>
      <c r="G37"/>
    </row>
    <row r="38" spans="2:7" ht="20.100000000000001" customHeight="1" x14ac:dyDescent="0.25">
      <c r="B38"/>
      <c r="C38"/>
      <c r="D38"/>
      <c r="E38"/>
      <c r="F38"/>
      <c r="G38"/>
    </row>
    <row r="39" spans="2:7" ht="20.100000000000001" customHeight="1" x14ac:dyDescent="0.25">
      <c r="B39"/>
      <c r="C39"/>
      <c r="D39"/>
      <c r="E39"/>
      <c r="F39"/>
      <c r="G39"/>
    </row>
    <row r="40" spans="2:7" ht="20.100000000000001" customHeight="1" x14ac:dyDescent="0.25">
      <c r="B40"/>
      <c r="C40"/>
      <c r="D40"/>
      <c r="E40"/>
      <c r="F40"/>
      <c r="G40"/>
    </row>
    <row r="41" spans="2:7" ht="20.100000000000001" customHeight="1" x14ac:dyDescent="0.25">
      <c r="B41"/>
      <c r="C41"/>
      <c r="D41"/>
      <c r="E41"/>
      <c r="F41"/>
      <c r="G41"/>
    </row>
    <row r="42" spans="2:7" ht="20.100000000000001" customHeight="1" x14ac:dyDescent="0.25">
      <c r="B42"/>
      <c r="C42"/>
      <c r="D42"/>
      <c r="E42"/>
      <c r="F42"/>
      <c r="G42"/>
    </row>
    <row r="43" spans="2:7" ht="20.100000000000001" customHeight="1" x14ac:dyDescent="0.25">
      <c r="B43"/>
      <c r="C43"/>
      <c r="D43"/>
      <c r="E43"/>
      <c r="F43"/>
      <c r="G43"/>
    </row>
    <row r="44" spans="2:7" ht="20.100000000000001" customHeight="1" x14ac:dyDescent="0.25">
      <c r="B44"/>
      <c r="C44"/>
      <c r="D44"/>
      <c r="E44"/>
      <c r="F44"/>
      <c r="G44"/>
    </row>
    <row r="45" spans="2:7" ht="20.100000000000001" customHeight="1" x14ac:dyDescent="0.25">
      <c r="B45"/>
      <c r="C45"/>
      <c r="D45"/>
      <c r="E45"/>
      <c r="F45"/>
      <c r="G45"/>
    </row>
    <row r="46" spans="2:7" x14ac:dyDescent="0.25">
      <c r="B46"/>
      <c r="C46"/>
      <c r="D46"/>
      <c r="E46"/>
      <c r="F46"/>
      <c r="G46"/>
    </row>
    <row r="47" spans="2:7" x14ac:dyDescent="0.25">
      <c r="B47"/>
      <c r="C47"/>
      <c r="D47"/>
      <c r="E47"/>
      <c r="F47"/>
      <c r="G47"/>
    </row>
    <row r="48" spans="2:7" x14ac:dyDescent="0.25">
      <c r="B48"/>
      <c r="C48"/>
      <c r="D48"/>
      <c r="E48"/>
      <c r="F48"/>
      <c r="G48"/>
    </row>
    <row r="49" spans="2:7" x14ac:dyDescent="0.25">
      <c r="B49"/>
      <c r="C49"/>
      <c r="D49"/>
      <c r="E49"/>
      <c r="F49"/>
      <c r="G49"/>
    </row>
    <row r="50" spans="2:7" x14ac:dyDescent="0.25">
      <c r="B50"/>
      <c r="C50"/>
      <c r="D50"/>
      <c r="E50"/>
      <c r="F50"/>
      <c r="G50"/>
    </row>
    <row r="51" spans="2:7" x14ac:dyDescent="0.25">
      <c r="B51"/>
      <c r="C51"/>
      <c r="D51"/>
      <c r="E51"/>
      <c r="F51"/>
      <c r="G51"/>
    </row>
    <row r="52" spans="2:7" x14ac:dyDescent="0.25">
      <c r="B52"/>
      <c r="C52"/>
      <c r="D52"/>
      <c r="E52"/>
      <c r="F52"/>
      <c r="G52"/>
    </row>
    <row r="53" spans="2:7" x14ac:dyDescent="0.25">
      <c r="B53"/>
      <c r="C53"/>
      <c r="D53"/>
      <c r="E53"/>
      <c r="F53"/>
      <c r="G53"/>
    </row>
    <row r="54" spans="2:7" x14ac:dyDescent="0.25">
      <c r="B54"/>
      <c r="C54"/>
      <c r="D54"/>
      <c r="E54"/>
      <c r="F54"/>
      <c r="G54"/>
    </row>
    <row r="55" spans="2:7" x14ac:dyDescent="0.25">
      <c r="B55"/>
      <c r="C55"/>
      <c r="D55"/>
      <c r="E55"/>
      <c r="F55"/>
      <c r="G55"/>
    </row>
    <row r="56" spans="2:7" x14ac:dyDescent="0.25">
      <c r="B56"/>
      <c r="C56"/>
      <c r="D56"/>
      <c r="E56"/>
      <c r="F56"/>
      <c r="G56"/>
    </row>
    <row r="57" spans="2:7" x14ac:dyDescent="0.25">
      <c r="B57"/>
      <c r="C57"/>
      <c r="D57"/>
      <c r="E57"/>
      <c r="F57"/>
      <c r="G57"/>
    </row>
    <row r="58" spans="2:7" x14ac:dyDescent="0.25">
      <c r="B58"/>
      <c r="C58"/>
      <c r="D58"/>
      <c r="E58"/>
      <c r="F58"/>
      <c r="G58"/>
    </row>
    <row r="304" spans="6:6" x14ac:dyDescent="0.25">
      <c r="F304" s="321"/>
    </row>
  </sheetData>
  <dataValidations disablePrompts="1" count="1">
    <dataValidation type="list" allowBlank="1" showInputMessage="1" showErrorMessage="1" sqref="B7" xr:uid="{32AFAB22-C28F-4781-B48B-FA18DDE3AD74}">
      <formula1>"Quarterly, Monthly"</formula1>
    </dataValidation>
  </dataValidations>
  <pageMargins left="0.2" right="0.2" top="0.25" bottom="0.25" header="0.3" footer="0.3"/>
  <pageSetup scale="88" fitToHeight="0" orientation="landscape" horizontalDpi="4294967293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4EA5-7B34-4426-A897-8A4F4321636D}">
  <sheetPr>
    <tabColor theme="0" tint="-4.9989318521683403E-2"/>
  </sheetPr>
  <dimension ref="B1:DW224"/>
  <sheetViews>
    <sheetView showGridLines="0" view="pageBreakPreview" zoomScale="70" zoomScaleNormal="100" zoomScaleSheetLayoutView="70" workbookViewId="0">
      <selection activeCell="A264" sqref="A264:XFD264"/>
    </sheetView>
  </sheetViews>
  <sheetFormatPr defaultColWidth="9.140625" defaultRowHeight="16.5" outlineLevelRow="1" outlineLevelCol="1" x14ac:dyDescent="0.3"/>
  <cols>
    <col min="1" max="2" width="2.140625" style="322" customWidth="1"/>
    <col min="3" max="3" width="20" style="322" customWidth="1"/>
    <col min="4" max="4" width="18.28515625" style="322" bestFit="1" customWidth="1"/>
    <col min="5" max="5" width="14.28515625" style="322" hidden="1" customWidth="1" outlineLevel="1"/>
    <col min="6" max="6" width="18.5703125" style="322" customWidth="1" collapsed="1"/>
    <col min="7" max="7" width="21.5703125" style="322" bestFit="1" customWidth="1"/>
    <col min="8" max="16" width="18.5703125" style="322" customWidth="1"/>
    <col min="17" max="20" width="18.28515625" style="322" bestFit="1" customWidth="1"/>
    <col min="21" max="21" width="18.85546875" style="322" bestFit="1" customWidth="1"/>
    <col min="22" max="24" width="18.5703125" style="322" bestFit="1" customWidth="1"/>
    <col min="25" max="25" width="18.28515625" style="322" bestFit="1" customWidth="1"/>
    <col min="26" max="26" width="18.85546875" style="322" bestFit="1" customWidth="1"/>
    <col min="27" max="27" width="18.28515625" style="322" bestFit="1" customWidth="1"/>
    <col min="28" max="28" width="18.5703125" style="322" bestFit="1" customWidth="1"/>
    <col min="29" max="127" width="18.28515625" style="322" bestFit="1" customWidth="1"/>
    <col min="128" max="139" width="18.140625" style="322" bestFit="1" customWidth="1"/>
    <col min="140" max="16384" width="9.140625" style="322"/>
  </cols>
  <sheetData>
    <row r="1" spans="2:127" ht="17.25" thickBot="1" x14ac:dyDescent="0.35">
      <c r="P1" s="323"/>
      <c r="Q1" s="323"/>
      <c r="R1" s="323"/>
      <c r="S1" s="323"/>
      <c r="T1" s="323"/>
      <c r="U1" s="323"/>
      <c r="V1" s="323"/>
      <c r="DW1" s="322" t="s">
        <v>372</v>
      </c>
    </row>
    <row r="2" spans="2:127" ht="24" thickTop="1" x14ac:dyDescent="0.35">
      <c r="C2" s="277" t="str">
        <f>'Partnership Terms + Fees'!B2</f>
        <v>Granite Park</v>
      </c>
      <c r="D2" s="324"/>
      <c r="E2" s="324"/>
      <c r="F2" s="324"/>
      <c r="G2" s="324"/>
      <c r="H2" s="324"/>
      <c r="I2" s="324"/>
      <c r="J2" s="324"/>
      <c r="K2" s="324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325"/>
      <c r="AM2" s="325"/>
      <c r="AN2" s="325"/>
      <c r="AO2" s="325"/>
      <c r="AP2" s="325"/>
      <c r="AQ2" s="325"/>
      <c r="AR2" s="325"/>
      <c r="AS2" s="325"/>
      <c r="AT2" s="325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  <c r="BG2" s="325"/>
      <c r="BH2" s="325"/>
      <c r="BI2" s="325"/>
      <c r="BJ2" s="325"/>
      <c r="BK2" s="325"/>
      <c r="BL2" s="325"/>
      <c r="BM2" s="325"/>
      <c r="BN2" s="325"/>
      <c r="BO2" s="325"/>
      <c r="BP2" s="325"/>
      <c r="BQ2" s="325"/>
      <c r="BR2" s="325"/>
      <c r="BS2" s="325"/>
      <c r="BT2" s="325"/>
      <c r="BU2" s="325"/>
      <c r="BV2" s="325"/>
      <c r="BW2" s="325"/>
      <c r="BX2" s="325"/>
      <c r="BY2" s="325"/>
      <c r="BZ2" s="325"/>
      <c r="CA2" s="325"/>
      <c r="CB2" s="325"/>
      <c r="CC2" s="325"/>
      <c r="CD2" s="325"/>
      <c r="CE2" s="325"/>
      <c r="CF2" s="325"/>
      <c r="CG2" s="325"/>
      <c r="CH2" s="325"/>
      <c r="CI2" s="325"/>
      <c r="CJ2" s="325"/>
      <c r="CK2" s="325"/>
      <c r="CL2" s="325"/>
      <c r="CM2" s="325"/>
      <c r="CN2" s="325"/>
      <c r="CO2" s="325"/>
      <c r="CP2" s="325"/>
      <c r="CQ2" s="325"/>
      <c r="CR2" s="325"/>
      <c r="CS2" s="325"/>
      <c r="CT2" s="325"/>
      <c r="CU2" s="325"/>
      <c r="CV2" s="325"/>
      <c r="CW2" s="325"/>
      <c r="CX2" s="325"/>
      <c r="CY2" s="325"/>
      <c r="CZ2" s="325"/>
      <c r="DA2" s="325"/>
      <c r="DB2" s="325"/>
      <c r="DC2" s="325"/>
      <c r="DD2" s="325"/>
      <c r="DE2" s="325"/>
      <c r="DF2" s="325"/>
      <c r="DG2" s="325"/>
      <c r="DH2" s="325"/>
      <c r="DI2" s="325"/>
      <c r="DJ2" s="325"/>
      <c r="DK2" s="325"/>
      <c r="DL2" s="325"/>
      <c r="DM2" s="325"/>
      <c r="DN2" s="325"/>
      <c r="DO2" s="325"/>
      <c r="DP2" s="325"/>
      <c r="DQ2" s="325"/>
      <c r="DR2" s="325"/>
      <c r="DS2" s="325"/>
      <c r="DT2" s="325"/>
      <c r="DU2" s="325"/>
      <c r="DV2" s="325"/>
      <c r="DW2" s="322" t="s">
        <v>372</v>
      </c>
    </row>
    <row r="3" spans="2:127" ht="17.25" thickBot="1" x14ac:dyDescent="0.35">
      <c r="C3" s="326" t="s">
        <v>373</v>
      </c>
      <c r="D3" s="327"/>
      <c r="E3" s="327"/>
      <c r="F3" s="327"/>
      <c r="G3" s="327"/>
      <c r="H3" s="327"/>
      <c r="I3" s="327"/>
      <c r="J3" s="327"/>
      <c r="K3" s="328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7"/>
      <c r="AN3" s="327"/>
      <c r="AO3" s="327"/>
      <c r="AP3" s="327"/>
      <c r="AQ3" s="327"/>
      <c r="AR3" s="327"/>
      <c r="AS3" s="327"/>
      <c r="AT3" s="327"/>
      <c r="AU3" s="327"/>
      <c r="AV3" s="327"/>
      <c r="AW3" s="327"/>
      <c r="AX3" s="327"/>
      <c r="AY3" s="327"/>
      <c r="AZ3" s="327"/>
      <c r="BA3" s="327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  <c r="BM3" s="327"/>
      <c r="BN3" s="327"/>
      <c r="BO3" s="327"/>
      <c r="BP3" s="327"/>
      <c r="BQ3" s="327"/>
      <c r="BR3" s="327"/>
      <c r="BS3" s="327"/>
      <c r="BT3" s="327"/>
      <c r="BU3" s="327"/>
      <c r="BV3" s="327"/>
      <c r="BW3" s="327"/>
      <c r="BX3" s="327"/>
      <c r="BY3" s="327"/>
      <c r="BZ3" s="327"/>
      <c r="CA3" s="327"/>
      <c r="CB3" s="327"/>
      <c r="CC3" s="327"/>
      <c r="CD3" s="327"/>
      <c r="CE3" s="327"/>
      <c r="CF3" s="327"/>
      <c r="CG3" s="327"/>
      <c r="CH3" s="327"/>
      <c r="CI3" s="327"/>
      <c r="CJ3" s="327"/>
      <c r="CK3" s="327"/>
      <c r="CL3" s="327"/>
      <c r="CM3" s="327"/>
      <c r="CN3" s="327"/>
      <c r="CO3" s="327"/>
      <c r="CP3" s="327"/>
      <c r="CQ3" s="327"/>
      <c r="CR3" s="327"/>
      <c r="CS3" s="327"/>
      <c r="CT3" s="327"/>
      <c r="CU3" s="327"/>
      <c r="CV3" s="327"/>
      <c r="CW3" s="327"/>
      <c r="CX3" s="327"/>
      <c r="CY3" s="327"/>
      <c r="CZ3" s="327"/>
      <c r="DA3" s="327"/>
      <c r="DB3" s="327"/>
      <c r="DC3" s="327"/>
      <c r="DD3" s="327"/>
      <c r="DE3" s="327"/>
      <c r="DF3" s="327"/>
      <c r="DG3" s="327"/>
      <c r="DH3" s="327"/>
      <c r="DI3" s="327"/>
      <c r="DJ3" s="327"/>
      <c r="DK3" s="327"/>
      <c r="DL3" s="327"/>
      <c r="DM3" s="327"/>
      <c r="DN3" s="327"/>
      <c r="DO3" s="327"/>
      <c r="DP3" s="327"/>
      <c r="DQ3" s="327"/>
      <c r="DR3" s="327"/>
      <c r="DS3" s="327"/>
      <c r="DT3" s="327"/>
      <c r="DU3" s="327"/>
      <c r="DV3" s="327"/>
      <c r="DW3" s="322" t="s">
        <v>372</v>
      </c>
    </row>
    <row r="4" spans="2:127" ht="5.0999999999999996" customHeight="1" thickTop="1" x14ac:dyDescent="0.3">
      <c r="C4" s="329"/>
      <c r="D4" s="330"/>
      <c r="E4" s="330"/>
      <c r="F4" s="330"/>
      <c r="G4" s="330"/>
      <c r="H4" s="330"/>
      <c r="I4" s="330"/>
      <c r="J4" s="330"/>
      <c r="K4" s="331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  <c r="W4" s="330"/>
      <c r="X4" s="330"/>
      <c r="Y4" s="330"/>
      <c r="Z4" s="330"/>
      <c r="AA4" s="330"/>
      <c r="AB4" s="330"/>
      <c r="AC4" s="330"/>
      <c r="AD4" s="330"/>
      <c r="AE4" s="330"/>
      <c r="AF4" s="330"/>
      <c r="AG4" s="330"/>
      <c r="AH4" s="330"/>
      <c r="AI4" s="330"/>
      <c r="AJ4" s="330"/>
      <c r="AK4" s="330"/>
      <c r="AL4" s="330"/>
      <c r="AM4" s="330"/>
      <c r="AN4" s="330"/>
      <c r="AO4" s="330"/>
      <c r="AP4" s="330"/>
      <c r="AQ4" s="330"/>
      <c r="AR4" s="330"/>
      <c r="AS4" s="330"/>
      <c r="AT4" s="330"/>
      <c r="AU4" s="330"/>
      <c r="AV4" s="330"/>
      <c r="AW4" s="330"/>
      <c r="AX4" s="330"/>
      <c r="AY4" s="330"/>
      <c r="AZ4" s="330"/>
      <c r="BA4" s="330"/>
      <c r="BB4" s="330"/>
      <c r="BC4" s="330"/>
      <c r="BD4" s="330"/>
      <c r="BE4" s="330"/>
      <c r="BF4" s="330"/>
      <c r="BG4" s="330"/>
      <c r="BH4" s="330"/>
      <c r="BI4" s="330"/>
      <c r="BJ4" s="330"/>
      <c r="BK4" s="330"/>
      <c r="BL4" s="330"/>
      <c r="BM4" s="330"/>
      <c r="BN4" s="330"/>
      <c r="BO4" s="330"/>
      <c r="BP4" s="330"/>
      <c r="BQ4" s="330"/>
      <c r="BR4" s="330"/>
      <c r="BS4" s="330"/>
      <c r="BT4" s="330"/>
      <c r="BU4" s="330"/>
      <c r="BV4" s="330"/>
      <c r="BW4" s="330"/>
      <c r="BX4" s="330"/>
      <c r="BY4" s="330"/>
      <c r="BZ4" s="330"/>
      <c r="CA4" s="330"/>
      <c r="CB4" s="330"/>
      <c r="CC4" s="330"/>
      <c r="CD4" s="330"/>
      <c r="CE4" s="330"/>
      <c r="CF4" s="330"/>
      <c r="CG4" s="330"/>
      <c r="CH4" s="330"/>
      <c r="CI4" s="330"/>
      <c r="CJ4" s="330"/>
      <c r="CK4" s="330"/>
      <c r="CL4" s="330"/>
      <c r="CM4" s="330"/>
      <c r="CN4" s="330"/>
      <c r="CO4" s="330"/>
      <c r="CP4" s="330"/>
      <c r="CQ4" s="330"/>
      <c r="CR4" s="330"/>
      <c r="CS4" s="330"/>
      <c r="CT4" s="330"/>
      <c r="CU4" s="330"/>
      <c r="CV4" s="330"/>
      <c r="CW4" s="330"/>
      <c r="CX4" s="330"/>
      <c r="CY4" s="330"/>
      <c r="CZ4" s="330"/>
      <c r="DA4" s="330"/>
      <c r="DB4" s="330"/>
      <c r="DC4" s="330"/>
      <c r="DD4" s="330"/>
      <c r="DE4" s="330"/>
      <c r="DF4" s="330"/>
      <c r="DG4" s="330"/>
      <c r="DH4" s="330"/>
      <c r="DI4" s="330"/>
      <c r="DJ4" s="330"/>
      <c r="DK4" s="330"/>
      <c r="DL4" s="330"/>
      <c r="DM4" s="330"/>
      <c r="DN4" s="330"/>
      <c r="DO4" s="330"/>
      <c r="DP4" s="330"/>
      <c r="DQ4" s="330"/>
      <c r="DR4" s="330"/>
      <c r="DS4" s="330"/>
      <c r="DT4" s="330"/>
      <c r="DU4" s="330"/>
      <c r="DV4" s="330"/>
    </row>
    <row r="5" spans="2:127" x14ac:dyDescent="0.3">
      <c r="B5" s="529"/>
      <c r="C5" s="530" t="s">
        <v>374</v>
      </c>
      <c r="D5" s="535">
        <f>MAX('Scenario 2'!E110:J110)*12</f>
        <v>60</v>
      </c>
      <c r="E5" s="529"/>
      <c r="F5" s="529"/>
      <c r="G5" s="531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332"/>
      <c r="AB5" s="332"/>
      <c r="AC5" s="332"/>
      <c r="AD5" s="332"/>
      <c r="AE5" s="332"/>
      <c r="AF5" s="332"/>
      <c r="AG5" s="332"/>
      <c r="AH5" s="332"/>
      <c r="AI5" s="332"/>
      <c r="AJ5" s="332"/>
      <c r="AK5" s="332"/>
      <c r="AL5" s="332"/>
      <c r="AM5" s="332"/>
      <c r="AN5" s="332"/>
      <c r="AO5" s="332"/>
      <c r="AP5" s="332"/>
      <c r="AQ5" s="332"/>
      <c r="AR5" s="332"/>
      <c r="AS5" s="332"/>
      <c r="AT5" s="332"/>
      <c r="AU5" s="332"/>
      <c r="AV5" s="332"/>
      <c r="AW5" s="332"/>
      <c r="AX5" s="332"/>
      <c r="AY5" s="332"/>
      <c r="AZ5" s="332"/>
      <c r="BA5" s="332"/>
      <c r="BB5" s="332"/>
      <c r="BC5" s="332"/>
      <c r="BD5" s="332"/>
      <c r="BE5" s="332"/>
      <c r="BF5" s="332"/>
      <c r="BG5" s="332"/>
      <c r="BH5" s="332"/>
      <c r="BI5" s="332"/>
      <c r="BJ5" s="332"/>
      <c r="BK5" s="332"/>
      <c r="BL5" s="332"/>
      <c r="BM5" s="332"/>
      <c r="BN5" s="332"/>
      <c r="BO5" s="332"/>
      <c r="BP5" s="332"/>
      <c r="BQ5" s="332"/>
      <c r="BR5" s="332"/>
      <c r="BS5" s="332"/>
      <c r="BT5" s="332"/>
      <c r="BU5" s="332"/>
      <c r="BV5" s="332"/>
      <c r="BW5" s="332"/>
      <c r="BX5" s="332"/>
      <c r="BY5" s="332"/>
      <c r="BZ5" s="332"/>
      <c r="CA5" s="332"/>
      <c r="CB5" s="332"/>
      <c r="CC5" s="332"/>
      <c r="CD5" s="332"/>
      <c r="CE5" s="332"/>
      <c r="CF5" s="332"/>
      <c r="CG5" s="332"/>
      <c r="CH5" s="332"/>
      <c r="CI5" s="332"/>
      <c r="CJ5" s="332"/>
      <c r="CK5" s="332"/>
      <c r="CL5" s="332"/>
      <c r="CM5" s="332"/>
      <c r="CN5" s="332"/>
      <c r="CO5" s="332"/>
      <c r="CP5" s="332"/>
      <c r="CQ5" s="332"/>
      <c r="CR5" s="332"/>
      <c r="CS5" s="332"/>
      <c r="CT5" s="332"/>
      <c r="CU5" s="332"/>
      <c r="CV5" s="332"/>
      <c r="CW5" s="332"/>
      <c r="CX5" s="332"/>
      <c r="CY5" s="332"/>
      <c r="CZ5" s="332"/>
      <c r="DA5" s="332"/>
      <c r="DB5" s="332"/>
      <c r="DC5" s="332"/>
      <c r="DD5" s="332"/>
      <c r="DE5" s="332"/>
      <c r="DF5" s="332"/>
      <c r="DG5" s="332"/>
      <c r="DH5" s="332"/>
      <c r="DI5" s="332"/>
      <c r="DJ5" s="332"/>
      <c r="DK5" s="332"/>
      <c r="DL5" s="332"/>
      <c r="DM5" s="332"/>
      <c r="DN5" s="332"/>
      <c r="DO5" s="332"/>
      <c r="DP5" s="332"/>
      <c r="DQ5" s="332"/>
      <c r="DR5" s="332"/>
      <c r="DS5" s="332"/>
      <c r="DT5" s="332"/>
      <c r="DU5" s="332"/>
      <c r="DV5" s="332"/>
      <c r="DW5" s="322" t="s">
        <v>372</v>
      </c>
    </row>
    <row r="6" spans="2:127" ht="5.0999999999999996" customHeight="1" x14ac:dyDescent="0.3">
      <c r="D6" s="333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2"/>
      <c r="BK6" s="332"/>
      <c r="BL6" s="332"/>
      <c r="BM6" s="332"/>
      <c r="BN6" s="332"/>
      <c r="BO6" s="332"/>
      <c r="BP6" s="332"/>
      <c r="BQ6" s="332"/>
      <c r="BR6" s="332"/>
      <c r="BS6" s="332"/>
      <c r="BT6" s="332"/>
      <c r="BU6" s="332"/>
      <c r="BV6" s="332"/>
      <c r="BW6" s="332"/>
      <c r="BX6" s="332"/>
      <c r="BY6" s="332"/>
      <c r="BZ6" s="332"/>
      <c r="CA6" s="332"/>
      <c r="CB6" s="332"/>
      <c r="CC6" s="332"/>
      <c r="CD6" s="332"/>
      <c r="CE6" s="332"/>
      <c r="CF6" s="332"/>
      <c r="CG6" s="332"/>
      <c r="CH6" s="332"/>
      <c r="CI6" s="332"/>
      <c r="CJ6" s="332"/>
      <c r="CK6" s="332"/>
      <c r="CL6" s="332"/>
      <c r="CM6" s="332"/>
      <c r="CN6" s="332"/>
      <c r="CO6" s="332"/>
      <c r="CP6" s="332"/>
      <c r="CQ6" s="332"/>
      <c r="CR6" s="332"/>
      <c r="CS6" s="332"/>
      <c r="CT6" s="332"/>
      <c r="CU6" s="332"/>
      <c r="CV6" s="332"/>
      <c r="CW6" s="332"/>
      <c r="CX6" s="332"/>
      <c r="CY6" s="332"/>
      <c r="CZ6" s="332"/>
      <c r="DA6" s="332"/>
      <c r="DB6" s="332"/>
      <c r="DC6" s="332"/>
      <c r="DD6" s="332"/>
      <c r="DE6" s="332"/>
      <c r="DF6" s="332"/>
      <c r="DG6" s="332"/>
      <c r="DH6" s="332"/>
      <c r="DI6" s="332"/>
      <c r="DJ6" s="332"/>
      <c r="DK6" s="332"/>
      <c r="DL6" s="332"/>
      <c r="DM6" s="332"/>
      <c r="DN6" s="332"/>
      <c r="DO6" s="332"/>
      <c r="DP6" s="332"/>
      <c r="DQ6" s="332"/>
      <c r="DR6" s="332"/>
      <c r="DS6" s="332"/>
      <c r="DT6" s="332"/>
      <c r="DU6" s="332"/>
      <c r="DV6" s="332"/>
    </row>
    <row r="7" spans="2:127" x14ac:dyDescent="0.3">
      <c r="C7" s="334" t="s">
        <v>375</v>
      </c>
      <c r="D7" s="334"/>
      <c r="E7" s="334"/>
      <c r="F7" s="335">
        <v>0</v>
      </c>
      <c r="G7" s="335">
        <f>ROUNDUP(G8/12,)</f>
        <v>1</v>
      </c>
      <c r="H7" s="335">
        <f t="shared" ref="H7:BS7" si="0">ROUNDUP(H8/12,)</f>
        <v>1</v>
      </c>
      <c r="I7" s="335">
        <f t="shared" si="0"/>
        <v>1</v>
      </c>
      <c r="J7" s="335">
        <f t="shared" si="0"/>
        <v>1</v>
      </c>
      <c r="K7" s="335">
        <f t="shared" si="0"/>
        <v>1</v>
      </c>
      <c r="L7" s="335">
        <f t="shared" si="0"/>
        <v>1</v>
      </c>
      <c r="M7" s="335">
        <f t="shared" si="0"/>
        <v>1</v>
      </c>
      <c r="N7" s="335">
        <f t="shared" si="0"/>
        <v>1</v>
      </c>
      <c r="O7" s="335">
        <f t="shared" si="0"/>
        <v>1</v>
      </c>
      <c r="P7" s="335">
        <f t="shared" si="0"/>
        <v>1</v>
      </c>
      <c r="Q7" s="335">
        <f t="shared" si="0"/>
        <v>1</v>
      </c>
      <c r="R7" s="335">
        <f t="shared" si="0"/>
        <v>1</v>
      </c>
      <c r="S7" s="335">
        <f t="shared" si="0"/>
        <v>2</v>
      </c>
      <c r="T7" s="335">
        <f t="shared" si="0"/>
        <v>2</v>
      </c>
      <c r="U7" s="335">
        <f t="shared" si="0"/>
        <v>2</v>
      </c>
      <c r="V7" s="335">
        <f t="shared" si="0"/>
        <v>2</v>
      </c>
      <c r="W7" s="335">
        <f t="shared" si="0"/>
        <v>2</v>
      </c>
      <c r="X7" s="335">
        <f t="shared" si="0"/>
        <v>2</v>
      </c>
      <c r="Y7" s="335">
        <f t="shared" si="0"/>
        <v>2</v>
      </c>
      <c r="Z7" s="335">
        <f t="shared" si="0"/>
        <v>2</v>
      </c>
      <c r="AA7" s="335">
        <f t="shared" si="0"/>
        <v>2</v>
      </c>
      <c r="AB7" s="335">
        <f t="shared" si="0"/>
        <v>2</v>
      </c>
      <c r="AC7" s="335">
        <f t="shared" si="0"/>
        <v>2</v>
      </c>
      <c r="AD7" s="335">
        <f t="shared" si="0"/>
        <v>2</v>
      </c>
      <c r="AE7" s="335">
        <f t="shared" si="0"/>
        <v>3</v>
      </c>
      <c r="AF7" s="335">
        <f t="shared" si="0"/>
        <v>3</v>
      </c>
      <c r="AG7" s="335">
        <f t="shared" si="0"/>
        <v>3</v>
      </c>
      <c r="AH7" s="335">
        <f t="shared" si="0"/>
        <v>3</v>
      </c>
      <c r="AI7" s="335">
        <f t="shared" si="0"/>
        <v>3</v>
      </c>
      <c r="AJ7" s="335">
        <f t="shared" si="0"/>
        <v>3</v>
      </c>
      <c r="AK7" s="335">
        <f t="shared" si="0"/>
        <v>3</v>
      </c>
      <c r="AL7" s="335">
        <f t="shared" si="0"/>
        <v>3</v>
      </c>
      <c r="AM7" s="335">
        <f t="shared" si="0"/>
        <v>3</v>
      </c>
      <c r="AN7" s="335">
        <f t="shared" si="0"/>
        <v>3</v>
      </c>
      <c r="AO7" s="335">
        <f t="shared" si="0"/>
        <v>3</v>
      </c>
      <c r="AP7" s="335">
        <f t="shared" si="0"/>
        <v>3</v>
      </c>
      <c r="AQ7" s="335">
        <f t="shared" si="0"/>
        <v>4</v>
      </c>
      <c r="AR7" s="335">
        <f t="shared" si="0"/>
        <v>4</v>
      </c>
      <c r="AS7" s="335">
        <f t="shared" si="0"/>
        <v>4</v>
      </c>
      <c r="AT7" s="335">
        <f t="shared" si="0"/>
        <v>4</v>
      </c>
      <c r="AU7" s="335">
        <f t="shared" si="0"/>
        <v>4</v>
      </c>
      <c r="AV7" s="335">
        <f t="shared" si="0"/>
        <v>4</v>
      </c>
      <c r="AW7" s="335">
        <f t="shared" si="0"/>
        <v>4</v>
      </c>
      <c r="AX7" s="335">
        <f t="shared" si="0"/>
        <v>4</v>
      </c>
      <c r="AY7" s="335">
        <f t="shared" si="0"/>
        <v>4</v>
      </c>
      <c r="AZ7" s="335">
        <f t="shared" si="0"/>
        <v>4</v>
      </c>
      <c r="BA7" s="335">
        <f t="shared" si="0"/>
        <v>4</v>
      </c>
      <c r="BB7" s="335">
        <f t="shared" si="0"/>
        <v>4</v>
      </c>
      <c r="BC7" s="335">
        <f t="shared" si="0"/>
        <v>5</v>
      </c>
      <c r="BD7" s="335">
        <f t="shared" si="0"/>
        <v>5</v>
      </c>
      <c r="BE7" s="335">
        <f t="shared" si="0"/>
        <v>5</v>
      </c>
      <c r="BF7" s="335">
        <f t="shared" si="0"/>
        <v>5</v>
      </c>
      <c r="BG7" s="335">
        <f t="shared" si="0"/>
        <v>5</v>
      </c>
      <c r="BH7" s="335">
        <f t="shared" si="0"/>
        <v>5</v>
      </c>
      <c r="BI7" s="335">
        <f t="shared" si="0"/>
        <v>5</v>
      </c>
      <c r="BJ7" s="335">
        <f t="shared" si="0"/>
        <v>5</v>
      </c>
      <c r="BK7" s="335">
        <f t="shared" si="0"/>
        <v>5</v>
      </c>
      <c r="BL7" s="335">
        <f t="shared" si="0"/>
        <v>5</v>
      </c>
      <c r="BM7" s="335">
        <f t="shared" si="0"/>
        <v>5</v>
      </c>
      <c r="BN7" s="335">
        <f t="shared" si="0"/>
        <v>5</v>
      </c>
      <c r="BO7" s="335">
        <f t="shared" si="0"/>
        <v>6</v>
      </c>
      <c r="BP7" s="335">
        <f t="shared" si="0"/>
        <v>6</v>
      </c>
      <c r="BQ7" s="335">
        <f t="shared" si="0"/>
        <v>6</v>
      </c>
      <c r="BR7" s="335">
        <f t="shared" si="0"/>
        <v>6</v>
      </c>
      <c r="BS7" s="335">
        <f t="shared" si="0"/>
        <v>6</v>
      </c>
      <c r="BT7" s="335">
        <f t="shared" ref="BT7:DV7" si="1">ROUNDUP(BT8/12,)</f>
        <v>6</v>
      </c>
      <c r="BU7" s="335">
        <f t="shared" si="1"/>
        <v>6</v>
      </c>
      <c r="BV7" s="335">
        <f t="shared" si="1"/>
        <v>6</v>
      </c>
      <c r="BW7" s="335">
        <f t="shared" si="1"/>
        <v>6</v>
      </c>
      <c r="BX7" s="335">
        <f t="shared" si="1"/>
        <v>6</v>
      </c>
      <c r="BY7" s="335">
        <f t="shared" si="1"/>
        <v>6</v>
      </c>
      <c r="BZ7" s="335">
        <f t="shared" si="1"/>
        <v>6</v>
      </c>
      <c r="CA7" s="335">
        <f t="shared" si="1"/>
        <v>7</v>
      </c>
      <c r="CB7" s="335">
        <f t="shared" si="1"/>
        <v>7</v>
      </c>
      <c r="CC7" s="335">
        <f t="shared" si="1"/>
        <v>7</v>
      </c>
      <c r="CD7" s="335">
        <f t="shared" si="1"/>
        <v>7</v>
      </c>
      <c r="CE7" s="335">
        <f t="shared" si="1"/>
        <v>7</v>
      </c>
      <c r="CF7" s="335">
        <f t="shared" si="1"/>
        <v>7</v>
      </c>
      <c r="CG7" s="335">
        <f t="shared" si="1"/>
        <v>7</v>
      </c>
      <c r="CH7" s="335">
        <f t="shared" si="1"/>
        <v>7</v>
      </c>
      <c r="CI7" s="335">
        <f t="shared" si="1"/>
        <v>7</v>
      </c>
      <c r="CJ7" s="335">
        <f t="shared" si="1"/>
        <v>7</v>
      </c>
      <c r="CK7" s="335">
        <f t="shared" si="1"/>
        <v>7</v>
      </c>
      <c r="CL7" s="335">
        <f t="shared" si="1"/>
        <v>7</v>
      </c>
      <c r="CM7" s="335">
        <f t="shared" si="1"/>
        <v>8</v>
      </c>
      <c r="CN7" s="335">
        <f t="shared" si="1"/>
        <v>8</v>
      </c>
      <c r="CO7" s="335">
        <f t="shared" si="1"/>
        <v>8</v>
      </c>
      <c r="CP7" s="335">
        <f t="shared" si="1"/>
        <v>8</v>
      </c>
      <c r="CQ7" s="335">
        <f t="shared" si="1"/>
        <v>8</v>
      </c>
      <c r="CR7" s="335">
        <f t="shared" si="1"/>
        <v>8</v>
      </c>
      <c r="CS7" s="335">
        <f t="shared" si="1"/>
        <v>8</v>
      </c>
      <c r="CT7" s="335">
        <f t="shared" si="1"/>
        <v>8</v>
      </c>
      <c r="CU7" s="335">
        <f t="shared" si="1"/>
        <v>8</v>
      </c>
      <c r="CV7" s="335">
        <f t="shared" si="1"/>
        <v>8</v>
      </c>
      <c r="CW7" s="335">
        <f t="shared" si="1"/>
        <v>8</v>
      </c>
      <c r="CX7" s="335">
        <f t="shared" si="1"/>
        <v>8</v>
      </c>
      <c r="CY7" s="335">
        <f t="shared" si="1"/>
        <v>9</v>
      </c>
      <c r="CZ7" s="335">
        <f t="shared" si="1"/>
        <v>9</v>
      </c>
      <c r="DA7" s="335">
        <f t="shared" si="1"/>
        <v>9</v>
      </c>
      <c r="DB7" s="335">
        <f t="shared" si="1"/>
        <v>9</v>
      </c>
      <c r="DC7" s="335">
        <f t="shared" si="1"/>
        <v>9</v>
      </c>
      <c r="DD7" s="335">
        <f t="shared" si="1"/>
        <v>9</v>
      </c>
      <c r="DE7" s="335">
        <f t="shared" si="1"/>
        <v>9</v>
      </c>
      <c r="DF7" s="335">
        <f t="shared" si="1"/>
        <v>9</v>
      </c>
      <c r="DG7" s="335">
        <f t="shared" si="1"/>
        <v>9</v>
      </c>
      <c r="DH7" s="335">
        <f t="shared" si="1"/>
        <v>9</v>
      </c>
      <c r="DI7" s="335">
        <f t="shared" si="1"/>
        <v>9</v>
      </c>
      <c r="DJ7" s="335">
        <f t="shared" si="1"/>
        <v>9</v>
      </c>
      <c r="DK7" s="335">
        <f t="shared" si="1"/>
        <v>10</v>
      </c>
      <c r="DL7" s="335">
        <f t="shared" si="1"/>
        <v>10</v>
      </c>
      <c r="DM7" s="335">
        <f t="shared" si="1"/>
        <v>10</v>
      </c>
      <c r="DN7" s="335">
        <f t="shared" si="1"/>
        <v>10</v>
      </c>
      <c r="DO7" s="335">
        <f t="shared" si="1"/>
        <v>10</v>
      </c>
      <c r="DP7" s="335">
        <f t="shared" si="1"/>
        <v>10</v>
      </c>
      <c r="DQ7" s="335">
        <f t="shared" si="1"/>
        <v>10</v>
      </c>
      <c r="DR7" s="335">
        <f t="shared" si="1"/>
        <v>10</v>
      </c>
      <c r="DS7" s="335">
        <f t="shared" si="1"/>
        <v>10</v>
      </c>
      <c r="DT7" s="335">
        <f t="shared" si="1"/>
        <v>10</v>
      </c>
      <c r="DU7" s="335">
        <f t="shared" si="1"/>
        <v>10</v>
      </c>
      <c r="DV7" s="335">
        <f t="shared" si="1"/>
        <v>10</v>
      </c>
      <c r="DW7" s="322" t="s">
        <v>372</v>
      </c>
    </row>
    <row r="8" spans="2:127" x14ac:dyDescent="0.3">
      <c r="C8" s="334" t="s">
        <v>376</v>
      </c>
      <c r="D8" s="334"/>
      <c r="E8" s="334"/>
      <c r="F8" s="336">
        <v>0</v>
      </c>
      <c r="G8" s="336">
        <f>F8+1</f>
        <v>1</v>
      </c>
      <c r="H8" s="336">
        <f t="shared" ref="H8:BS8" si="2">G8+1</f>
        <v>2</v>
      </c>
      <c r="I8" s="336">
        <f t="shared" si="2"/>
        <v>3</v>
      </c>
      <c r="J8" s="336">
        <f t="shared" si="2"/>
        <v>4</v>
      </c>
      <c r="K8" s="336">
        <f t="shared" si="2"/>
        <v>5</v>
      </c>
      <c r="L8" s="336">
        <f t="shared" si="2"/>
        <v>6</v>
      </c>
      <c r="M8" s="336">
        <f t="shared" si="2"/>
        <v>7</v>
      </c>
      <c r="N8" s="336">
        <f t="shared" si="2"/>
        <v>8</v>
      </c>
      <c r="O8" s="336">
        <f t="shared" si="2"/>
        <v>9</v>
      </c>
      <c r="P8" s="336">
        <f t="shared" si="2"/>
        <v>10</v>
      </c>
      <c r="Q8" s="336">
        <f t="shared" si="2"/>
        <v>11</v>
      </c>
      <c r="R8" s="336">
        <f t="shared" si="2"/>
        <v>12</v>
      </c>
      <c r="S8" s="336">
        <f t="shared" si="2"/>
        <v>13</v>
      </c>
      <c r="T8" s="336">
        <f t="shared" si="2"/>
        <v>14</v>
      </c>
      <c r="U8" s="336">
        <f t="shared" si="2"/>
        <v>15</v>
      </c>
      <c r="V8" s="336">
        <f t="shared" si="2"/>
        <v>16</v>
      </c>
      <c r="W8" s="336">
        <f t="shared" si="2"/>
        <v>17</v>
      </c>
      <c r="X8" s="336">
        <f t="shared" si="2"/>
        <v>18</v>
      </c>
      <c r="Y8" s="336">
        <f t="shared" si="2"/>
        <v>19</v>
      </c>
      <c r="Z8" s="336">
        <f t="shared" si="2"/>
        <v>20</v>
      </c>
      <c r="AA8" s="336">
        <f t="shared" si="2"/>
        <v>21</v>
      </c>
      <c r="AB8" s="336">
        <f t="shared" si="2"/>
        <v>22</v>
      </c>
      <c r="AC8" s="336">
        <f t="shared" si="2"/>
        <v>23</v>
      </c>
      <c r="AD8" s="336">
        <f t="shared" si="2"/>
        <v>24</v>
      </c>
      <c r="AE8" s="336">
        <f t="shared" si="2"/>
        <v>25</v>
      </c>
      <c r="AF8" s="336">
        <f t="shared" si="2"/>
        <v>26</v>
      </c>
      <c r="AG8" s="336">
        <f t="shared" si="2"/>
        <v>27</v>
      </c>
      <c r="AH8" s="336">
        <f t="shared" si="2"/>
        <v>28</v>
      </c>
      <c r="AI8" s="336">
        <f t="shared" si="2"/>
        <v>29</v>
      </c>
      <c r="AJ8" s="336">
        <f t="shared" si="2"/>
        <v>30</v>
      </c>
      <c r="AK8" s="336">
        <f t="shared" si="2"/>
        <v>31</v>
      </c>
      <c r="AL8" s="336">
        <f t="shared" si="2"/>
        <v>32</v>
      </c>
      <c r="AM8" s="336">
        <f t="shared" si="2"/>
        <v>33</v>
      </c>
      <c r="AN8" s="336">
        <f t="shared" si="2"/>
        <v>34</v>
      </c>
      <c r="AO8" s="336">
        <f t="shared" si="2"/>
        <v>35</v>
      </c>
      <c r="AP8" s="336">
        <f t="shared" si="2"/>
        <v>36</v>
      </c>
      <c r="AQ8" s="336">
        <f t="shared" si="2"/>
        <v>37</v>
      </c>
      <c r="AR8" s="336">
        <f t="shared" si="2"/>
        <v>38</v>
      </c>
      <c r="AS8" s="336">
        <f t="shared" si="2"/>
        <v>39</v>
      </c>
      <c r="AT8" s="336">
        <f t="shared" si="2"/>
        <v>40</v>
      </c>
      <c r="AU8" s="336">
        <f t="shared" si="2"/>
        <v>41</v>
      </c>
      <c r="AV8" s="336">
        <f t="shared" si="2"/>
        <v>42</v>
      </c>
      <c r="AW8" s="336">
        <f t="shared" si="2"/>
        <v>43</v>
      </c>
      <c r="AX8" s="336">
        <f t="shared" si="2"/>
        <v>44</v>
      </c>
      <c r="AY8" s="336">
        <f t="shared" si="2"/>
        <v>45</v>
      </c>
      <c r="AZ8" s="336">
        <f t="shared" si="2"/>
        <v>46</v>
      </c>
      <c r="BA8" s="336">
        <f t="shared" si="2"/>
        <v>47</v>
      </c>
      <c r="BB8" s="336">
        <f t="shared" si="2"/>
        <v>48</v>
      </c>
      <c r="BC8" s="336">
        <f t="shared" si="2"/>
        <v>49</v>
      </c>
      <c r="BD8" s="336">
        <f t="shared" si="2"/>
        <v>50</v>
      </c>
      <c r="BE8" s="336">
        <f t="shared" si="2"/>
        <v>51</v>
      </c>
      <c r="BF8" s="336">
        <f t="shared" si="2"/>
        <v>52</v>
      </c>
      <c r="BG8" s="336">
        <f t="shared" si="2"/>
        <v>53</v>
      </c>
      <c r="BH8" s="336">
        <f t="shared" si="2"/>
        <v>54</v>
      </c>
      <c r="BI8" s="336">
        <f t="shared" si="2"/>
        <v>55</v>
      </c>
      <c r="BJ8" s="336">
        <f t="shared" si="2"/>
        <v>56</v>
      </c>
      <c r="BK8" s="336">
        <f t="shared" si="2"/>
        <v>57</v>
      </c>
      <c r="BL8" s="336">
        <f t="shared" si="2"/>
        <v>58</v>
      </c>
      <c r="BM8" s="336">
        <f t="shared" si="2"/>
        <v>59</v>
      </c>
      <c r="BN8" s="336">
        <f t="shared" si="2"/>
        <v>60</v>
      </c>
      <c r="BO8" s="336">
        <f t="shared" si="2"/>
        <v>61</v>
      </c>
      <c r="BP8" s="336">
        <f t="shared" si="2"/>
        <v>62</v>
      </c>
      <c r="BQ8" s="336">
        <f t="shared" si="2"/>
        <v>63</v>
      </c>
      <c r="BR8" s="336">
        <f t="shared" si="2"/>
        <v>64</v>
      </c>
      <c r="BS8" s="336">
        <f t="shared" si="2"/>
        <v>65</v>
      </c>
      <c r="BT8" s="336">
        <f t="shared" ref="BT8:DV8" si="3">BS8+1</f>
        <v>66</v>
      </c>
      <c r="BU8" s="336">
        <f t="shared" si="3"/>
        <v>67</v>
      </c>
      <c r="BV8" s="336">
        <f t="shared" si="3"/>
        <v>68</v>
      </c>
      <c r="BW8" s="336">
        <f t="shared" si="3"/>
        <v>69</v>
      </c>
      <c r="BX8" s="336">
        <f t="shared" si="3"/>
        <v>70</v>
      </c>
      <c r="BY8" s="336">
        <f t="shared" si="3"/>
        <v>71</v>
      </c>
      <c r="BZ8" s="336">
        <f t="shared" si="3"/>
        <v>72</v>
      </c>
      <c r="CA8" s="336">
        <f t="shared" si="3"/>
        <v>73</v>
      </c>
      <c r="CB8" s="336">
        <f t="shared" si="3"/>
        <v>74</v>
      </c>
      <c r="CC8" s="336">
        <f t="shared" si="3"/>
        <v>75</v>
      </c>
      <c r="CD8" s="336">
        <f t="shared" si="3"/>
        <v>76</v>
      </c>
      <c r="CE8" s="336">
        <f t="shared" si="3"/>
        <v>77</v>
      </c>
      <c r="CF8" s="336">
        <f t="shared" si="3"/>
        <v>78</v>
      </c>
      <c r="CG8" s="336">
        <f t="shared" si="3"/>
        <v>79</v>
      </c>
      <c r="CH8" s="336">
        <f t="shared" si="3"/>
        <v>80</v>
      </c>
      <c r="CI8" s="336">
        <f t="shared" si="3"/>
        <v>81</v>
      </c>
      <c r="CJ8" s="336">
        <f t="shared" si="3"/>
        <v>82</v>
      </c>
      <c r="CK8" s="336">
        <f t="shared" si="3"/>
        <v>83</v>
      </c>
      <c r="CL8" s="336">
        <f t="shared" si="3"/>
        <v>84</v>
      </c>
      <c r="CM8" s="336">
        <f t="shared" si="3"/>
        <v>85</v>
      </c>
      <c r="CN8" s="336">
        <f t="shared" si="3"/>
        <v>86</v>
      </c>
      <c r="CO8" s="336">
        <f t="shared" si="3"/>
        <v>87</v>
      </c>
      <c r="CP8" s="336">
        <f t="shared" si="3"/>
        <v>88</v>
      </c>
      <c r="CQ8" s="336">
        <f t="shared" si="3"/>
        <v>89</v>
      </c>
      <c r="CR8" s="336">
        <f t="shared" si="3"/>
        <v>90</v>
      </c>
      <c r="CS8" s="336">
        <f t="shared" si="3"/>
        <v>91</v>
      </c>
      <c r="CT8" s="336">
        <f t="shared" si="3"/>
        <v>92</v>
      </c>
      <c r="CU8" s="336">
        <f t="shared" si="3"/>
        <v>93</v>
      </c>
      <c r="CV8" s="336">
        <f t="shared" si="3"/>
        <v>94</v>
      </c>
      <c r="CW8" s="336">
        <f t="shared" si="3"/>
        <v>95</v>
      </c>
      <c r="CX8" s="336">
        <f t="shared" si="3"/>
        <v>96</v>
      </c>
      <c r="CY8" s="336">
        <f t="shared" si="3"/>
        <v>97</v>
      </c>
      <c r="CZ8" s="336">
        <f t="shared" si="3"/>
        <v>98</v>
      </c>
      <c r="DA8" s="336">
        <f t="shared" si="3"/>
        <v>99</v>
      </c>
      <c r="DB8" s="336">
        <f t="shared" si="3"/>
        <v>100</v>
      </c>
      <c r="DC8" s="336">
        <f t="shared" si="3"/>
        <v>101</v>
      </c>
      <c r="DD8" s="336">
        <f t="shared" si="3"/>
        <v>102</v>
      </c>
      <c r="DE8" s="336">
        <f t="shared" si="3"/>
        <v>103</v>
      </c>
      <c r="DF8" s="336">
        <f t="shared" si="3"/>
        <v>104</v>
      </c>
      <c r="DG8" s="336">
        <f t="shared" si="3"/>
        <v>105</v>
      </c>
      <c r="DH8" s="336">
        <f t="shared" si="3"/>
        <v>106</v>
      </c>
      <c r="DI8" s="336">
        <f t="shared" si="3"/>
        <v>107</v>
      </c>
      <c r="DJ8" s="336">
        <f t="shared" si="3"/>
        <v>108</v>
      </c>
      <c r="DK8" s="336">
        <f t="shared" si="3"/>
        <v>109</v>
      </c>
      <c r="DL8" s="336">
        <f t="shared" si="3"/>
        <v>110</v>
      </c>
      <c r="DM8" s="336">
        <f t="shared" si="3"/>
        <v>111</v>
      </c>
      <c r="DN8" s="336">
        <f t="shared" si="3"/>
        <v>112</v>
      </c>
      <c r="DO8" s="336">
        <f t="shared" si="3"/>
        <v>113</v>
      </c>
      <c r="DP8" s="336">
        <f t="shared" si="3"/>
        <v>114</v>
      </c>
      <c r="DQ8" s="336">
        <f t="shared" si="3"/>
        <v>115</v>
      </c>
      <c r="DR8" s="336">
        <f t="shared" si="3"/>
        <v>116</v>
      </c>
      <c r="DS8" s="336">
        <f t="shared" si="3"/>
        <v>117</v>
      </c>
      <c r="DT8" s="336">
        <f t="shared" si="3"/>
        <v>118</v>
      </c>
      <c r="DU8" s="336">
        <f t="shared" si="3"/>
        <v>119</v>
      </c>
      <c r="DV8" s="336">
        <f t="shared" si="3"/>
        <v>120</v>
      </c>
      <c r="DW8" s="322" t="s">
        <v>372</v>
      </c>
    </row>
    <row r="9" spans="2:127" x14ac:dyDescent="0.3">
      <c r="C9" s="334" t="s">
        <v>377</v>
      </c>
      <c r="D9" s="334"/>
      <c r="E9" s="334"/>
      <c r="F9" s="337">
        <f ca="1">EOMONTH(TODAY(),1)</f>
        <v>46112</v>
      </c>
      <c r="G9" s="337">
        <f ca="1">EOMONTH(F9,1)</f>
        <v>46142</v>
      </c>
      <c r="H9" s="337">
        <f t="shared" ref="H9:BS9" ca="1" si="4">EOMONTH(G9,1)</f>
        <v>46173</v>
      </c>
      <c r="I9" s="337">
        <f t="shared" ca="1" si="4"/>
        <v>46203</v>
      </c>
      <c r="J9" s="337">
        <f t="shared" ca="1" si="4"/>
        <v>46234</v>
      </c>
      <c r="K9" s="337">
        <f t="shared" ca="1" si="4"/>
        <v>46265</v>
      </c>
      <c r="L9" s="337">
        <f t="shared" ca="1" si="4"/>
        <v>46295</v>
      </c>
      <c r="M9" s="337">
        <f t="shared" ca="1" si="4"/>
        <v>46326</v>
      </c>
      <c r="N9" s="337">
        <f t="shared" ca="1" si="4"/>
        <v>46356</v>
      </c>
      <c r="O9" s="337">
        <f t="shared" ca="1" si="4"/>
        <v>46387</v>
      </c>
      <c r="P9" s="337">
        <f t="shared" ca="1" si="4"/>
        <v>46418</v>
      </c>
      <c r="Q9" s="337">
        <f t="shared" ca="1" si="4"/>
        <v>46446</v>
      </c>
      <c r="R9" s="337">
        <f t="shared" ca="1" si="4"/>
        <v>46477</v>
      </c>
      <c r="S9" s="337">
        <f t="shared" ca="1" si="4"/>
        <v>46507</v>
      </c>
      <c r="T9" s="337">
        <f t="shared" ca="1" si="4"/>
        <v>46538</v>
      </c>
      <c r="U9" s="337">
        <f t="shared" ca="1" si="4"/>
        <v>46568</v>
      </c>
      <c r="V9" s="337">
        <f t="shared" ca="1" si="4"/>
        <v>46599</v>
      </c>
      <c r="W9" s="337">
        <f t="shared" ca="1" si="4"/>
        <v>46630</v>
      </c>
      <c r="X9" s="337">
        <f t="shared" ca="1" si="4"/>
        <v>46660</v>
      </c>
      <c r="Y9" s="337">
        <f t="shared" ca="1" si="4"/>
        <v>46691</v>
      </c>
      <c r="Z9" s="337">
        <f t="shared" ca="1" si="4"/>
        <v>46721</v>
      </c>
      <c r="AA9" s="337">
        <f t="shared" ca="1" si="4"/>
        <v>46752</v>
      </c>
      <c r="AB9" s="337">
        <f t="shared" ca="1" si="4"/>
        <v>46783</v>
      </c>
      <c r="AC9" s="337">
        <f t="shared" ca="1" si="4"/>
        <v>46812</v>
      </c>
      <c r="AD9" s="337">
        <f t="shared" ca="1" si="4"/>
        <v>46843</v>
      </c>
      <c r="AE9" s="337">
        <f t="shared" ca="1" si="4"/>
        <v>46873</v>
      </c>
      <c r="AF9" s="337">
        <f t="shared" ca="1" si="4"/>
        <v>46904</v>
      </c>
      <c r="AG9" s="337">
        <f t="shared" ca="1" si="4"/>
        <v>46934</v>
      </c>
      <c r="AH9" s="337">
        <f t="shared" ca="1" si="4"/>
        <v>46965</v>
      </c>
      <c r="AI9" s="337">
        <f t="shared" ca="1" si="4"/>
        <v>46996</v>
      </c>
      <c r="AJ9" s="337">
        <f t="shared" ca="1" si="4"/>
        <v>47026</v>
      </c>
      <c r="AK9" s="337">
        <f t="shared" ca="1" si="4"/>
        <v>47057</v>
      </c>
      <c r="AL9" s="337">
        <f t="shared" ca="1" si="4"/>
        <v>47087</v>
      </c>
      <c r="AM9" s="337">
        <f t="shared" ca="1" si="4"/>
        <v>47118</v>
      </c>
      <c r="AN9" s="337">
        <f t="shared" ca="1" si="4"/>
        <v>47149</v>
      </c>
      <c r="AO9" s="337">
        <f t="shared" ca="1" si="4"/>
        <v>47177</v>
      </c>
      <c r="AP9" s="337">
        <f t="shared" ca="1" si="4"/>
        <v>47208</v>
      </c>
      <c r="AQ9" s="337">
        <f t="shared" ca="1" si="4"/>
        <v>47238</v>
      </c>
      <c r="AR9" s="337">
        <f t="shared" ca="1" si="4"/>
        <v>47269</v>
      </c>
      <c r="AS9" s="337">
        <f t="shared" ca="1" si="4"/>
        <v>47299</v>
      </c>
      <c r="AT9" s="337">
        <f t="shared" ca="1" si="4"/>
        <v>47330</v>
      </c>
      <c r="AU9" s="337">
        <f t="shared" ca="1" si="4"/>
        <v>47361</v>
      </c>
      <c r="AV9" s="337">
        <f t="shared" ca="1" si="4"/>
        <v>47391</v>
      </c>
      <c r="AW9" s="337">
        <f t="shared" ca="1" si="4"/>
        <v>47422</v>
      </c>
      <c r="AX9" s="337">
        <f t="shared" ca="1" si="4"/>
        <v>47452</v>
      </c>
      <c r="AY9" s="337">
        <f t="shared" ca="1" si="4"/>
        <v>47483</v>
      </c>
      <c r="AZ9" s="337">
        <f t="shared" ca="1" si="4"/>
        <v>47514</v>
      </c>
      <c r="BA9" s="337">
        <f t="shared" ca="1" si="4"/>
        <v>47542</v>
      </c>
      <c r="BB9" s="337">
        <f t="shared" ca="1" si="4"/>
        <v>47573</v>
      </c>
      <c r="BC9" s="337">
        <f t="shared" ca="1" si="4"/>
        <v>47603</v>
      </c>
      <c r="BD9" s="337">
        <f t="shared" ca="1" si="4"/>
        <v>47634</v>
      </c>
      <c r="BE9" s="337">
        <f t="shared" ca="1" si="4"/>
        <v>47664</v>
      </c>
      <c r="BF9" s="337">
        <f t="shared" ca="1" si="4"/>
        <v>47695</v>
      </c>
      <c r="BG9" s="337">
        <f t="shared" ca="1" si="4"/>
        <v>47726</v>
      </c>
      <c r="BH9" s="337">
        <f t="shared" ca="1" si="4"/>
        <v>47756</v>
      </c>
      <c r="BI9" s="337">
        <f t="shared" ca="1" si="4"/>
        <v>47787</v>
      </c>
      <c r="BJ9" s="337">
        <f t="shared" ca="1" si="4"/>
        <v>47817</v>
      </c>
      <c r="BK9" s="337">
        <f t="shared" ca="1" si="4"/>
        <v>47848</v>
      </c>
      <c r="BL9" s="337">
        <f t="shared" ca="1" si="4"/>
        <v>47879</v>
      </c>
      <c r="BM9" s="337">
        <f t="shared" ca="1" si="4"/>
        <v>47907</v>
      </c>
      <c r="BN9" s="337">
        <f t="shared" ca="1" si="4"/>
        <v>47938</v>
      </c>
      <c r="BO9" s="337">
        <f t="shared" ca="1" si="4"/>
        <v>47968</v>
      </c>
      <c r="BP9" s="337">
        <f t="shared" ca="1" si="4"/>
        <v>47999</v>
      </c>
      <c r="BQ9" s="337">
        <f t="shared" ca="1" si="4"/>
        <v>48029</v>
      </c>
      <c r="BR9" s="337">
        <f t="shared" ca="1" si="4"/>
        <v>48060</v>
      </c>
      <c r="BS9" s="337">
        <f t="shared" ca="1" si="4"/>
        <v>48091</v>
      </c>
      <c r="BT9" s="337">
        <f t="shared" ref="BT9:DV9" ca="1" si="5">EOMONTH(BS9,1)</f>
        <v>48121</v>
      </c>
      <c r="BU9" s="337">
        <f t="shared" ca="1" si="5"/>
        <v>48152</v>
      </c>
      <c r="BV9" s="337">
        <f t="shared" ca="1" si="5"/>
        <v>48182</v>
      </c>
      <c r="BW9" s="337">
        <f t="shared" ca="1" si="5"/>
        <v>48213</v>
      </c>
      <c r="BX9" s="337">
        <f t="shared" ca="1" si="5"/>
        <v>48244</v>
      </c>
      <c r="BY9" s="337">
        <f t="shared" ca="1" si="5"/>
        <v>48273</v>
      </c>
      <c r="BZ9" s="337">
        <f t="shared" ca="1" si="5"/>
        <v>48304</v>
      </c>
      <c r="CA9" s="337">
        <f t="shared" ca="1" si="5"/>
        <v>48334</v>
      </c>
      <c r="CB9" s="337">
        <f t="shared" ca="1" si="5"/>
        <v>48365</v>
      </c>
      <c r="CC9" s="337">
        <f t="shared" ca="1" si="5"/>
        <v>48395</v>
      </c>
      <c r="CD9" s="337">
        <f t="shared" ca="1" si="5"/>
        <v>48426</v>
      </c>
      <c r="CE9" s="337">
        <f t="shared" ca="1" si="5"/>
        <v>48457</v>
      </c>
      <c r="CF9" s="337">
        <f t="shared" ca="1" si="5"/>
        <v>48487</v>
      </c>
      <c r="CG9" s="337">
        <f t="shared" ca="1" si="5"/>
        <v>48518</v>
      </c>
      <c r="CH9" s="337">
        <f t="shared" ca="1" si="5"/>
        <v>48548</v>
      </c>
      <c r="CI9" s="337">
        <f t="shared" ca="1" si="5"/>
        <v>48579</v>
      </c>
      <c r="CJ9" s="337">
        <f t="shared" ca="1" si="5"/>
        <v>48610</v>
      </c>
      <c r="CK9" s="337">
        <f t="shared" ca="1" si="5"/>
        <v>48638</v>
      </c>
      <c r="CL9" s="337">
        <f t="shared" ca="1" si="5"/>
        <v>48669</v>
      </c>
      <c r="CM9" s="337">
        <f t="shared" ca="1" si="5"/>
        <v>48699</v>
      </c>
      <c r="CN9" s="337">
        <f t="shared" ca="1" si="5"/>
        <v>48730</v>
      </c>
      <c r="CO9" s="337">
        <f t="shared" ca="1" si="5"/>
        <v>48760</v>
      </c>
      <c r="CP9" s="337">
        <f t="shared" ca="1" si="5"/>
        <v>48791</v>
      </c>
      <c r="CQ9" s="337">
        <f t="shared" ca="1" si="5"/>
        <v>48822</v>
      </c>
      <c r="CR9" s="337">
        <f t="shared" ca="1" si="5"/>
        <v>48852</v>
      </c>
      <c r="CS9" s="337">
        <f t="shared" ca="1" si="5"/>
        <v>48883</v>
      </c>
      <c r="CT9" s="337">
        <f t="shared" ca="1" si="5"/>
        <v>48913</v>
      </c>
      <c r="CU9" s="337">
        <f t="shared" ca="1" si="5"/>
        <v>48944</v>
      </c>
      <c r="CV9" s="337">
        <f t="shared" ca="1" si="5"/>
        <v>48975</v>
      </c>
      <c r="CW9" s="337">
        <f t="shared" ca="1" si="5"/>
        <v>49003</v>
      </c>
      <c r="CX9" s="337">
        <f t="shared" ca="1" si="5"/>
        <v>49034</v>
      </c>
      <c r="CY9" s="337">
        <f t="shared" ca="1" si="5"/>
        <v>49064</v>
      </c>
      <c r="CZ9" s="337">
        <f t="shared" ca="1" si="5"/>
        <v>49095</v>
      </c>
      <c r="DA9" s="337">
        <f t="shared" ca="1" si="5"/>
        <v>49125</v>
      </c>
      <c r="DB9" s="337">
        <f t="shared" ca="1" si="5"/>
        <v>49156</v>
      </c>
      <c r="DC9" s="337">
        <f t="shared" ca="1" si="5"/>
        <v>49187</v>
      </c>
      <c r="DD9" s="337">
        <f t="shared" ca="1" si="5"/>
        <v>49217</v>
      </c>
      <c r="DE9" s="337">
        <f t="shared" ca="1" si="5"/>
        <v>49248</v>
      </c>
      <c r="DF9" s="337">
        <f t="shared" ca="1" si="5"/>
        <v>49278</v>
      </c>
      <c r="DG9" s="337">
        <f t="shared" ca="1" si="5"/>
        <v>49309</v>
      </c>
      <c r="DH9" s="337">
        <f t="shared" ca="1" si="5"/>
        <v>49340</v>
      </c>
      <c r="DI9" s="337">
        <f t="shared" ca="1" si="5"/>
        <v>49368</v>
      </c>
      <c r="DJ9" s="337">
        <f t="shared" ca="1" si="5"/>
        <v>49399</v>
      </c>
      <c r="DK9" s="337">
        <f t="shared" ca="1" si="5"/>
        <v>49429</v>
      </c>
      <c r="DL9" s="337">
        <f t="shared" ca="1" si="5"/>
        <v>49460</v>
      </c>
      <c r="DM9" s="337">
        <f t="shared" ca="1" si="5"/>
        <v>49490</v>
      </c>
      <c r="DN9" s="337">
        <f t="shared" ca="1" si="5"/>
        <v>49521</v>
      </c>
      <c r="DO9" s="337">
        <f t="shared" ca="1" si="5"/>
        <v>49552</v>
      </c>
      <c r="DP9" s="337">
        <f t="shared" ca="1" si="5"/>
        <v>49582</v>
      </c>
      <c r="DQ9" s="337">
        <f t="shared" ca="1" si="5"/>
        <v>49613</v>
      </c>
      <c r="DR9" s="337">
        <f t="shared" ca="1" si="5"/>
        <v>49643</v>
      </c>
      <c r="DS9" s="337">
        <f t="shared" ca="1" si="5"/>
        <v>49674</v>
      </c>
      <c r="DT9" s="337">
        <f t="shared" ca="1" si="5"/>
        <v>49705</v>
      </c>
      <c r="DU9" s="337">
        <f t="shared" ca="1" si="5"/>
        <v>49734</v>
      </c>
      <c r="DV9" s="337">
        <f t="shared" ca="1" si="5"/>
        <v>49765</v>
      </c>
      <c r="DW9" s="322" t="s">
        <v>372</v>
      </c>
    </row>
    <row r="10" spans="2:127" x14ac:dyDescent="0.3"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2"/>
      <c r="AA10" s="332"/>
      <c r="AB10" s="332"/>
      <c r="AC10" s="332"/>
      <c r="AD10" s="332"/>
      <c r="AE10" s="332"/>
      <c r="AF10" s="332"/>
      <c r="AG10" s="332"/>
      <c r="AH10" s="332"/>
      <c r="AI10" s="332"/>
      <c r="AJ10" s="332"/>
      <c r="AK10" s="332"/>
      <c r="AL10" s="332"/>
      <c r="AM10" s="332"/>
      <c r="AN10" s="332"/>
      <c r="AO10" s="332"/>
      <c r="AP10" s="332"/>
      <c r="AQ10" s="332"/>
      <c r="AR10" s="332"/>
      <c r="AS10" s="332"/>
      <c r="AT10" s="332"/>
      <c r="AU10" s="332"/>
      <c r="AV10" s="332"/>
      <c r="AW10" s="332"/>
      <c r="AX10" s="332"/>
      <c r="AY10" s="332"/>
      <c r="AZ10" s="332"/>
      <c r="BA10" s="332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  <c r="BM10" s="332"/>
      <c r="BN10" s="332"/>
      <c r="BO10" s="332"/>
      <c r="BP10" s="332"/>
      <c r="BQ10" s="332"/>
      <c r="BR10" s="332"/>
      <c r="BS10" s="332"/>
      <c r="BT10" s="332"/>
      <c r="BU10" s="332"/>
      <c r="BV10" s="332"/>
      <c r="BW10" s="332"/>
      <c r="BX10" s="332"/>
      <c r="BY10" s="332"/>
      <c r="BZ10" s="332"/>
      <c r="CA10" s="332"/>
      <c r="CB10" s="332"/>
      <c r="CC10" s="332"/>
      <c r="CD10" s="332"/>
      <c r="CE10" s="332"/>
      <c r="CF10" s="332"/>
      <c r="CG10" s="332"/>
      <c r="CH10" s="332"/>
      <c r="CI10" s="332"/>
      <c r="CJ10" s="332"/>
      <c r="CK10" s="332"/>
      <c r="CL10" s="332"/>
      <c r="CM10" s="332"/>
      <c r="CN10" s="332"/>
      <c r="CO10" s="332"/>
      <c r="CP10" s="332"/>
      <c r="CQ10" s="332"/>
      <c r="CR10" s="332"/>
      <c r="CS10" s="332"/>
      <c r="CT10" s="332"/>
      <c r="CU10" s="332"/>
      <c r="CV10" s="332"/>
      <c r="CW10" s="332"/>
      <c r="CX10" s="332"/>
      <c r="CY10" s="332"/>
      <c r="CZ10" s="332"/>
      <c r="DA10" s="332"/>
      <c r="DB10" s="332"/>
      <c r="DC10" s="332"/>
      <c r="DD10" s="332"/>
      <c r="DE10" s="332"/>
      <c r="DF10" s="332"/>
      <c r="DG10" s="332"/>
      <c r="DH10" s="332"/>
      <c r="DI10" s="332"/>
      <c r="DJ10" s="332"/>
      <c r="DK10" s="332"/>
      <c r="DL10" s="332"/>
      <c r="DM10" s="332"/>
      <c r="DN10" s="332"/>
      <c r="DO10" s="332"/>
      <c r="DP10" s="332"/>
      <c r="DQ10" s="332"/>
      <c r="DR10" s="332"/>
      <c r="DS10" s="332"/>
      <c r="DT10" s="332"/>
      <c r="DU10" s="332"/>
      <c r="DV10" s="332"/>
      <c r="DW10" s="322" t="s">
        <v>372</v>
      </c>
    </row>
    <row r="11" spans="2:127" outlineLevel="1" x14ac:dyDescent="0.3">
      <c r="C11" s="338" t="s">
        <v>378</v>
      </c>
      <c r="F11" s="339">
        <f>IF(F8&gt;$D$5,0,'Scenario 2'!E119)</f>
        <v>-4300000</v>
      </c>
      <c r="G11" s="339">
        <f>IF(G8&gt;$D$5,0,IFERROR(INDEX('Scenario 2'!$F$120:$J$120,MATCH(G7,'Scenario 2'!$F$110:$J$110,0))/12,0))</f>
        <v>28013.749166666665</v>
      </c>
      <c r="H11" s="339">
        <f>IF(H8&gt;$D$5,0,IFERROR(INDEX('Scenario 2'!$F$120:$J$120,MATCH(H7,'Scenario 2'!$F$110:$J$110,0))/12,0))</f>
        <v>28013.749166666665</v>
      </c>
      <c r="I11" s="339">
        <f>IF(I8&gt;$D$5,0,IFERROR(INDEX('Scenario 2'!$F$120:$J$120,MATCH(I7,'Scenario 2'!$F$110:$J$110,0))/12,0))</f>
        <v>28013.749166666665</v>
      </c>
      <c r="J11" s="339">
        <f>IF(J8&gt;$D$5,0,IFERROR(INDEX('Scenario 2'!$F$120:$J$120,MATCH(J7,'Scenario 2'!$F$110:$J$110,0))/12,0))</f>
        <v>28013.749166666665</v>
      </c>
      <c r="K11" s="339">
        <f>IF(K8&gt;$D$5,0,IFERROR(INDEX('Scenario 2'!$F$120:$J$120,MATCH(K7,'Scenario 2'!$F$110:$J$110,0))/12,0))</f>
        <v>28013.749166666665</v>
      </c>
      <c r="L11" s="339">
        <f>IF(L8&gt;$D$5,0,IFERROR(INDEX('Scenario 2'!$F$120:$J$120,MATCH(L7,'Scenario 2'!$F$110:$J$110,0))/12,0))</f>
        <v>28013.749166666665</v>
      </c>
      <c r="M11" s="339">
        <f>IF(M8&gt;$D$5,0,IFERROR(INDEX('Scenario 2'!$F$120:$J$120,MATCH(M7,'Scenario 2'!$F$110:$J$110,0))/12,0))</f>
        <v>28013.749166666665</v>
      </c>
      <c r="N11" s="339">
        <f>IF(N8&gt;$D$5,0,IFERROR(INDEX('Scenario 2'!$F$120:$J$120,MATCH(N7,'Scenario 2'!$F$110:$J$110,0))/12,0))</f>
        <v>28013.749166666665</v>
      </c>
      <c r="O11" s="339">
        <f>IF(O8&gt;$D$5,0,IFERROR(INDEX('Scenario 2'!$F$120:$J$120,MATCH(O7,'Scenario 2'!$F$110:$J$110,0))/12,0))</f>
        <v>28013.749166666665</v>
      </c>
      <c r="P11" s="339">
        <f>IF(P8&gt;$D$5,0,IFERROR(INDEX('Scenario 2'!$F$120:$J$120,MATCH(P7,'Scenario 2'!$F$110:$J$110,0))/12,0))</f>
        <v>28013.749166666665</v>
      </c>
      <c r="Q11" s="339">
        <f>IF(Q8&gt;$D$5,0,IFERROR(INDEX('Scenario 2'!$F$120:$J$120,MATCH(Q7,'Scenario 2'!$F$110:$J$110,0))/12,0))</f>
        <v>28013.749166666665</v>
      </c>
      <c r="R11" s="339">
        <f>IF(R8&gt;$D$5,0,IFERROR(INDEX('Scenario 2'!$F$120:$J$120,MATCH(R7,'Scenario 2'!$F$110:$J$110,0))/12,0))</f>
        <v>28013.749166666665</v>
      </c>
      <c r="S11" s="339">
        <f>IF(S8&gt;$D$5,0,IFERROR(INDEX('Scenario 2'!$F$120:$J$120,MATCH(S7,'Scenario 2'!$F$110:$J$110,0))/12,0))</f>
        <v>28908.161641666669</v>
      </c>
      <c r="T11" s="339">
        <f>IF(T8&gt;$D$5,0,IFERROR(INDEX('Scenario 2'!$F$120:$J$120,MATCH(T7,'Scenario 2'!$F$110:$J$110,0))/12,0))</f>
        <v>28908.161641666669</v>
      </c>
      <c r="U11" s="339">
        <f>IF(U8&gt;$D$5,0,IFERROR(INDEX('Scenario 2'!$F$120:$J$120,MATCH(U7,'Scenario 2'!$F$110:$J$110,0))/12,0))</f>
        <v>28908.161641666669</v>
      </c>
      <c r="V11" s="339">
        <f>IF(V8&gt;$D$5,0,IFERROR(INDEX('Scenario 2'!$F$120:$J$120,MATCH(V7,'Scenario 2'!$F$110:$J$110,0))/12,0))</f>
        <v>28908.161641666669</v>
      </c>
      <c r="W11" s="339">
        <f>IF(W8&gt;$D$5,0,IFERROR(INDEX('Scenario 2'!$F$120:$J$120,MATCH(W7,'Scenario 2'!$F$110:$J$110,0))/12,0))</f>
        <v>28908.161641666669</v>
      </c>
      <c r="X11" s="339">
        <f>IF(X8&gt;$D$5,0,IFERROR(INDEX('Scenario 2'!$F$120:$J$120,MATCH(X7,'Scenario 2'!$F$110:$J$110,0))/12,0))</f>
        <v>28908.161641666669</v>
      </c>
      <c r="Y11" s="339">
        <f>IF(Y8&gt;$D$5,0,IFERROR(INDEX('Scenario 2'!$F$120:$J$120,MATCH(Y7,'Scenario 2'!$F$110:$J$110,0))/12,0))</f>
        <v>28908.161641666669</v>
      </c>
      <c r="Z11" s="339">
        <f>IF(Z8&gt;$D$5,0,IFERROR(INDEX('Scenario 2'!$F$120:$J$120,MATCH(Z7,'Scenario 2'!$F$110:$J$110,0))/12,0))</f>
        <v>28908.161641666669</v>
      </c>
      <c r="AA11" s="339">
        <f>IF(AA8&gt;$D$5,0,IFERROR(INDEX('Scenario 2'!$F$120:$J$120,MATCH(AA7,'Scenario 2'!$F$110:$J$110,0))/12,0))</f>
        <v>28908.161641666669</v>
      </c>
      <c r="AB11" s="339">
        <f>IF(AB8&gt;$D$5,0,IFERROR(INDEX('Scenario 2'!$F$120:$J$120,MATCH(AB7,'Scenario 2'!$F$110:$J$110,0))/12,0))</f>
        <v>28908.161641666669</v>
      </c>
      <c r="AC11" s="339">
        <f>IF(AC8&gt;$D$5,0,IFERROR(INDEX('Scenario 2'!$F$120:$J$120,MATCH(AC7,'Scenario 2'!$F$110:$J$110,0))/12,0))</f>
        <v>28908.161641666669</v>
      </c>
      <c r="AD11" s="339">
        <f>IF(AD8&gt;$D$5,0,IFERROR(INDEX('Scenario 2'!$F$120:$J$120,MATCH(AD7,'Scenario 2'!$F$110:$J$110,0))/12,0))</f>
        <v>28908.161641666669</v>
      </c>
      <c r="AE11" s="339">
        <f>IF(AE8&gt;$D$5,0,IFERROR(INDEX('Scenario 2'!$F$120:$J$120,MATCH(AE7,'Scenario 2'!$F$110:$J$110,0))/12,0))</f>
        <v>29829.406490916663</v>
      </c>
      <c r="AF11" s="339">
        <f>IF(AF8&gt;$D$5,0,IFERROR(INDEX('Scenario 2'!$F$120:$J$120,MATCH(AF7,'Scenario 2'!$F$110:$J$110,0))/12,0))</f>
        <v>29829.406490916663</v>
      </c>
      <c r="AG11" s="339">
        <f>IF(AG8&gt;$D$5,0,IFERROR(INDEX('Scenario 2'!$F$120:$J$120,MATCH(AG7,'Scenario 2'!$F$110:$J$110,0))/12,0))</f>
        <v>29829.406490916663</v>
      </c>
      <c r="AH11" s="339">
        <f>IF(AH8&gt;$D$5,0,IFERROR(INDEX('Scenario 2'!$F$120:$J$120,MATCH(AH7,'Scenario 2'!$F$110:$J$110,0))/12,0))</f>
        <v>29829.406490916663</v>
      </c>
      <c r="AI11" s="339">
        <f>IF(AI8&gt;$D$5,0,IFERROR(INDEX('Scenario 2'!$F$120:$J$120,MATCH(AI7,'Scenario 2'!$F$110:$J$110,0))/12,0))</f>
        <v>29829.406490916663</v>
      </c>
      <c r="AJ11" s="339">
        <f>IF(AJ8&gt;$D$5,0,IFERROR(INDEX('Scenario 2'!$F$120:$J$120,MATCH(AJ7,'Scenario 2'!$F$110:$J$110,0))/12,0))</f>
        <v>29829.406490916663</v>
      </c>
      <c r="AK11" s="339">
        <f>IF(AK8&gt;$D$5,0,IFERROR(INDEX('Scenario 2'!$F$120:$J$120,MATCH(AK7,'Scenario 2'!$F$110:$J$110,0))/12,0))</f>
        <v>29829.406490916663</v>
      </c>
      <c r="AL11" s="339">
        <f>IF(AL8&gt;$D$5,0,IFERROR(INDEX('Scenario 2'!$F$120:$J$120,MATCH(AL7,'Scenario 2'!$F$110:$J$110,0))/12,0))</f>
        <v>29829.406490916663</v>
      </c>
      <c r="AM11" s="339">
        <f>IF(AM8&gt;$D$5,0,IFERROR(INDEX('Scenario 2'!$F$120:$J$120,MATCH(AM7,'Scenario 2'!$F$110:$J$110,0))/12,0))</f>
        <v>29829.406490916663</v>
      </c>
      <c r="AN11" s="339">
        <f>IF(AN8&gt;$D$5,0,IFERROR(INDEX('Scenario 2'!$F$120:$J$120,MATCH(AN7,'Scenario 2'!$F$110:$J$110,0))/12,0))</f>
        <v>29829.406490916663</v>
      </c>
      <c r="AO11" s="339">
        <f>IF(AO8&gt;$D$5,0,IFERROR(INDEX('Scenario 2'!$F$120:$J$120,MATCH(AO7,'Scenario 2'!$F$110:$J$110,0))/12,0))</f>
        <v>29829.406490916663</v>
      </c>
      <c r="AP11" s="339">
        <f>IF(AP8&gt;$D$5,0,IFERROR(INDEX('Scenario 2'!$F$120:$J$120,MATCH(AP7,'Scenario 2'!$F$110:$J$110,0))/12,0))</f>
        <v>29829.406490916663</v>
      </c>
      <c r="AQ11" s="339">
        <f>IF(AQ8&gt;$D$5,0,IFERROR(INDEX('Scenario 2'!$F$120:$J$120,MATCH(AQ7,'Scenario 2'!$F$110:$J$110,0))/12,0))</f>
        <v>30778.288685644162</v>
      </c>
      <c r="AR11" s="339">
        <f>IF(AR8&gt;$D$5,0,IFERROR(INDEX('Scenario 2'!$F$120:$J$120,MATCH(AR7,'Scenario 2'!$F$110:$J$110,0))/12,0))</f>
        <v>30778.288685644162</v>
      </c>
      <c r="AS11" s="339">
        <f>IF(AS8&gt;$D$5,0,IFERROR(INDEX('Scenario 2'!$F$120:$J$120,MATCH(AS7,'Scenario 2'!$F$110:$J$110,0))/12,0))</f>
        <v>30778.288685644162</v>
      </c>
      <c r="AT11" s="339">
        <f>IF(AT8&gt;$D$5,0,IFERROR(INDEX('Scenario 2'!$F$120:$J$120,MATCH(AT7,'Scenario 2'!$F$110:$J$110,0))/12,0))</f>
        <v>30778.288685644162</v>
      </c>
      <c r="AU11" s="339">
        <f>IF(AU8&gt;$D$5,0,IFERROR(INDEX('Scenario 2'!$F$120:$J$120,MATCH(AU7,'Scenario 2'!$F$110:$J$110,0))/12,0))</f>
        <v>30778.288685644162</v>
      </c>
      <c r="AV11" s="339">
        <f>IF(AV8&gt;$D$5,0,IFERROR(INDEX('Scenario 2'!$F$120:$J$120,MATCH(AV7,'Scenario 2'!$F$110:$J$110,0))/12,0))</f>
        <v>30778.288685644162</v>
      </c>
      <c r="AW11" s="339">
        <f>IF(AW8&gt;$D$5,0,IFERROR(INDEX('Scenario 2'!$F$120:$J$120,MATCH(AW7,'Scenario 2'!$F$110:$J$110,0))/12,0))</f>
        <v>30778.288685644162</v>
      </c>
      <c r="AX11" s="339">
        <f>IF(AX8&gt;$D$5,0,IFERROR(INDEX('Scenario 2'!$F$120:$J$120,MATCH(AX7,'Scenario 2'!$F$110:$J$110,0))/12,0))</f>
        <v>30778.288685644162</v>
      </c>
      <c r="AY11" s="339">
        <f>IF(AY8&gt;$D$5,0,IFERROR(INDEX('Scenario 2'!$F$120:$J$120,MATCH(AY7,'Scenario 2'!$F$110:$J$110,0))/12,0))</f>
        <v>30778.288685644162</v>
      </c>
      <c r="AZ11" s="339">
        <f>IF(AZ8&gt;$D$5,0,IFERROR(INDEX('Scenario 2'!$F$120:$J$120,MATCH(AZ7,'Scenario 2'!$F$110:$J$110,0))/12,0))</f>
        <v>30778.288685644162</v>
      </c>
      <c r="BA11" s="339">
        <f>IF(BA8&gt;$D$5,0,IFERROR(INDEX('Scenario 2'!$F$120:$J$120,MATCH(BA7,'Scenario 2'!$F$110:$J$110,0))/12,0))</f>
        <v>30778.288685644162</v>
      </c>
      <c r="BB11" s="339">
        <f>IF(BB8&gt;$D$5,0,IFERROR(INDEX('Scenario 2'!$F$120:$J$120,MATCH(BB7,'Scenario 2'!$F$110:$J$110,0))/12,0))</f>
        <v>30778.288685644162</v>
      </c>
      <c r="BC11" s="339">
        <f>IF(BC8&gt;$D$5,0,IFERROR(INDEX('Scenario 2'!$F$120:$J$120,MATCH(BC7,'Scenario 2'!$F$110:$J$110,0))/12,0))</f>
        <v>23816.728009660186</v>
      </c>
      <c r="BD11" s="339">
        <f>IF(BD8&gt;$D$5,0,IFERROR(INDEX('Scenario 2'!$F$120:$J$120,MATCH(BD7,'Scenario 2'!$F$110:$J$110,0))/12,0))</f>
        <v>23816.728009660186</v>
      </c>
      <c r="BE11" s="339">
        <f>IF(BE8&gt;$D$5,0,IFERROR(INDEX('Scenario 2'!$F$120:$J$120,MATCH(BE7,'Scenario 2'!$F$110:$J$110,0))/12,0))</f>
        <v>23816.728009660186</v>
      </c>
      <c r="BF11" s="339">
        <f>IF(BF8&gt;$D$5,0,IFERROR(INDEX('Scenario 2'!$F$120:$J$120,MATCH(BF7,'Scenario 2'!$F$110:$J$110,0))/12,0))</f>
        <v>23816.728009660186</v>
      </c>
      <c r="BG11" s="339">
        <f>IF(BG8&gt;$D$5,0,IFERROR(INDEX('Scenario 2'!$F$120:$J$120,MATCH(BG7,'Scenario 2'!$F$110:$J$110,0))/12,0))</f>
        <v>23816.728009660186</v>
      </c>
      <c r="BH11" s="339">
        <f>IF(BH8&gt;$D$5,0,IFERROR(INDEX('Scenario 2'!$F$120:$J$120,MATCH(BH7,'Scenario 2'!$F$110:$J$110,0))/12,0))</f>
        <v>23816.728009660186</v>
      </c>
      <c r="BI11" s="339">
        <f>IF(BI8&gt;$D$5,0,IFERROR(INDEX('Scenario 2'!$F$120:$J$120,MATCH(BI7,'Scenario 2'!$F$110:$J$110,0))/12,0))</f>
        <v>23816.728009660186</v>
      </c>
      <c r="BJ11" s="339">
        <f>IF(BJ8&gt;$D$5,0,IFERROR(INDEX('Scenario 2'!$F$120:$J$120,MATCH(BJ7,'Scenario 2'!$F$110:$J$110,0))/12,0))</f>
        <v>23816.728009660186</v>
      </c>
      <c r="BK11" s="339">
        <f>IF(BK8&gt;$D$5,0,IFERROR(INDEX('Scenario 2'!$F$120:$J$120,MATCH(BK7,'Scenario 2'!$F$110:$J$110,0))/12,0))</f>
        <v>23816.728009660186</v>
      </c>
      <c r="BL11" s="339">
        <f>IF(BL8&gt;$D$5,0,IFERROR(INDEX('Scenario 2'!$F$120:$J$120,MATCH(BL7,'Scenario 2'!$F$110:$J$110,0))/12,0))</f>
        <v>23816.728009660186</v>
      </c>
      <c r="BM11" s="339">
        <f>IF(BM8&gt;$D$5,0,IFERROR(INDEX('Scenario 2'!$F$120:$J$120,MATCH(BM7,'Scenario 2'!$F$110:$J$110,0))/12,0))</f>
        <v>23816.728009660186</v>
      </c>
      <c r="BN11" s="339">
        <f>IF(BN8&gt;$D$5,0,IFERROR(INDEX('Scenario 2'!$F$120:$J$120,MATCH(BN7,'Scenario 2'!$F$110:$J$110,0))/12,0))</f>
        <v>23816.728009660186</v>
      </c>
      <c r="BO11" s="339">
        <f>IF(BO8&gt;$D$5,0,IFERROR(INDEX('Scenario 2'!$F$120:$J$120,MATCH(BO7,'Scenario 2'!$F$110:$J$110,0))/12,0))</f>
        <v>0</v>
      </c>
      <c r="BP11" s="339">
        <f>IF(BP8&gt;$D$5,0,IFERROR(INDEX('Scenario 2'!$F$120:$J$120,MATCH(BP7,'Scenario 2'!$F$110:$J$110,0))/12,0))</f>
        <v>0</v>
      </c>
      <c r="BQ11" s="339">
        <f>IF(BQ8&gt;$D$5,0,IFERROR(INDEX('Scenario 2'!$F$120:$J$120,MATCH(BQ7,'Scenario 2'!$F$110:$J$110,0))/12,0))</f>
        <v>0</v>
      </c>
      <c r="BR11" s="339">
        <f>IF(BR8&gt;$D$5,0,IFERROR(INDEX('Scenario 2'!$F$120:$J$120,MATCH(BR7,'Scenario 2'!$F$110:$J$110,0))/12,0))</f>
        <v>0</v>
      </c>
      <c r="BS11" s="339">
        <f>IF(BS8&gt;$D$5,0,IFERROR(INDEX('Scenario 2'!$F$120:$J$120,MATCH(BS7,'Scenario 2'!$F$110:$J$110,0))/12,0))</f>
        <v>0</v>
      </c>
      <c r="BT11" s="339">
        <f>IF(BT8&gt;$D$5,0,IFERROR(INDEX('Scenario 2'!$F$120:$J$120,MATCH(BT7,'Scenario 2'!$F$110:$J$110,0))/12,0))</f>
        <v>0</v>
      </c>
      <c r="BU11" s="339">
        <f>IF(BU8&gt;$D$5,0,IFERROR(INDEX('Scenario 2'!$F$120:$J$120,MATCH(BU7,'Scenario 2'!$F$110:$J$110,0))/12,0))</f>
        <v>0</v>
      </c>
      <c r="BV11" s="339">
        <f>IF(BV8&gt;$D$5,0,IFERROR(INDEX('Scenario 2'!$F$120:$J$120,MATCH(BV7,'Scenario 2'!$F$110:$J$110,0))/12,0))</f>
        <v>0</v>
      </c>
      <c r="BW11" s="339">
        <f>IF(BW8&gt;$D$5,0,IFERROR(INDEX('Scenario 2'!$F$120:$J$120,MATCH(BW7,'Scenario 2'!$F$110:$J$110,0))/12,0))</f>
        <v>0</v>
      </c>
      <c r="BX11" s="339">
        <f>IF(BX8&gt;$D$5,0,IFERROR(INDEX('Scenario 2'!$F$120:$J$120,MATCH(BX7,'Scenario 2'!$F$110:$J$110,0))/12,0))</f>
        <v>0</v>
      </c>
      <c r="BY11" s="339">
        <f>IF(BY8&gt;$D$5,0,IFERROR(INDEX('Scenario 2'!$F$120:$J$120,MATCH(BY7,'Scenario 2'!$F$110:$J$110,0))/12,0))</f>
        <v>0</v>
      </c>
      <c r="BZ11" s="339">
        <f>IF(BZ8&gt;$D$5,0,IFERROR(INDEX('Scenario 2'!$F$120:$J$120,MATCH(BZ7,'Scenario 2'!$F$110:$J$110,0))/12,0))</f>
        <v>0</v>
      </c>
      <c r="CA11" s="339">
        <f>IF(CA8&gt;$D$5,0,IFERROR(INDEX('Scenario 2'!$F$120:$J$120,MATCH(CA7,'Scenario 2'!$F$110:$J$110,0))/12,0))</f>
        <v>0</v>
      </c>
      <c r="CB11" s="339">
        <f>IF(CB8&gt;$D$5,0,IFERROR(INDEX('Scenario 2'!$F$120:$J$120,MATCH(CB7,'Scenario 2'!$F$110:$J$110,0))/12,0))</f>
        <v>0</v>
      </c>
      <c r="CC11" s="339">
        <f>IF(CC8&gt;$D$5,0,IFERROR(INDEX('Scenario 2'!$F$120:$J$120,MATCH(CC7,'Scenario 2'!$F$110:$J$110,0))/12,0))</f>
        <v>0</v>
      </c>
      <c r="CD11" s="339">
        <f>IF(CD8&gt;$D$5,0,IFERROR(INDEX('Scenario 2'!$F$120:$J$120,MATCH(CD7,'Scenario 2'!$F$110:$J$110,0))/12,0))</f>
        <v>0</v>
      </c>
      <c r="CE11" s="339">
        <f>IF(CE8&gt;$D$5,0,IFERROR(INDEX('Scenario 2'!$F$120:$J$120,MATCH(CE7,'Scenario 2'!$F$110:$J$110,0))/12,0))</f>
        <v>0</v>
      </c>
      <c r="CF11" s="339">
        <f>IF(CF8&gt;$D$5,0,IFERROR(INDEX('Scenario 2'!$F$120:$J$120,MATCH(CF7,'Scenario 2'!$F$110:$J$110,0))/12,0))</f>
        <v>0</v>
      </c>
      <c r="CG11" s="339">
        <f>IF(CG8&gt;$D$5,0,IFERROR(INDEX('Scenario 2'!$F$120:$J$120,MATCH(CG7,'Scenario 2'!$F$110:$J$110,0))/12,0))</f>
        <v>0</v>
      </c>
      <c r="CH11" s="339">
        <f>IF(CH8&gt;$D$5,0,IFERROR(INDEX('Scenario 2'!$F$120:$J$120,MATCH(CH7,'Scenario 2'!$F$110:$J$110,0))/12,0))</f>
        <v>0</v>
      </c>
      <c r="CI11" s="339">
        <f>IF(CI8&gt;$D$5,0,IFERROR(INDEX('Scenario 2'!$F$120:$J$120,MATCH(CI7,'Scenario 2'!$F$110:$J$110,0))/12,0))</f>
        <v>0</v>
      </c>
      <c r="CJ11" s="339">
        <f>IF(CJ8&gt;$D$5,0,IFERROR(INDEX('Scenario 2'!$F$120:$J$120,MATCH(CJ7,'Scenario 2'!$F$110:$J$110,0))/12,0))</f>
        <v>0</v>
      </c>
      <c r="CK11" s="339">
        <f>IF(CK8&gt;$D$5,0,IFERROR(INDEX('Scenario 2'!$F$120:$J$120,MATCH(CK7,'Scenario 2'!$F$110:$J$110,0))/12,0))</f>
        <v>0</v>
      </c>
      <c r="CL11" s="339">
        <f>IF(CL8&gt;$D$5,0,IFERROR(INDEX('Scenario 2'!$F$120:$J$120,MATCH(CL7,'Scenario 2'!$F$110:$J$110,0))/12,0))</f>
        <v>0</v>
      </c>
      <c r="CM11" s="339">
        <f>IF(CM8&gt;$D$5,0,IFERROR(INDEX('Scenario 2'!$F$120:$J$120,MATCH(CM7,'Scenario 2'!$F$110:$J$110,0))/12,0))</f>
        <v>0</v>
      </c>
      <c r="CN11" s="339">
        <f>IF(CN8&gt;$D$5,0,IFERROR(INDEX('Scenario 2'!$F$120:$J$120,MATCH(CN7,'Scenario 2'!$F$110:$J$110,0))/12,0))</f>
        <v>0</v>
      </c>
      <c r="CO11" s="339">
        <f>IF(CO8&gt;$D$5,0,IFERROR(INDEX('Scenario 2'!$F$120:$J$120,MATCH(CO7,'Scenario 2'!$F$110:$J$110,0))/12,0))</f>
        <v>0</v>
      </c>
      <c r="CP11" s="339">
        <f>IF(CP8&gt;$D$5,0,IFERROR(INDEX('Scenario 2'!$F$120:$J$120,MATCH(CP7,'Scenario 2'!$F$110:$J$110,0))/12,0))</f>
        <v>0</v>
      </c>
      <c r="CQ11" s="339">
        <f>IF(CQ8&gt;$D$5,0,IFERROR(INDEX('Scenario 2'!$F$120:$J$120,MATCH(CQ7,'Scenario 2'!$F$110:$J$110,0))/12,0))</f>
        <v>0</v>
      </c>
      <c r="CR11" s="339">
        <f>IF(CR8&gt;$D$5,0,IFERROR(INDEX('Scenario 2'!$F$120:$J$120,MATCH(CR7,'Scenario 2'!$F$110:$J$110,0))/12,0))</f>
        <v>0</v>
      </c>
      <c r="CS11" s="339">
        <f>IF(CS8&gt;$D$5,0,IFERROR(INDEX('Scenario 2'!$F$120:$J$120,MATCH(CS7,'Scenario 2'!$F$110:$J$110,0))/12,0))</f>
        <v>0</v>
      </c>
      <c r="CT11" s="339">
        <f>IF(CT8&gt;$D$5,0,IFERROR(INDEX('Scenario 2'!$F$120:$J$120,MATCH(CT7,'Scenario 2'!$F$110:$J$110,0))/12,0))</f>
        <v>0</v>
      </c>
      <c r="CU11" s="339">
        <f>IF(CU8&gt;$D$5,0,IFERROR(INDEX('Scenario 2'!$F$120:$J$120,MATCH(CU7,'Scenario 2'!$F$110:$J$110,0))/12,0))</f>
        <v>0</v>
      </c>
      <c r="CV11" s="339">
        <f>IF(CV8&gt;$D$5,0,IFERROR(INDEX('Scenario 2'!$F$120:$J$120,MATCH(CV7,'Scenario 2'!$F$110:$J$110,0))/12,0))</f>
        <v>0</v>
      </c>
      <c r="CW11" s="339">
        <f>IF(CW8&gt;$D$5,0,IFERROR(INDEX('Scenario 2'!$F$120:$J$120,MATCH(CW7,'Scenario 2'!$F$110:$J$110,0))/12,0))</f>
        <v>0</v>
      </c>
      <c r="CX11" s="339">
        <f>IF(CX8&gt;$D$5,0,IFERROR(INDEX('Scenario 2'!$F$120:$J$120,MATCH(CX7,'Scenario 2'!$F$110:$J$110,0))/12,0))</f>
        <v>0</v>
      </c>
      <c r="CY11" s="339">
        <f>IF(CY8&gt;$D$5,0,IFERROR(INDEX('Scenario 2'!$F$120:$J$120,MATCH(CY7,'Scenario 2'!$F$110:$J$110,0))/12,0))</f>
        <v>0</v>
      </c>
      <c r="CZ11" s="339">
        <f>IF(CZ8&gt;$D$5,0,IFERROR(INDEX('Scenario 2'!$F$120:$J$120,MATCH(CZ7,'Scenario 2'!$F$110:$J$110,0))/12,0))</f>
        <v>0</v>
      </c>
      <c r="DA11" s="339">
        <f>IF(DA8&gt;$D$5,0,IFERROR(INDEX('Scenario 2'!$F$120:$J$120,MATCH(DA7,'Scenario 2'!$F$110:$J$110,0))/12,0))</f>
        <v>0</v>
      </c>
      <c r="DB11" s="339">
        <f>IF(DB8&gt;$D$5,0,IFERROR(INDEX('Scenario 2'!$F$120:$J$120,MATCH(DB7,'Scenario 2'!$F$110:$J$110,0))/12,0))</f>
        <v>0</v>
      </c>
      <c r="DC11" s="339">
        <f>IF(DC8&gt;$D$5,0,IFERROR(INDEX('Scenario 2'!$F$120:$J$120,MATCH(DC7,'Scenario 2'!$F$110:$J$110,0))/12,0))</f>
        <v>0</v>
      </c>
      <c r="DD11" s="339">
        <f>IF(DD8&gt;$D$5,0,IFERROR(INDEX('Scenario 2'!$F$120:$J$120,MATCH(DD7,'Scenario 2'!$F$110:$J$110,0))/12,0))</f>
        <v>0</v>
      </c>
      <c r="DE11" s="339">
        <f>IF(DE8&gt;$D$5,0,IFERROR(INDEX('Scenario 2'!$F$120:$J$120,MATCH(DE7,'Scenario 2'!$F$110:$J$110,0))/12,0))</f>
        <v>0</v>
      </c>
      <c r="DF11" s="339">
        <f>IF(DF8&gt;$D$5,0,IFERROR(INDEX('Scenario 2'!$F$120:$J$120,MATCH(DF7,'Scenario 2'!$F$110:$J$110,0))/12,0))</f>
        <v>0</v>
      </c>
      <c r="DG11" s="339">
        <f>IF(DG8&gt;$D$5,0,IFERROR(INDEX('Scenario 2'!$F$120:$J$120,MATCH(DG7,'Scenario 2'!$F$110:$J$110,0))/12,0))</f>
        <v>0</v>
      </c>
      <c r="DH11" s="339">
        <f>IF(DH8&gt;$D$5,0,IFERROR(INDEX('Scenario 2'!$F$120:$J$120,MATCH(DH7,'Scenario 2'!$F$110:$J$110,0))/12,0))</f>
        <v>0</v>
      </c>
      <c r="DI11" s="339">
        <f>IF(DI8&gt;$D$5,0,IFERROR(INDEX('Scenario 2'!$F$120:$J$120,MATCH(DI7,'Scenario 2'!$F$110:$J$110,0))/12,0))</f>
        <v>0</v>
      </c>
      <c r="DJ11" s="339">
        <f>IF(DJ8&gt;$D$5,0,IFERROR(INDEX('Scenario 2'!$F$120:$J$120,MATCH(DJ7,'Scenario 2'!$F$110:$J$110,0))/12,0))</f>
        <v>0</v>
      </c>
      <c r="DK11" s="339">
        <f>IF(DK8&gt;$D$5,0,IFERROR(INDEX('Scenario 2'!$F$120:$J$120,MATCH(DK7,'Scenario 2'!$F$110:$J$110,0))/12,0))</f>
        <v>0</v>
      </c>
      <c r="DL11" s="339">
        <f>IF(DL8&gt;$D$5,0,IFERROR(INDEX('Scenario 2'!$F$120:$J$120,MATCH(DL7,'Scenario 2'!$F$110:$J$110,0))/12,0))</f>
        <v>0</v>
      </c>
      <c r="DM11" s="339">
        <f>IF(DM8&gt;$D$5,0,IFERROR(INDEX('Scenario 2'!$F$120:$J$120,MATCH(DM7,'Scenario 2'!$F$110:$J$110,0))/12,0))</f>
        <v>0</v>
      </c>
      <c r="DN11" s="339">
        <f>IF(DN8&gt;$D$5,0,IFERROR(INDEX('Scenario 2'!$F$120:$J$120,MATCH(DN7,'Scenario 2'!$F$110:$J$110,0))/12,0))</f>
        <v>0</v>
      </c>
      <c r="DO11" s="339">
        <f>IF(DO8&gt;$D$5,0,IFERROR(INDEX('Scenario 2'!$F$120:$J$120,MATCH(DO7,'Scenario 2'!$F$110:$J$110,0))/12,0))</f>
        <v>0</v>
      </c>
      <c r="DP11" s="339">
        <f>IF(DP8&gt;$D$5,0,IFERROR(INDEX('Scenario 2'!$F$120:$J$120,MATCH(DP7,'Scenario 2'!$F$110:$J$110,0))/12,0))</f>
        <v>0</v>
      </c>
      <c r="DQ11" s="339">
        <f>IF(DQ8&gt;$D$5,0,IFERROR(INDEX('Scenario 2'!$F$120:$J$120,MATCH(DQ7,'Scenario 2'!$F$110:$J$110,0))/12,0))</f>
        <v>0</v>
      </c>
      <c r="DR11" s="339">
        <f>IF(DR8&gt;$D$5,0,IFERROR(INDEX('Scenario 2'!$F$120:$J$120,MATCH(DR7,'Scenario 2'!$F$110:$J$110,0))/12,0))</f>
        <v>0</v>
      </c>
      <c r="DS11" s="339">
        <f>IF(DS8&gt;$D$5,0,IFERROR(INDEX('Scenario 2'!$F$120:$J$120,MATCH(DS7,'Scenario 2'!$F$110:$J$110,0))/12,0))</f>
        <v>0</v>
      </c>
      <c r="DT11" s="339">
        <f>IF(DT8&gt;$D$5,0,IFERROR(INDEX('Scenario 2'!$F$120:$J$120,MATCH(DT7,'Scenario 2'!$F$110:$J$110,0))/12,0))</f>
        <v>0</v>
      </c>
      <c r="DU11" s="339">
        <f>IF(DU8&gt;$D$5,0,IFERROR(INDEX('Scenario 2'!$F$120:$J$120,MATCH(DU7,'Scenario 2'!$F$110:$J$110,0))/12,0))</f>
        <v>0</v>
      </c>
      <c r="DV11" s="339">
        <f>IF(DV8&gt;$D$5,0,IFERROR(INDEX('Scenario 2'!$F$120:$J$120,MATCH(DV7,'Scenario 2'!$F$110:$J$110,0))/12,0))</f>
        <v>0</v>
      </c>
      <c r="DW11" s="322" t="s">
        <v>372</v>
      </c>
    </row>
    <row r="12" spans="2:127" outlineLevel="1" x14ac:dyDescent="0.3">
      <c r="C12" s="338" t="s">
        <v>379</v>
      </c>
      <c r="F12" s="339"/>
      <c r="G12" s="339">
        <f>IF(G8=$D$5,SUM('Scenario 2'!$F$126:$J$126),0)</f>
        <v>0</v>
      </c>
      <c r="H12" s="339">
        <f>IF(H8=$D$5,SUM('Scenario 2'!$F$126:$J$126),0)</f>
        <v>0</v>
      </c>
      <c r="I12" s="339">
        <f>IF(I8=$D$5,SUM('Scenario 2'!$F$126:$J$126),0)</f>
        <v>0</v>
      </c>
      <c r="J12" s="339">
        <f>IF(J8=$D$5,SUM('Scenario 2'!$F$126:$J$126),0)</f>
        <v>0</v>
      </c>
      <c r="K12" s="339">
        <f>IF(K8=$D$5,SUM('Scenario 2'!$F$126:$J$126),0)</f>
        <v>0</v>
      </c>
      <c r="L12" s="339">
        <f>IF(L8=$D$5,SUM('Scenario 2'!$F$126:$J$126),0)</f>
        <v>0</v>
      </c>
      <c r="M12" s="339">
        <f>IF(M8=$D$5,SUM('Scenario 2'!$F$126:$J$126),0)</f>
        <v>0</v>
      </c>
      <c r="N12" s="339">
        <f>IF(N8=$D$5,SUM('Scenario 2'!$F$126:$J$126),0)</f>
        <v>0</v>
      </c>
      <c r="O12" s="339">
        <f>IF(O8=$D$5,SUM('Scenario 2'!$F$126:$J$126),0)</f>
        <v>0</v>
      </c>
      <c r="P12" s="339">
        <f>IF(P8=$D$5,SUM('Scenario 2'!$F$126:$J$126),0)</f>
        <v>0</v>
      </c>
      <c r="Q12" s="339">
        <f>IF(Q8=$D$5,SUM('Scenario 2'!$F$126:$J$126),0)</f>
        <v>0</v>
      </c>
      <c r="R12" s="339">
        <f>IF(R8=$D$5,SUM('Scenario 2'!$F$126:$J$126),0)</f>
        <v>0</v>
      </c>
      <c r="S12" s="339">
        <f>IF(S8=$D$5,SUM('Scenario 2'!$F$126:$J$126),0)</f>
        <v>0</v>
      </c>
      <c r="T12" s="339">
        <f>IF(T8=$D$5,SUM('Scenario 2'!$F$126:$J$126),0)</f>
        <v>0</v>
      </c>
      <c r="U12" s="339">
        <f>IF(U8=$D$5,SUM('Scenario 2'!$F$126:$J$126),0)</f>
        <v>0</v>
      </c>
      <c r="V12" s="339">
        <f>IF(V8=$D$5,SUM('Scenario 2'!$F$126:$J$126),0)</f>
        <v>0</v>
      </c>
      <c r="W12" s="339">
        <f>IF(W8=$D$5,SUM('Scenario 2'!$F$126:$J$126),0)</f>
        <v>0</v>
      </c>
      <c r="X12" s="339">
        <f>IF(X8=$D$5,SUM('Scenario 2'!$F$126:$J$126),0)</f>
        <v>0</v>
      </c>
      <c r="Y12" s="339">
        <f>IF(Y8=$D$5,SUM('Scenario 2'!$F$126:$J$126),0)</f>
        <v>0</v>
      </c>
      <c r="Z12" s="339">
        <f>IF(Z8=$D$5,SUM('Scenario 2'!$F$126:$J$126),0)</f>
        <v>0</v>
      </c>
      <c r="AA12" s="339">
        <f>IF(AA8=$D$5,SUM('Scenario 2'!$F$126:$J$126),0)</f>
        <v>0</v>
      </c>
      <c r="AB12" s="339">
        <f>IF(AB8=$D$5,SUM('Scenario 2'!$F$126:$J$126),0)</f>
        <v>0</v>
      </c>
      <c r="AC12" s="339">
        <f>IF(AC8=$D$5,SUM('Scenario 2'!$F$126:$J$126),0)</f>
        <v>0</v>
      </c>
      <c r="AD12" s="339">
        <f>IF(AD8=$D$5,SUM('Scenario 2'!$F$126:$J$126),0)</f>
        <v>0</v>
      </c>
      <c r="AE12" s="339">
        <f>IF(AE8=$D$5,SUM('Scenario 2'!$F$126:$J$126),0)</f>
        <v>0</v>
      </c>
      <c r="AF12" s="339">
        <f>IF(AF8=$D$5,SUM('Scenario 2'!$F$126:$J$126),0)</f>
        <v>0</v>
      </c>
      <c r="AG12" s="339">
        <f>IF(AG8=$D$5,SUM('Scenario 2'!$F$126:$J$126),0)</f>
        <v>0</v>
      </c>
      <c r="AH12" s="339">
        <f>IF(AH8=$D$5,SUM('Scenario 2'!$F$126:$J$126),0)</f>
        <v>0</v>
      </c>
      <c r="AI12" s="339">
        <f>IF(AI8=$D$5,SUM('Scenario 2'!$F$126:$J$126),0)</f>
        <v>0</v>
      </c>
      <c r="AJ12" s="339">
        <f>IF(AJ8=$D$5,SUM('Scenario 2'!$F$126:$J$126),0)</f>
        <v>0</v>
      </c>
      <c r="AK12" s="339">
        <f>IF(AK8=$D$5,SUM('Scenario 2'!$F$126:$J$126),0)</f>
        <v>0</v>
      </c>
      <c r="AL12" s="339">
        <f>IF(AL8=$D$5,SUM('Scenario 2'!$F$126:$J$126),0)</f>
        <v>0</v>
      </c>
      <c r="AM12" s="339">
        <f>IF(AM8=$D$5,SUM('Scenario 2'!$F$126:$J$126),0)</f>
        <v>0</v>
      </c>
      <c r="AN12" s="339">
        <f>IF(AN8=$D$5,SUM('Scenario 2'!$F$126:$J$126),0)</f>
        <v>0</v>
      </c>
      <c r="AO12" s="339">
        <f>IF(AO8=$D$5,SUM('Scenario 2'!$F$126:$J$126),0)</f>
        <v>0</v>
      </c>
      <c r="AP12" s="339">
        <f>IF(AP8=$D$5,SUM('Scenario 2'!$F$126:$J$126),0)</f>
        <v>0</v>
      </c>
      <c r="AQ12" s="339">
        <f>IF(AQ8=$D$5,SUM('Scenario 2'!$F$126:$J$126),0)</f>
        <v>0</v>
      </c>
      <c r="AR12" s="339">
        <f>IF(AR8=$D$5,SUM('Scenario 2'!$F$126:$J$126),0)</f>
        <v>0</v>
      </c>
      <c r="AS12" s="339">
        <f>IF(AS8=$D$5,SUM('Scenario 2'!$F$126:$J$126),0)</f>
        <v>0</v>
      </c>
      <c r="AT12" s="339">
        <f>IF(AT8=$D$5,SUM('Scenario 2'!$F$126:$J$126),0)</f>
        <v>0</v>
      </c>
      <c r="AU12" s="339">
        <f>IF(AU8=$D$5,SUM('Scenario 2'!$F$126:$J$126),0)</f>
        <v>0</v>
      </c>
      <c r="AV12" s="339">
        <f>IF(AV8=$D$5,SUM('Scenario 2'!$F$126:$J$126),0)</f>
        <v>0</v>
      </c>
      <c r="AW12" s="339">
        <f>IF(AW8=$D$5,SUM('Scenario 2'!$F$126:$J$126),0)</f>
        <v>0</v>
      </c>
      <c r="AX12" s="339">
        <f>IF(AX8=$D$5,SUM('Scenario 2'!$F$126:$J$126),0)</f>
        <v>0</v>
      </c>
      <c r="AY12" s="339">
        <f>IF(AY8=$D$5,SUM('Scenario 2'!$F$126:$J$126),0)</f>
        <v>0</v>
      </c>
      <c r="AZ12" s="339">
        <f>IF(AZ8=$D$5,SUM('Scenario 2'!$F$126:$J$126),0)</f>
        <v>0</v>
      </c>
      <c r="BA12" s="339">
        <f>IF(BA8=$D$5,SUM('Scenario 2'!$F$126:$J$126),0)</f>
        <v>0</v>
      </c>
      <c r="BB12" s="339">
        <f>IF(BB8=$D$5,SUM('Scenario 2'!$F$126:$J$126),0)</f>
        <v>0</v>
      </c>
      <c r="BC12" s="339">
        <f>IF(BC8=$D$5,SUM('Scenario 2'!$F$126:$J$126),0)</f>
        <v>0</v>
      </c>
      <c r="BD12" s="339">
        <f>IF(BD8=$D$5,SUM('Scenario 2'!$F$126:$J$126),0)</f>
        <v>0</v>
      </c>
      <c r="BE12" s="339">
        <f>IF(BE8=$D$5,SUM('Scenario 2'!$F$126:$J$126),0)</f>
        <v>0</v>
      </c>
      <c r="BF12" s="339">
        <f>IF(BF8=$D$5,SUM('Scenario 2'!$F$126:$J$126),0)</f>
        <v>0</v>
      </c>
      <c r="BG12" s="339">
        <f>IF(BG8=$D$5,SUM('Scenario 2'!$F$126:$J$126),0)</f>
        <v>0</v>
      </c>
      <c r="BH12" s="339">
        <f>IF(BH8=$D$5,SUM('Scenario 2'!$F$126:$J$126),0)</f>
        <v>0</v>
      </c>
      <c r="BI12" s="339">
        <f>IF(BI8=$D$5,SUM('Scenario 2'!$F$126:$J$126),0)</f>
        <v>0</v>
      </c>
      <c r="BJ12" s="339">
        <f>IF(BJ8=$D$5,SUM('Scenario 2'!$F$126:$J$126),0)</f>
        <v>0</v>
      </c>
      <c r="BK12" s="339">
        <f>IF(BK8=$D$5,SUM('Scenario 2'!$F$126:$J$126),0)</f>
        <v>0</v>
      </c>
      <c r="BL12" s="339">
        <f>IF(BL8=$D$5,SUM('Scenario 2'!$F$126:$J$126),0)</f>
        <v>0</v>
      </c>
      <c r="BM12" s="339">
        <f>IF(BM8=$D$5,SUM('Scenario 2'!$F$126:$J$126),0)</f>
        <v>0</v>
      </c>
      <c r="BN12" s="339">
        <f>IF(BN8=$D$5,SUM('Scenario 2'!$F$126:$J$126),0)</f>
        <v>6351127.4692427004</v>
      </c>
      <c r="BO12" s="339">
        <f>IF(BO8=$D$5,SUM('Scenario 2'!$F$126:$J$126),0)</f>
        <v>0</v>
      </c>
      <c r="BP12" s="339">
        <f>IF(BP8=$D$5,SUM('Scenario 2'!$F$126:$J$126),0)</f>
        <v>0</v>
      </c>
      <c r="BQ12" s="339">
        <f>IF(BQ8=$D$5,SUM('Scenario 2'!$F$126:$J$126),0)</f>
        <v>0</v>
      </c>
      <c r="BR12" s="339">
        <f>IF(BR8=$D$5,SUM('Scenario 2'!$F$126:$J$126),0)</f>
        <v>0</v>
      </c>
      <c r="BS12" s="339">
        <f>IF(BS8=$D$5,SUM('Scenario 2'!$F$126:$J$126),0)</f>
        <v>0</v>
      </c>
      <c r="BT12" s="339">
        <f>IF(BT8=$D$5,SUM('Scenario 2'!$F$126:$J$126),0)</f>
        <v>0</v>
      </c>
      <c r="BU12" s="339">
        <f>IF(BU8=$D$5,SUM('Scenario 2'!$F$126:$J$126),0)</f>
        <v>0</v>
      </c>
      <c r="BV12" s="339">
        <f>IF(BV8=$D$5,SUM('Scenario 2'!$F$126:$J$126),0)</f>
        <v>0</v>
      </c>
      <c r="BW12" s="339">
        <f>IF(BW8=$D$5,SUM('Scenario 2'!$F$126:$J$126),0)</f>
        <v>0</v>
      </c>
      <c r="BX12" s="339">
        <f>IF(BX8=$D$5,SUM('Scenario 2'!$F$126:$J$126),0)</f>
        <v>0</v>
      </c>
      <c r="BY12" s="339">
        <f>IF(BY8=$D$5,SUM('Scenario 2'!$F$126:$J$126),0)</f>
        <v>0</v>
      </c>
      <c r="BZ12" s="339">
        <f>IF(BZ8=$D$5,SUM('Scenario 2'!$F$126:$J$126),0)</f>
        <v>0</v>
      </c>
      <c r="CA12" s="339">
        <f>IF(CA8=$D$5,SUM('Scenario 2'!$F$126:$J$126),0)</f>
        <v>0</v>
      </c>
      <c r="CB12" s="339">
        <f>IF(CB8=$D$5,SUM('Scenario 2'!$F$126:$J$126),0)</f>
        <v>0</v>
      </c>
      <c r="CC12" s="339">
        <f>IF(CC8=$D$5,SUM('Scenario 2'!$F$126:$J$126),0)</f>
        <v>0</v>
      </c>
      <c r="CD12" s="339">
        <f>IF(CD8=$D$5,SUM('Scenario 2'!$F$126:$J$126),0)</f>
        <v>0</v>
      </c>
      <c r="CE12" s="339">
        <f>IF(CE8=$D$5,SUM('Scenario 2'!$F$126:$J$126),0)</f>
        <v>0</v>
      </c>
      <c r="CF12" s="339">
        <f>IF(CF8=$D$5,SUM('Scenario 2'!$F$126:$J$126),0)</f>
        <v>0</v>
      </c>
      <c r="CG12" s="339">
        <f>IF(CG8=$D$5,SUM('Scenario 2'!$F$126:$J$126),0)</f>
        <v>0</v>
      </c>
      <c r="CH12" s="339">
        <f>IF(CH8=$D$5,SUM('Scenario 2'!$F$126:$J$126),0)</f>
        <v>0</v>
      </c>
      <c r="CI12" s="339">
        <f>IF(CI8=$D$5,SUM('Scenario 2'!$F$126:$J$126),0)</f>
        <v>0</v>
      </c>
      <c r="CJ12" s="339">
        <f>IF(CJ8=$D$5,SUM('Scenario 2'!$F$126:$J$126),0)</f>
        <v>0</v>
      </c>
      <c r="CK12" s="339">
        <f>IF(CK8=$D$5,SUM('Scenario 2'!$F$126:$J$126),0)</f>
        <v>0</v>
      </c>
      <c r="CL12" s="339">
        <f>IF(CL8=$D$5,SUM('Scenario 2'!$F$126:$J$126),0)</f>
        <v>0</v>
      </c>
      <c r="CM12" s="339">
        <f>IF(CM8=$D$5,SUM('Scenario 2'!$F$126:$J$126),0)</f>
        <v>0</v>
      </c>
      <c r="CN12" s="339">
        <f>IF(CN8=$D$5,SUM('Scenario 2'!$F$126:$J$126),0)</f>
        <v>0</v>
      </c>
      <c r="CO12" s="339">
        <f>IF(CO8=$D$5,SUM('Scenario 2'!$F$126:$J$126),0)</f>
        <v>0</v>
      </c>
      <c r="CP12" s="339">
        <f>IF(CP8=$D$5,SUM('Scenario 2'!$F$126:$J$126),0)</f>
        <v>0</v>
      </c>
      <c r="CQ12" s="339">
        <f>IF(CQ8=$D$5,SUM('Scenario 2'!$F$126:$J$126),0)</f>
        <v>0</v>
      </c>
      <c r="CR12" s="339">
        <f>IF(CR8=$D$5,SUM('Scenario 2'!$F$126:$J$126),0)</f>
        <v>0</v>
      </c>
      <c r="CS12" s="339">
        <f>IF(CS8=$D$5,SUM('Scenario 2'!$F$126:$J$126),0)</f>
        <v>0</v>
      </c>
      <c r="CT12" s="339">
        <f>IF(CT8=$D$5,SUM('Scenario 2'!$F$126:$J$126),0)</f>
        <v>0</v>
      </c>
      <c r="CU12" s="339">
        <f>IF(CU8=$D$5,SUM('Scenario 2'!$F$126:$J$126),0)</f>
        <v>0</v>
      </c>
      <c r="CV12" s="339">
        <f>IF(CV8=$D$5,SUM('Scenario 2'!$F$126:$J$126),0)</f>
        <v>0</v>
      </c>
      <c r="CW12" s="339">
        <f>IF(CW8=$D$5,SUM('Scenario 2'!$F$126:$J$126),0)</f>
        <v>0</v>
      </c>
      <c r="CX12" s="339">
        <f>IF(CX8=$D$5,SUM('Scenario 2'!$F$126:$J$126),0)</f>
        <v>0</v>
      </c>
      <c r="CY12" s="339">
        <f>IF(CY8=$D$5,SUM('Scenario 2'!$F$126:$J$126),0)</f>
        <v>0</v>
      </c>
      <c r="CZ12" s="339">
        <f>IF(CZ8=$D$5,SUM('Scenario 2'!$F$126:$J$126),0)</f>
        <v>0</v>
      </c>
      <c r="DA12" s="339">
        <f>IF(DA8=$D$5,SUM('Scenario 2'!$F$126:$J$126),0)</f>
        <v>0</v>
      </c>
      <c r="DB12" s="339">
        <f>IF(DB8=$D$5,SUM('Scenario 2'!$F$126:$J$126),0)</f>
        <v>0</v>
      </c>
      <c r="DC12" s="339">
        <f>IF(DC8=$D$5,SUM('Scenario 2'!$F$126:$J$126),0)</f>
        <v>0</v>
      </c>
      <c r="DD12" s="339">
        <f>IF(DD8=$D$5,SUM('Scenario 2'!$F$126:$J$126),0)</f>
        <v>0</v>
      </c>
      <c r="DE12" s="339">
        <f>IF(DE8=$D$5,SUM('Scenario 2'!$F$126:$J$126),0)</f>
        <v>0</v>
      </c>
      <c r="DF12" s="339">
        <f>IF(DF8=$D$5,SUM('Scenario 2'!$F$126:$J$126),0)</f>
        <v>0</v>
      </c>
      <c r="DG12" s="339">
        <f>IF(DG8=$D$5,SUM('Scenario 2'!$F$126:$J$126),0)</f>
        <v>0</v>
      </c>
      <c r="DH12" s="339">
        <f>IF(DH8=$D$5,SUM('Scenario 2'!$F$126:$J$126),0)</f>
        <v>0</v>
      </c>
      <c r="DI12" s="339">
        <f>IF(DI8=$D$5,SUM('Scenario 2'!$F$126:$J$126),0)</f>
        <v>0</v>
      </c>
      <c r="DJ12" s="339">
        <f>IF(DJ8=$D$5,SUM('Scenario 2'!$F$126:$J$126),0)</f>
        <v>0</v>
      </c>
      <c r="DK12" s="339">
        <f>IF(DK8=$D$5,SUM('Scenario 2'!$F$126:$J$126),0)</f>
        <v>0</v>
      </c>
      <c r="DL12" s="339">
        <f>IF(DL8=$D$5,SUM('Scenario 2'!$F$126:$J$126),0)</f>
        <v>0</v>
      </c>
      <c r="DM12" s="339">
        <f>IF(DM8=$D$5,SUM('Scenario 2'!$F$126:$J$126),0)</f>
        <v>0</v>
      </c>
      <c r="DN12" s="339">
        <f>IF(DN8=$D$5,SUM('Scenario 2'!$F$126:$J$126),0)</f>
        <v>0</v>
      </c>
      <c r="DO12" s="339">
        <f>IF(DO8=$D$5,SUM('Scenario 2'!$F$126:$J$126),0)</f>
        <v>0</v>
      </c>
      <c r="DP12" s="339">
        <f>IF(DP8=$D$5,SUM('Scenario 2'!$F$126:$J$126),0)</f>
        <v>0</v>
      </c>
      <c r="DQ12" s="339">
        <f>IF(DQ8=$D$5,SUM('Scenario 2'!$F$126:$J$126),0)</f>
        <v>0</v>
      </c>
      <c r="DR12" s="339">
        <f>IF(DR8=$D$5,SUM('Scenario 2'!$F$126:$J$126),0)</f>
        <v>0</v>
      </c>
      <c r="DS12" s="339">
        <f>IF(DS8=$D$5,SUM('Scenario 2'!$F$126:$J$126),0)</f>
        <v>0</v>
      </c>
      <c r="DT12" s="339">
        <f>IF(DT8=$D$5,SUM('Scenario 2'!$F$126:$J$126),0)</f>
        <v>0</v>
      </c>
      <c r="DU12" s="339">
        <f>IF(DU8=$D$5,SUM('Scenario 2'!$F$126:$J$126),0)</f>
        <v>0</v>
      </c>
      <c r="DV12" s="339">
        <f>IF(DV8=$D$5,SUM('Scenario 2'!$F$126:$J$126),0)</f>
        <v>0</v>
      </c>
      <c r="DW12" s="322" t="s">
        <v>372</v>
      </c>
    </row>
    <row r="13" spans="2:127" ht="17.25" thickBot="1" x14ac:dyDescent="0.35">
      <c r="C13" s="340" t="s">
        <v>380</v>
      </c>
      <c r="D13" s="340"/>
      <c r="E13" s="340"/>
      <c r="F13" s="341">
        <f t="shared" ref="F13:AK13" si="6">SUM(F11:F12)</f>
        <v>-4300000</v>
      </c>
      <c r="G13" s="341">
        <f t="shared" si="6"/>
        <v>28013.749166666665</v>
      </c>
      <c r="H13" s="341">
        <f t="shared" si="6"/>
        <v>28013.749166666665</v>
      </c>
      <c r="I13" s="341">
        <f t="shared" si="6"/>
        <v>28013.749166666665</v>
      </c>
      <c r="J13" s="341">
        <f t="shared" si="6"/>
        <v>28013.749166666665</v>
      </c>
      <c r="K13" s="341">
        <f t="shared" si="6"/>
        <v>28013.749166666665</v>
      </c>
      <c r="L13" s="341">
        <f t="shared" si="6"/>
        <v>28013.749166666665</v>
      </c>
      <c r="M13" s="341">
        <f t="shared" si="6"/>
        <v>28013.749166666665</v>
      </c>
      <c r="N13" s="341">
        <f t="shared" si="6"/>
        <v>28013.749166666665</v>
      </c>
      <c r="O13" s="341">
        <f t="shared" si="6"/>
        <v>28013.749166666665</v>
      </c>
      <c r="P13" s="341">
        <f t="shared" si="6"/>
        <v>28013.749166666665</v>
      </c>
      <c r="Q13" s="341">
        <f t="shared" si="6"/>
        <v>28013.749166666665</v>
      </c>
      <c r="R13" s="341">
        <f t="shared" si="6"/>
        <v>28013.749166666665</v>
      </c>
      <c r="S13" s="341">
        <f t="shared" si="6"/>
        <v>28908.161641666669</v>
      </c>
      <c r="T13" s="341">
        <f t="shared" si="6"/>
        <v>28908.161641666669</v>
      </c>
      <c r="U13" s="341">
        <f t="shared" si="6"/>
        <v>28908.161641666669</v>
      </c>
      <c r="V13" s="341">
        <f t="shared" si="6"/>
        <v>28908.161641666669</v>
      </c>
      <c r="W13" s="341">
        <f t="shared" si="6"/>
        <v>28908.161641666669</v>
      </c>
      <c r="X13" s="341">
        <f t="shared" si="6"/>
        <v>28908.161641666669</v>
      </c>
      <c r="Y13" s="341">
        <f t="shared" si="6"/>
        <v>28908.161641666669</v>
      </c>
      <c r="Z13" s="341">
        <f t="shared" si="6"/>
        <v>28908.161641666669</v>
      </c>
      <c r="AA13" s="341">
        <f t="shared" si="6"/>
        <v>28908.161641666669</v>
      </c>
      <c r="AB13" s="341">
        <f t="shared" si="6"/>
        <v>28908.161641666669</v>
      </c>
      <c r="AC13" s="341">
        <f t="shared" si="6"/>
        <v>28908.161641666669</v>
      </c>
      <c r="AD13" s="341">
        <f t="shared" si="6"/>
        <v>28908.161641666669</v>
      </c>
      <c r="AE13" s="341">
        <f t="shared" si="6"/>
        <v>29829.406490916663</v>
      </c>
      <c r="AF13" s="341">
        <f t="shared" si="6"/>
        <v>29829.406490916663</v>
      </c>
      <c r="AG13" s="341">
        <f t="shared" si="6"/>
        <v>29829.406490916663</v>
      </c>
      <c r="AH13" s="341">
        <f t="shared" si="6"/>
        <v>29829.406490916663</v>
      </c>
      <c r="AI13" s="341">
        <f t="shared" si="6"/>
        <v>29829.406490916663</v>
      </c>
      <c r="AJ13" s="341">
        <f t="shared" si="6"/>
        <v>29829.406490916663</v>
      </c>
      <c r="AK13" s="341">
        <f t="shared" si="6"/>
        <v>29829.406490916663</v>
      </c>
      <c r="AL13" s="341">
        <f t="shared" ref="AL13:CW13" si="7">SUM(AL11:AL12)</f>
        <v>29829.406490916663</v>
      </c>
      <c r="AM13" s="341">
        <f t="shared" si="7"/>
        <v>29829.406490916663</v>
      </c>
      <c r="AN13" s="341">
        <f t="shared" si="7"/>
        <v>29829.406490916663</v>
      </c>
      <c r="AO13" s="341">
        <f t="shared" si="7"/>
        <v>29829.406490916663</v>
      </c>
      <c r="AP13" s="341">
        <f t="shared" si="7"/>
        <v>29829.406490916663</v>
      </c>
      <c r="AQ13" s="341">
        <f t="shared" si="7"/>
        <v>30778.288685644162</v>
      </c>
      <c r="AR13" s="341">
        <f t="shared" si="7"/>
        <v>30778.288685644162</v>
      </c>
      <c r="AS13" s="341">
        <f t="shared" si="7"/>
        <v>30778.288685644162</v>
      </c>
      <c r="AT13" s="341">
        <f t="shared" si="7"/>
        <v>30778.288685644162</v>
      </c>
      <c r="AU13" s="341">
        <f t="shared" si="7"/>
        <v>30778.288685644162</v>
      </c>
      <c r="AV13" s="341">
        <f t="shared" si="7"/>
        <v>30778.288685644162</v>
      </c>
      <c r="AW13" s="341">
        <f t="shared" si="7"/>
        <v>30778.288685644162</v>
      </c>
      <c r="AX13" s="341">
        <f t="shared" si="7"/>
        <v>30778.288685644162</v>
      </c>
      <c r="AY13" s="341">
        <f t="shared" si="7"/>
        <v>30778.288685644162</v>
      </c>
      <c r="AZ13" s="341">
        <f t="shared" si="7"/>
        <v>30778.288685644162</v>
      </c>
      <c r="BA13" s="341">
        <f t="shared" si="7"/>
        <v>30778.288685644162</v>
      </c>
      <c r="BB13" s="341">
        <f t="shared" si="7"/>
        <v>30778.288685644162</v>
      </c>
      <c r="BC13" s="341">
        <f t="shared" si="7"/>
        <v>23816.728009660186</v>
      </c>
      <c r="BD13" s="341">
        <f t="shared" si="7"/>
        <v>23816.728009660186</v>
      </c>
      <c r="BE13" s="341">
        <f t="shared" si="7"/>
        <v>23816.728009660186</v>
      </c>
      <c r="BF13" s="341">
        <f t="shared" si="7"/>
        <v>23816.728009660186</v>
      </c>
      <c r="BG13" s="341">
        <f t="shared" si="7"/>
        <v>23816.728009660186</v>
      </c>
      <c r="BH13" s="341">
        <f t="shared" si="7"/>
        <v>23816.728009660186</v>
      </c>
      <c r="BI13" s="341">
        <f t="shared" si="7"/>
        <v>23816.728009660186</v>
      </c>
      <c r="BJ13" s="341">
        <f t="shared" si="7"/>
        <v>23816.728009660186</v>
      </c>
      <c r="BK13" s="341">
        <f t="shared" si="7"/>
        <v>23816.728009660186</v>
      </c>
      <c r="BL13" s="341">
        <f t="shared" si="7"/>
        <v>23816.728009660186</v>
      </c>
      <c r="BM13" s="341">
        <f t="shared" si="7"/>
        <v>23816.728009660186</v>
      </c>
      <c r="BN13" s="341">
        <f t="shared" si="7"/>
        <v>6374944.1972523602</v>
      </c>
      <c r="BO13" s="341">
        <f t="shared" si="7"/>
        <v>0</v>
      </c>
      <c r="BP13" s="341">
        <f t="shared" si="7"/>
        <v>0</v>
      </c>
      <c r="BQ13" s="341">
        <f t="shared" si="7"/>
        <v>0</v>
      </c>
      <c r="BR13" s="341">
        <f t="shared" si="7"/>
        <v>0</v>
      </c>
      <c r="BS13" s="341">
        <f t="shared" si="7"/>
        <v>0</v>
      </c>
      <c r="BT13" s="341">
        <f t="shared" si="7"/>
        <v>0</v>
      </c>
      <c r="BU13" s="341">
        <f t="shared" si="7"/>
        <v>0</v>
      </c>
      <c r="BV13" s="341">
        <f t="shared" si="7"/>
        <v>0</v>
      </c>
      <c r="BW13" s="341">
        <f t="shared" si="7"/>
        <v>0</v>
      </c>
      <c r="BX13" s="341">
        <f t="shared" si="7"/>
        <v>0</v>
      </c>
      <c r="BY13" s="341">
        <f t="shared" si="7"/>
        <v>0</v>
      </c>
      <c r="BZ13" s="341">
        <f t="shared" si="7"/>
        <v>0</v>
      </c>
      <c r="CA13" s="341">
        <f t="shared" si="7"/>
        <v>0</v>
      </c>
      <c r="CB13" s="341">
        <f t="shared" si="7"/>
        <v>0</v>
      </c>
      <c r="CC13" s="341">
        <f t="shared" si="7"/>
        <v>0</v>
      </c>
      <c r="CD13" s="341">
        <f t="shared" si="7"/>
        <v>0</v>
      </c>
      <c r="CE13" s="341">
        <f t="shared" si="7"/>
        <v>0</v>
      </c>
      <c r="CF13" s="341">
        <f t="shared" si="7"/>
        <v>0</v>
      </c>
      <c r="CG13" s="341">
        <f t="shared" si="7"/>
        <v>0</v>
      </c>
      <c r="CH13" s="341">
        <f t="shared" si="7"/>
        <v>0</v>
      </c>
      <c r="CI13" s="341">
        <f t="shared" si="7"/>
        <v>0</v>
      </c>
      <c r="CJ13" s="341">
        <f t="shared" si="7"/>
        <v>0</v>
      </c>
      <c r="CK13" s="341">
        <f t="shared" si="7"/>
        <v>0</v>
      </c>
      <c r="CL13" s="341">
        <f t="shared" si="7"/>
        <v>0</v>
      </c>
      <c r="CM13" s="341">
        <f t="shared" si="7"/>
        <v>0</v>
      </c>
      <c r="CN13" s="341">
        <f t="shared" si="7"/>
        <v>0</v>
      </c>
      <c r="CO13" s="341">
        <f t="shared" si="7"/>
        <v>0</v>
      </c>
      <c r="CP13" s="341">
        <f t="shared" si="7"/>
        <v>0</v>
      </c>
      <c r="CQ13" s="341">
        <f t="shared" si="7"/>
        <v>0</v>
      </c>
      <c r="CR13" s="341">
        <f t="shared" si="7"/>
        <v>0</v>
      </c>
      <c r="CS13" s="341">
        <f t="shared" si="7"/>
        <v>0</v>
      </c>
      <c r="CT13" s="341">
        <f t="shared" si="7"/>
        <v>0</v>
      </c>
      <c r="CU13" s="341">
        <f t="shared" si="7"/>
        <v>0</v>
      </c>
      <c r="CV13" s="341">
        <f t="shared" si="7"/>
        <v>0</v>
      </c>
      <c r="CW13" s="341">
        <f t="shared" si="7"/>
        <v>0</v>
      </c>
      <c r="CX13" s="341">
        <f t="shared" ref="CX13:DV13" si="8">SUM(CX11:CX12)</f>
        <v>0</v>
      </c>
      <c r="CY13" s="341">
        <f t="shared" si="8"/>
        <v>0</v>
      </c>
      <c r="CZ13" s="341">
        <f t="shared" si="8"/>
        <v>0</v>
      </c>
      <c r="DA13" s="341">
        <f t="shared" si="8"/>
        <v>0</v>
      </c>
      <c r="DB13" s="341">
        <f t="shared" si="8"/>
        <v>0</v>
      </c>
      <c r="DC13" s="341">
        <f t="shared" si="8"/>
        <v>0</v>
      </c>
      <c r="DD13" s="341">
        <f t="shared" si="8"/>
        <v>0</v>
      </c>
      <c r="DE13" s="341">
        <f t="shared" si="8"/>
        <v>0</v>
      </c>
      <c r="DF13" s="341">
        <f t="shared" si="8"/>
        <v>0</v>
      </c>
      <c r="DG13" s="341">
        <f t="shared" si="8"/>
        <v>0</v>
      </c>
      <c r="DH13" s="341">
        <f t="shared" si="8"/>
        <v>0</v>
      </c>
      <c r="DI13" s="341">
        <f t="shared" si="8"/>
        <v>0</v>
      </c>
      <c r="DJ13" s="341">
        <f t="shared" si="8"/>
        <v>0</v>
      </c>
      <c r="DK13" s="341">
        <f t="shared" si="8"/>
        <v>0</v>
      </c>
      <c r="DL13" s="341">
        <f t="shared" si="8"/>
        <v>0</v>
      </c>
      <c r="DM13" s="341">
        <f t="shared" si="8"/>
        <v>0</v>
      </c>
      <c r="DN13" s="341">
        <f t="shared" si="8"/>
        <v>0</v>
      </c>
      <c r="DO13" s="341">
        <f t="shared" si="8"/>
        <v>0</v>
      </c>
      <c r="DP13" s="341">
        <f t="shared" si="8"/>
        <v>0</v>
      </c>
      <c r="DQ13" s="341">
        <f t="shared" si="8"/>
        <v>0</v>
      </c>
      <c r="DR13" s="341">
        <f t="shared" si="8"/>
        <v>0</v>
      </c>
      <c r="DS13" s="341">
        <f t="shared" si="8"/>
        <v>0</v>
      </c>
      <c r="DT13" s="341">
        <f t="shared" si="8"/>
        <v>0</v>
      </c>
      <c r="DU13" s="341">
        <f t="shared" si="8"/>
        <v>0</v>
      </c>
      <c r="DV13" s="341">
        <f t="shared" si="8"/>
        <v>0</v>
      </c>
      <c r="DW13" s="322" t="s">
        <v>372</v>
      </c>
    </row>
    <row r="14" spans="2:127" ht="17.25" thickTop="1" x14ac:dyDescent="0.3">
      <c r="B14" s="529"/>
      <c r="C14" s="529"/>
      <c r="D14" s="529"/>
      <c r="E14" s="529"/>
      <c r="F14" s="342"/>
      <c r="I14" s="343"/>
      <c r="DW14" s="322" t="s">
        <v>372</v>
      </c>
    </row>
    <row r="15" spans="2:127" x14ac:dyDescent="0.3">
      <c r="C15" s="344" t="s">
        <v>381</v>
      </c>
      <c r="D15" s="345"/>
      <c r="E15" s="346"/>
      <c r="I15" s="343"/>
      <c r="DW15" s="322" t="s">
        <v>372</v>
      </c>
    </row>
    <row r="16" spans="2:127" x14ac:dyDescent="0.3">
      <c r="C16" s="347" t="s">
        <v>291</v>
      </c>
      <c r="D16" s="348">
        <f ca="1">XIRR(F13:DV13,$F$9:$DV$9)</f>
        <v>0.15476805567741397</v>
      </c>
      <c r="E16" s="349"/>
      <c r="I16" s="343"/>
      <c r="DW16" s="322" t="s">
        <v>372</v>
      </c>
    </row>
    <row r="17" spans="3:127" x14ac:dyDescent="0.3">
      <c r="C17" s="350" t="s">
        <v>290</v>
      </c>
      <c r="D17" s="351" cm="1">
        <f t="array" ref="D17">SUMPRODUCT(--(F13:DV13&gt;0),F13:DV13)/-SUMPRODUCT(--(F13:DV13&lt;0),F13:DV13)</f>
        <v>1.8714612737621747</v>
      </c>
      <c r="E17" s="352"/>
      <c r="I17" s="343"/>
      <c r="DW17" s="322" t="s">
        <v>372</v>
      </c>
    </row>
    <row r="18" spans="3:127" x14ac:dyDescent="0.3">
      <c r="C18" s="353" t="s">
        <v>349</v>
      </c>
      <c r="D18" s="354">
        <f>SUM(F13:DV13)</f>
        <v>3747283.4771773522</v>
      </c>
      <c r="E18" s="355"/>
      <c r="I18" s="343"/>
      <c r="DW18" s="322" t="s">
        <v>372</v>
      </c>
    </row>
    <row r="19" spans="3:127" x14ac:dyDescent="0.3">
      <c r="F19" s="342"/>
      <c r="I19" s="343"/>
      <c r="DW19" s="322" t="s">
        <v>372</v>
      </c>
    </row>
    <row r="20" spans="3:127" ht="17.25" thickBot="1" x14ac:dyDescent="0.35">
      <c r="C20" s="356" t="s">
        <v>382</v>
      </c>
      <c r="D20" s="340"/>
      <c r="E20" s="340"/>
      <c r="F20" s="341">
        <f>+'Scenario 2'!E131</f>
        <v>-1823000</v>
      </c>
      <c r="G20" s="341">
        <f>IFERROR(INDEX('Scenario 2'!$F$132:$J$132,MATCH(G7,'Scenario 2'!$F$110:$J$110,0))/12,0)+IF($D$5=G$8,SUM('Scenario 2'!$F$126:$J$126,'Scenario 2'!$F$129:$J$129))</f>
        <v>12874.165833333333</v>
      </c>
      <c r="H20" s="341">
        <f>IFERROR(INDEX('Scenario 2'!$F$132:$J$132,MATCH(H7,'Scenario 2'!$F$110:$J$110,0))/12,0)+IF($D$5=H$8,SUM('Scenario 2'!$F$126:$J$126,'Scenario 2'!$F$129:$J$129))</f>
        <v>12874.165833333333</v>
      </c>
      <c r="I20" s="341">
        <f>IFERROR(INDEX('Scenario 2'!$F$132:$J$132,MATCH(I7,'Scenario 2'!$F$110:$J$110,0))/12,0)+IF($D$5=I$8,SUM('Scenario 2'!$F$126:$J$126,'Scenario 2'!$F$129:$J$129))</f>
        <v>12874.165833333333</v>
      </c>
      <c r="J20" s="341">
        <f>IFERROR(INDEX('Scenario 2'!$F$132:$J$132,MATCH(J7,'Scenario 2'!$F$110:$J$110,0))/12,0)+IF($D$5=J$8,SUM('Scenario 2'!$F$126:$J$126,'Scenario 2'!$F$129:$J$129))</f>
        <v>12874.165833333333</v>
      </c>
      <c r="K20" s="341">
        <f>IFERROR(INDEX('Scenario 2'!$F$132:$J$132,MATCH(K7,'Scenario 2'!$F$110:$J$110,0))/12,0)+IF($D$5=K$8,SUM('Scenario 2'!$F$126:$J$126,'Scenario 2'!$F$129:$J$129))</f>
        <v>12874.165833333333</v>
      </c>
      <c r="L20" s="341">
        <f>IFERROR(INDEX('Scenario 2'!$F$132:$J$132,MATCH(L7,'Scenario 2'!$F$110:$J$110,0))/12,0)+IF($D$5=L$8,SUM('Scenario 2'!$F$126:$J$126,'Scenario 2'!$F$129:$J$129))</f>
        <v>12874.165833333333</v>
      </c>
      <c r="M20" s="341">
        <f>IFERROR(INDEX('Scenario 2'!$F$132:$J$132,MATCH(M7,'Scenario 2'!$F$110:$J$110,0))/12,0)+IF($D$5=M$8,SUM('Scenario 2'!$F$126:$J$126,'Scenario 2'!$F$129:$J$129))</f>
        <v>12874.165833333333</v>
      </c>
      <c r="N20" s="341">
        <f>IFERROR(INDEX('Scenario 2'!$F$132:$J$132,MATCH(N7,'Scenario 2'!$F$110:$J$110,0))/12,0)+IF($D$5=N$8,SUM('Scenario 2'!$F$126:$J$126,'Scenario 2'!$F$129:$J$129))</f>
        <v>12874.165833333333</v>
      </c>
      <c r="O20" s="341">
        <f>IFERROR(INDEX('Scenario 2'!$F$132:$J$132,MATCH(O7,'Scenario 2'!$F$110:$J$110,0))/12,0)+IF($D$5=O$8,SUM('Scenario 2'!$F$126:$J$126,'Scenario 2'!$F$129:$J$129))</f>
        <v>12874.165833333333</v>
      </c>
      <c r="P20" s="341">
        <f>IFERROR(INDEX('Scenario 2'!$F$132:$J$132,MATCH(P7,'Scenario 2'!$F$110:$J$110,0))/12,0)+IF($D$5=P$8,SUM('Scenario 2'!$F$126:$J$126,'Scenario 2'!$F$129:$J$129))</f>
        <v>12874.165833333333</v>
      </c>
      <c r="Q20" s="341">
        <f>IFERROR(INDEX('Scenario 2'!$F$132:$J$132,MATCH(Q7,'Scenario 2'!$F$110:$J$110,0))/12,0)+IF($D$5=Q$8,SUM('Scenario 2'!$F$126:$J$126,'Scenario 2'!$F$129:$J$129))</f>
        <v>12874.165833333333</v>
      </c>
      <c r="R20" s="341">
        <f>IFERROR(INDEX('Scenario 2'!$F$132:$J$132,MATCH(R7,'Scenario 2'!$F$110:$J$110,0))/12,0)+IF($D$5=R$8,SUM('Scenario 2'!$F$126:$J$126,'Scenario 2'!$F$129:$J$129))</f>
        <v>12874.165833333333</v>
      </c>
      <c r="S20" s="341">
        <f>IFERROR(INDEX('Scenario 2'!$F$132:$J$132,MATCH(S7,'Scenario 2'!$F$110:$J$110,0))/12,0)+IF($D$5=S$8,SUM('Scenario 2'!$F$126:$J$126,'Scenario 2'!$F$129:$J$129))</f>
        <v>13768.578308333337</v>
      </c>
      <c r="T20" s="341">
        <f>IFERROR(INDEX('Scenario 2'!$F$132:$J$132,MATCH(T7,'Scenario 2'!$F$110:$J$110,0))/12,0)+IF($D$5=T$8,SUM('Scenario 2'!$F$126:$J$126,'Scenario 2'!$F$129:$J$129))</f>
        <v>13768.578308333337</v>
      </c>
      <c r="U20" s="341">
        <f>IFERROR(INDEX('Scenario 2'!$F$132:$J$132,MATCH(U7,'Scenario 2'!$F$110:$J$110,0))/12,0)+IF($D$5=U$8,SUM('Scenario 2'!$F$126:$J$126,'Scenario 2'!$F$129:$J$129))</f>
        <v>13768.578308333337</v>
      </c>
      <c r="V20" s="341">
        <f>IFERROR(INDEX('Scenario 2'!$F$132:$J$132,MATCH(V7,'Scenario 2'!$F$110:$J$110,0))/12,0)+IF($D$5=V$8,SUM('Scenario 2'!$F$126:$J$126,'Scenario 2'!$F$129:$J$129))</f>
        <v>13768.578308333337</v>
      </c>
      <c r="W20" s="341">
        <f>IFERROR(INDEX('Scenario 2'!$F$132:$J$132,MATCH(W7,'Scenario 2'!$F$110:$J$110,0))/12,0)+IF($D$5=W$8,SUM('Scenario 2'!$F$126:$J$126,'Scenario 2'!$F$129:$J$129))</f>
        <v>13768.578308333337</v>
      </c>
      <c r="X20" s="341">
        <f>IFERROR(INDEX('Scenario 2'!$F$132:$J$132,MATCH(X7,'Scenario 2'!$F$110:$J$110,0))/12,0)+IF($D$5=X$8,SUM('Scenario 2'!$F$126:$J$126,'Scenario 2'!$F$129:$J$129))</f>
        <v>13768.578308333337</v>
      </c>
      <c r="Y20" s="341">
        <f>IFERROR(INDEX('Scenario 2'!$F$132:$J$132,MATCH(Y7,'Scenario 2'!$F$110:$J$110,0))/12,0)+IF($D$5=Y$8,SUM('Scenario 2'!$F$126:$J$126,'Scenario 2'!$F$129:$J$129))</f>
        <v>13768.578308333337</v>
      </c>
      <c r="Z20" s="341">
        <f>IFERROR(INDEX('Scenario 2'!$F$132:$J$132,MATCH(Z7,'Scenario 2'!$F$110:$J$110,0))/12,0)+IF($D$5=Z$8,SUM('Scenario 2'!$F$126:$J$126,'Scenario 2'!$F$129:$J$129))</f>
        <v>13768.578308333337</v>
      </c>
      <c r="AA20" s="341">
        <f>IFERROR(INDEX('Scenario 2'!$F$132:$J$132,MATCH(AA7,'Scenario 2'!$F$110:$J$110,0))/12,0)+IF($D$5=AA$8,SUM('Scenario 2'!$F$126:$J$126,'Scenario 2'!$F$129:$J$129))</f>
        <v>13768.578308333337</v>
      </c>
      <c r="AB20" s="341">
        <f>IFERROR(INDEX('Scenario 2'!$F$132:$J$132,MATCH(AB7,'Scenario 2'!$F$110:$J$110,0))/12,0)+IF($D$5=AB$8,SUM('Scenario 2'!$F$126:$J$126,'Scenario 2'!$F$129:$J$129))</f>
        <v>13768.578308333337</v>
      </c>
      <c r="AC20" s="341">
        <f>IFERROR(INDEX('Scenario 2'!$F$132:$J$132,MATCH(AC7,'Scenario 2'!$F$110:$J$110,0))/12,0)+IF($D$5=AC$8,SUM('Scenario 2'!$F$126:$J$126,'Scenario 2'!$F$129:$J$129))</f>
        <v>13768.578308333337</v>
      </c>
      <c r="AD20" s="341">
        <f>IFERROR(INDEX('Scenario 2'!$F$132:$J$132,MATCH(AD7,'Scenario 2'!$F$110:$J$110,0))/12,0)+IF($D$5=AD$8,SUM('Scenario 2'!$F$126:$J$126,'Scenario 2'!$F$129:$J$129))</f>
        <v>13768.578308333337</v>
      </c>
      <c r="AE20" s="341">
        <f>IFERROR(INDEX('Scenario 2'!$F$132:$J$132,MATCH(AE7,'Scenario 2'!$F$110:$J$110,0))/12,0)+IF($D$5=AE$8,SUM('Scenario 2'!$F$126:$J$126,'Scenario 2'!$F$129:$J$129))</f>
        <v>14689.823157583329</v>
      </c>
      <c r="AF20" s="341">
        <f>IFERROR(INDEX('Scenario 2'!$F$132:$J$132,MATCH(AF7,'Scenario 2'!$F$110:$J$110,0))/12,0)+IF($D$5=AF$8,SUM('Scenario 2'!$F$126:$J$126,'Scenario 2'!$F$129:$J$129))</f>
        <v>14689.823157583329</v>
      </c>
      <c r="AG20" s="341">
        <f>IFERROR(INDEX('Scenario 2'!$F$132:$J$132,MATCH(AG7,'Scenario 2'!$F$110:$J$110,0))/12,0)+IF($D$5=AG$8,SUM('Scenario 2'!$F$126:$J$126,'Scenario 2'!$F$129:$J$129))</f>
        <v>14689.823157583329</v>
      </c>
      <c r="AH20" s="341">
        <f>IFERROR(INDEX('Scenario 2'!$F$132:$J$132,MATCH(AH7,'Scenario 2'!$F$110:$J$110,0))/12,0)+IF($D$5=AH$8,SUM('Scenario 2'!$F$126:$J$126,'Scenario 2'!$F$129:$J$129))</f>
        <v>14689.823157583329</v>
      </c>
      <c r="AI20" s="341">
        <f>IFERROR(INDEX('Scenario 2'!$F$132:$J$132,MATCH(AI7,'Scenario 2'!$F$110:$J$110,0))/12,0)+IF($D$5=AI$8,SUM('Scenario 2'!$F$126:$J$126,'Scenario 2'!$F$129:$J$129))</f>
        <v>14689.823157583329</v>
      </c>
      <c r="AJ20" s="341">
        <f>IFERROR(INDEX('Scenario 2'!$F$132:$J$132,MATCH(AJ7,'Scenario 2'!$F$110:$J$110,0))/12,0)+IF($D$5=AJ$8,SUM('Scenario 2'!$F$126:$J$126,'Scenario 2'!$F$129:$J$129))</f>
        <v>14689.823157583329</v>
      </c>
      <c r="AK20" s="341">
        <f>IFERROR(INDEX('Scenario 2'!$F$132:$J$132,MATCH(AK7,'Scenario 2'!$F$110:$J$110,0))/12,0)+IF($D$5=AK$8,SUM('Scenario 2'!$F$126:$J$126,'Scenario 2'!$F$129:$J$129))</f>
        <v>14689.823157583329</v>
      </c>
      <c r="AL20" s="341">
        <f>IFERROR(INDEX('Scenario 2'!$F$132:$J$132,MATCH(AL7,'Scenario 2'!$F$110:$J$110,0))/12,0)+IF($D$5=AL$8,SUM('Scenario 2'!$F$126:$J$126,'Scenario 2'!$F$129:$J$129))</f>
        <v>14689.823157583329</v>
      </c>
      <c r="AM20" s="341">
        <f>IFERROR(INDEX('Scenario 2'!$F$132:$J$132,MATCH(AM7,'Scenario 2'!$F$110:$J$110,0))/12,0)+IF($D$5=AM$8,SUM('Scenario 2'!$F$126:$J$126,'Scenario 2'!$F$129:$J$129))</f>
        <v>14689.823157583329</v>
      </c>
      <c r="AN20" s="341">
        <f>IFERROR(INDEX('Scenario 2'!$F$132:$J$132,MATCH(AN7,'Scenario 2'!$F$110:$J$110,0))/12,0)+IF($D$5=AN$8,SUM('Scenario 2'!$F$126:$J$126,'Scenario 2'!$F$129:$J$129))</f>
        <v>14689.823157583329</v>
      </c>
      <c r="AO20" s="341">
        <f>IFERROR(INDEX('Scenario 2'!$F$132:$J$132,MATCH(AO7,'Scenario 2'!$F$110:$J$110,0))/12,0)+IF($D$5=AO$8,SUM('Scenario 2'!$F$126:$J$126,'Scenario 2'!$F$129:$J$129))</f>
        <v>14689.823157583329</v>
      </c>
      <c r="AP20" s="341">
        <f>IFERROR(INDEX('Scenario 2'!$F$132:$J$132,MATCH(AP7,'Scenario 2'!$F$110:$J$110,0))/12,0)+IF($D$5=AP$8,SUM('Scenario 2'!$F$126:$J$126,'Scenario 2'!$F$129:$J$129))</f>
        <v>14689.823157583329</v>
      </c>
      <c r="AQ20" s="341">
        <f>IFERROR(INDEX('Scenario 2'!$F$132:$J$132,MATCH(AQ7,'Scenario 2'!$F$110:$J$110,0))/12,0)+IF($D$5=AQ$8,SUM('Scenario 2'!$F$126:$J$126,'Scenario 2'!$F$129:$J$129))</f>
        <v>15638.705352310828</v>
      </c>
      <c r="AR20" s="341">
        <f>IFERROR(INDEX('Scenario 2'!$F$132:$J$132,MATCH(AR7,'Scenario 2'!$F$110:$J$110,0))/12,0)+IF($D$5=AR$8,SUM('Scenario 2'!$F$126:$J$126,'Scenario 2'!$F$129:$J$129))</f>
        <v>15638.705352310828</v>
      </c>
      <c r="AS20" s="341">
        <f>IFERROR(INDEX('Scenario 2'!$F$132:$J$132,MATCH(AS7,'Scenario 2'!$F$110:$J$110,0))/12,0)+IF($D$5=AS$8,SUM('Scenario 2'!$F$126:$J$126,'Scenario 2'!$F$129:$J$129))</f>
        <v>15638.705352310828</v>
      </c>
      <c r="AT20" s="341">
        <f>IFERROR(INDEX('Scenario 2'!$F$132:$J$132,MATCH(AT7,'Scenario 2'!$F$110:$J$110,0))/12,0)+IF($D$5=AT$8,SUM('Scenario 2'!$F$126:$J$126,'Scenario 2'!$F$129:$J$129))</f>
        <v>15638.705352310828</v>
      </c>
      <c r="AU20" s="341">
        <f>IFERROR(INDEX('Scenario 2'!$F$132:$J$132,MATCH(AU7,'Scenario 2'!$F$110:$J$110,0))/12,0)+IF($D$5=AU$8,SUM('Scenario 2'!$F$126:$J$126,'Scenario 2'!$F$129:$J$129))</f>
        <v>15638.705352310828</v>
      </c>
      <c r="AV20" s="341">
        <f>IFERROR(INDEX('Scenario 2'!$F$132:$J$132,MATCH(AV7,'Scenario 2'!$F$110:$J$110,0))/12,0)+IF($D$5=AV$8,SUM('Scenario 2'!$F$126:$J$126,'Scenario 2'!$F$129:$J$129))</f>
        <v>15638.705352310828</v>
      </c>
      <c r="AW20" s="341">
        <f>IFERROR(INDEX('Scenario 2'!$F$132:$J$132,MATCH(AW7,'Scenario 2'!$F$110:$J$110,0))/12,0)+IF($D$5=AW$8,SUM('Scenario 2'!$F$126:$J$126,'Scenario 2'!$F$129:$J$129))</f>
        <v>15638.705352310828</v>
      </c>
      <c r="AX20" s="341">
        <f>IFERROR(INDEX('Scenario 2'!$F$132:$J$132,MATCH(AX7,'Scenario 2'!$F$110:$J$110,0))/12,0)+IF($D$5=AX$8,SUM('Scenario 2'!$F$126:$J$126,'Scenario 2'!$F$129:$J$129))</f>
        <v>15638.705352310828</v>
      </c>
      <c r="AY20" s="341">
        <f>IFERROR(INDEX('Scenario 2'!$F$132:$J$132,MATCH(AY7,'Scenario 2'!$F$110:$J$110,0))/12,0)+IF($D$5=AY$8,SUM('Scenario 2'!$F$126:$J$126,'Scenario 2'!$F$129:$J$129))</f>
        <v>15638.705352310828</v>
      </c>
      <c r="AZ20" s="341">
        <f>IFERROR(INDEX('Scenario 2'!$F$132:$J$132,MATCH(AZ7,'Scenario 2'!$F$110:$J$110,0))/12,0)+IF($D$5=AZ$8,SUM('Scenario 2'!$F$126:$J$126,'Scenario 2'!$F$129:$J$129))</f>
        <v>15638.705352310828</v>
      </c>
      <c r="BA20" s="341">
        <f>IFERROR(INDEX('Scenario 2'!$F$132:$J$132,MATCH(BA7,'Scenario 2'!$F$110:$J$110,0))/12,0)+IF($D$5=BA$8,SUM('Scenario 2'!$F$126:$J$126,'Scenario 2'!$F$129:$J$129))</f>
        <v>15638.705352310828</v>
      </c>
      <c r="BB20" s="341">
        <f>IFERROR(INDEX('Scenario 2'!$F$132:$J$132,MATCH(BB7,'Scenario 2'!$F$110:$J$110,0))/12,0)+IF($D$5=BB$8,SUM('Scenario 2'!$F$126:$J$126,'Scenario 2'!$F$129:$J$129))</f>
        <v>15638.705352310828</v>
      </c>
      <c r="BC20" s="341">
        <f>IFERROR(INDEX('Scenario 2'!$F$132:$J$132,MATCH(BC7,'Scenario 2'!$F$110:$J$110,0))/12,0)+IF($D$5=BC$8,SUM('Scenario 2'!$F$126:$J$126,'Scenario 2'!$F$129:$J$129))</f>
        <v>8677.1446763268523</v>
      </c>
      <c r="BD20" s="341">
        <f>IFERROR(INDEX('Scenario 2'!$F$132:$J$132,MATCH(BD7,'Scenario 2'!$F$110:$J$110,0))/12,0)+IF($D$5=BD$8,SUM('Scenario 2'!$F$126:$J$126,'Scenario 2'!$F$129:$J$129))</f>
        <v>8677.1446763268523</v>
      </c>
      <c r="BE20" s="341">
        <f>IFERROR(INDEX('Scenario 2'!$F$132:$J$132,MATCH(BE7,'Scenario 2'!$F$110:$J$110,0))/12,0)+IF($D$5=BE$8,SUM('Scenario 2'!$F$126:$J$126,'Scenario 2'!$F$129:$J$129))</f>
        <v>8677.1446763268523</v>
      </c>
      <c r="BF20" s="341">
        <f>IFERROR(INDEX('Scenario 2'!$F$132:$J$132,MATCH(BF7,'Scenario 2'!$F$110:$J$110,0))/12,0)+IF($D$5=BF$8,SUM('Scenario 2'!$F$126:$J$126,'Scenario 2'!$F$129:$J$129))</f>
        <v>8677.1446763268523</v>
      </c>
      <c r="BG20" s="341">
        <f>IFERROR(INDEX('Scenario 2'!$F$132:$J$132,MATCH(BG7,'Scenario 2'!$F$110:$J$110,0))/12,0)+IF($D$5=BG$8,SUM('Scenario 2'!$F$126:$J$126,'Scenario 2'!$F$129:$J$129))</f>
        <v>8677.1446763268523</v>
      </c>
      <c r="BH20" s="341">
        <f>IFERROR(INDEX('Scenario 2'!$F$132:$J$132,MATCH(BH7,'Scenario 2'!$F$110:$J$110,0))/12,0)+IF($D$5=BH$8,SUM('Scenario 2'!$F$126:$J$126,'Scenario 2'!$F$129:$J$129))</f>
        <v>8677.1446763268523</v>
      </c>
      <c r="BI20" s="341">
        <f>IFERROR(INDEX('Scenario 2'!$F$132:$J$132,MATCH(BI7,'Scenario 2'!$F$110:$J$110,0))/12,0)+IF($D$5=BI$8,SUM('Scenario 2'!$F$126:$J$126,'Scenario 2'!$F$129:$J$129))</f>
        <v>8677.1446763268523</v>
      </c>
      <c r="BJ20" s="341">
        <f>IFERROR(INDEX('Scenario 2'!$F$132:$J$132,MATCH(BJ7,'Scenario 2'!$F$110:$J$110,0))/12,0)+IF($D$5=BJ$8,SUM('Scenario 2'!$F$126:$J$126,'Scenario 2'!$F$129:$J$129))</f>
        <v>8677.1446763268523</v>
      </c>
      <c r="BK20" s="341">
        <f>IFERROR(INDEX('Scenario 2'!$F$132:$J$132,MATCH(BK7,'Scenario 2'!$F$110:$J$110,0))/12,0)+IF($D$5=BK$8,SUM('Scenario 2'!$F$126:$J$126,'Scenario 2'!$F$129:$J$129))</f>
        <v>8677.1446763268523</v>
      </c>
      <c r="BL20" s="341">
        <f>IFERROR(INDEX('Scenario 2'!$F$132:$J$132,MATCH(BL7,'Scenario 2'!$F$110:$J$110,0))/12,0)+IF($D$5=BL$8,SUM('Scenario 2'!$F$126:$J$126,'Scenario 2'!$F$129:$J$129))</f>
        <v>8677.1446763268523</v>
      </c>
      <c r="BM20" s="341">
        <f>IFERROR(INDEX('Scenario 2'!$F$132:$J$132,MATCH(BM7,'Scenario 2'!$F$110:$J$110,0))/12,0)+IF($D$5=BM$8,SUM('Scenario 2'!$F$126:$J$126,'Scenario 2'!$F$129:$J$129))</f>
        <v>8677.1446763268523</v>
      </c>
      <c r="BN20" s="341">
        <f>IFERROR(INDEX('Scenario 2'!$F$132:$J$132,MATCH(BN7,'Scenario 2'!$F$110:$J$110,0))/12,0)+IF($D$5=BN$8,SUM('Scenario 2'!$F$126:$J$126,'Scenario 2'!$F$129:$J$129))</f>
        <v>3564804.6139190271</v>
      </c>
      <c r="BO20" s="341">
        <f>IFERROR(INDEX('Scenario 2'!$F$132:$J$132,MATCH(BO7,'Scenario 2'!$F$110:$J$110,0))/12,0)+IF($D$5=BO$8,SUM('Scenario 2'!$F$126:$J$126,'Scenario 2'!$F$129:$J$129))</f>
        <v>0</v>
      </c>
      <c r="BP20" s="341">
        <f>IFERROR(INDEX('Scenario 2'!$F$132:$J$132,MATCH(BP7,'Scenario 2'!$F$110:$J$110,0))/12,0)+IF($D$5=BP$8,SUM('Scenario 2'!$F$126:$J$126,'Scenario 2'!$F$129:$J$129))</f>
        <v>0</v>
      </c>
      <c r="BQ20" s="341">
        <f>IFERROR(INDEX('Scenario 2'!$F$132:$J$132,MATCH(BQ7,'Scenario 2'!$F$110:$J$110,0))/12,0)+IF($D$5=BQ$8,SUM('Scenario 2'!$F$126:$J$126,'Scenario 2'!$F$129:$J$129))</f>
        <v>0</v>
      </c>
      <c r="BR20" s="341">
        <f>IFERROR(INDEX('Scenario 2'!$F$132:$J$132,MATCH(BR7,'Scenario 2'!$F$110:$J$110,0))/12,0)+IF($D$5=BR$8,SUM('Scenario 2'!$F$126:$J$126,'Scenario 2'!$F$129:$J$129))</f>
        <v>0</v>
      </c>
      <c r="BS20" s="341">
        <f>IFERROR(INDEX('Scenario 2'!$F$132:$J$132,MATCH(BS7,'Scenario 2'!$F$110:$J$110,0))/12,0)+IF($D$5=BS$8,SUM('Scenario 2'!$F$126:$J$126,'Scenario 2'!$F$129:$J$129))</f>
        <v>0</v>
      </c>
      <c r="BT20" s="341">
        <f>IFERROR(INDEX('Scenario 2'!$F$132:$J$132,MATCH(BT7,'Scenario 2'!$F$110:$J$110,0))/12,0)+IF($D$5=BT$8,SUM('Scenario 2'!$F$126:$J$126,'Scenario 2'!$F$129:$J$129))</f>
        <v>0</v>
      </c>
      <c r="BU20" s="341">
        <f>IFERROR(INDEX('Scenario 2'!$F$132:$J$132,MATCH(BU7,'Scenario 2'!$F$110:$J$110,0))/12,0)+IF($D$5=BU$8,SUM('Scenario 2'!$F$126:$J$126,'Scenario 2'!$F$129:$J$129))</f>
        <v>0</v>
      </c>
      <c r="BV20" s="341">
        <f>IFERROR(INDEX('Scenario 2'!$F$132:$J$132,MATCH(BV7,'Scenario 2'!$F$110:$J$110,0))/12,0)+IF($D$5=BV$8,SUM('Scenario 2'!$F$126:$J$126,'Scenario 2'!$F$129:$J$129))</f>
        <v>0</v>
      </c>
      <c r="BW20" s="341">
        <f>IFERROR(INDEX('Scenario 2'!$F$132:$J$132,MATCH(BW7,'Scenario 2'!$F$110:$J$110,0))/12,0)+IF($D$5=BW$8,SUM('Scenario 2'!$F$126:$J$126,'Scenario 2'!$F$129:$J$129))</f>
        <v>0</v>
      </c>
      <c r="BX20" s="341">
        <f>IFERROR(INDEX('Scenario 2'!$F$132:$J$132,MATCH(BX7,'Scenario 2'!$F$110:$J$110,0))/12,0)+IF($D$5=BX$8,SUM('Scenario 2'!$F$126:$J$126,'Scenario 2'!$F$129:$J$129))</f>
        <v>0</v>
      </c>
      <c r="BY20" s="341">
        <f>IFERROR(INDEX('Scenario 2'!$F$132:$J$132,MATCH(BY7,'Scenario 2'!$F$110:$J$110,0))/12,0)+IF($D$5=BY$8,SUM('Scenario 2'!$F$126:$J$126,'Scenario 2'!$F$129:$J$129))</f>
        <v>0</v>
      </c>
      <c r="BZ20" s="341">
        <f>IFERROR(INDEX('Scenario 2'!$F$132:$J$132,MATCH(BZ7,'Scenario 2'!$F$110:$J$110,0))/12,0)+IF($D$5=BZ$8,SUM('Scenario 2'!$F$126:$J$126,'Scenario 2'!$F$129:$J$129))</f>
        <v>0</v>
      </c>
      <c r="CA20" s="341">
        <f>IFERROR(INDEX('Scenario 2'!$F$132:$J$132,MATCH(CA7,'Scenario 2'!$F$110:$J$110,0))/12,0)+IF($D$5=CA$8,SUM('Scenario 2'!$F$126:$J$126,'Scenario 2'!$F$129:$J$129))</f>
        <v>0</v>
      </c>
      <c r="CB20" s="341">
        <f>IFERROR(INDEX('Scenario 2'!$F$132:$J$132,MATCH(CB7,'Scenario 2'!$F$110:$J$110,0))/12,0)+IF($D$5=CB$8,SUM('Scenario 2'!$F$126:$J$126,'Scenario 2'!$F$129:$J$129))</f>
        <v>0</v>
      </c>
      <c r="CC20" s="341">
        <f>IFERROR(INDEX('Scenario 2'!$F$132:$J$132,MATCH(CC7,'Scenario 2'!$F$110:$J$110,0))/12,0)+IF($D$5=CC$8,SUM('Scenario 2'!$F$126:$J$126,'Scenario 2'!$F$129:$J$129))</f>
        <v>0</v>
      </c>
      <c r="CD20" s="341">
        <f>IFERROR(INDEX('Scenario 2'!$F$132:$J$132,MATCH(CD7,'Scenario 2'!$F$110:$J$110,0))/12,0)+IF($D$5=CD$8,SUM('Scenario 2'!$F$126:$J$126,'Scenario 2'!$F$129:$J$129))</f>
        <v>0</v>
      </c>
      <c r="CE20" s="341">
        <f>IFERROR(INDEX('Scenario 2'!$F$132:$J$132,MATCH(CE7,'Scenario 2'!$F$110:$J$110,0))/12,0)+IF($D$5=CE$8,SUM('Scenario 2'!$F$126:$J$126,'Scenario 2'!$F$129:$J$129))</f>
        <v>0</v>
      </c>
      <c r="CF20" s="341">
        <f>IFERROR(INDEX('Scenario 2'!$F$132:$J$132,MATCH(CF7,'Scenario 2'!$F$110:$J$110,0))/12,0)+IF($D$5=CF$8,SUM('Scenario 2'!$F$126:$J$126,'Scenario 2'!$F$129:$J$129))</f>
        <v>0</v>
      </c>
      <c r="CG20" s="341">
        <f>IFERROR(INDEX('Scenario 2'!$F$132:$J$132,MATCH(CG7,'Scenario 2'!$F$110:$J$110,0))/12,0)+IF($D$5=CG$8,SUM('Scenario 2'!$F$126:$J$126,'Scenario 2'!$F$129:$J$129))</f>
        <v>0</v>
      </c>
      <c r="CH20" s="341">
        <f>IFERROR(INDEX('Scenario 2'!$F$132:$J$132,MATCH(CH7,'Scenario 2'!$F$110:$J$110,0))/12,0)+IF($D$5=CH$8,SUM('Scenario 2'!$F$126:$J$126,'Scenario 2'!$F$129:$J$129))</f>
        <v>0</v>
      </c>
      <c r="CI20" s="341">
        <f>IFERROR(INDEX('Scenario 2'!$F$132:$J$132,MATCH(CI7,'Scenario 2'!$F$110:$J$110,0))/12,0)+IF($D$5=CI$8,SUM('Scenario 2'!$F$126:$J$126,'Scenario 2'!$F$129:$J$129))</f>
        <v>0</v>
      </c>
      <c r="CJ20" s="341">
        <f>IFERROR(INDEX('Scenario 2'!$F$132:$J$132,MATCH(CJ7,'Scenario 2'!$F$110:$J$110,0))/12,0)+IF($D$5=CJ$8,SUM('Scenario 2'!$F$126:$J$126,'Scenario 2'!$F$129:$J$129))</f>
        <v>0</v>
      </c>
      <c r="CK20" s="341">
        <f>IFERROR(INDEX('Scenario 2'!$F$132:$J$132,MATCH(CK7,'Scenario 2'!$F$110:$J$110,0))/12,0)+IF($D$5=CK$8,SUM('Scenario 2'!$F$126:$J$126,'Scenario 2'!$F$129:$J$129))</f>
        <v>0</v>
      </c>
      <c r="CL20" s="341">
        <f>IFERROR(INDEX('Scenario 2'!$F$132:$J$132,MATCH(CL7,'Scenario 2'!$F$110:$J$110,0))/12,0)+IF($D$5=CL$8,SUM('Scenario 2'!$F$126:$J$126,'Scenario 2'!$F$129:$J$129))</f>
        <v>0</v>
      </c>
      <c r="CM20" s="341">
        <f>IFERROR(INDEX('Scenario 2'!$F$132:$J$132,MATCH(CM7,'Scenario 2'!$F$110:$J$110,0))/12,0)+IF($D$5=CM$8,SUM('Scenario 2'!$F$126:$J$126,'Scenario 2'!$F$129:$J$129))</f>
        <v>0</v>
      </c>
      <c r="CN20" s="341">
        <f>IFERROR(INDEX('Scenario 2'!$F$132:$J$132,MATCH(CN7,'Scenario 2'!$F$110:$J$110,0))/12,0)+IF($D$5=CN$8,SUM('Scenario 2'!$F$126:$J$126,'Scenario 2'!$F$129:$J$129))</f>
        <v>0</v>
      </c>
      <c r="CO20" s="341">
        <f>IFERROR(INDEX('Scenario 2'!$F$132:$J$132,MATCH(CO7,'Scenario 2'!$F$110:$J$110,0))/12,0)+IF($D$5=CO$8,SUM('Scenario 2'!$F$126:$J$126,'Scenario 2'!$F$129:$J$129))</f>
        <v>0</v>
      </c>
      <c r="CP20" s="341">
        <f>IFERROR(INDEX('Scenario 2'!$F$132:$J$132,MATCH(CP7,'Scenario 2'!$F$110:$J$110,0))/12,0)+IF($D$5=CP$8,SUM('Scenario 2'!$F$126:$J$126,'Scenario 2'!$F$129:$J$129))</f>
        <v>0</v>
      </c>
      <c r="CQ20" s="341">
        <f>IFERROR(INDEX('Scenario 2'!$F$132:$J$132,MATCH(CQ7,'Scenario 2'!$F$110:$J$110,0))/12,0)+IF($D$5=CQ$8,SUM('Scenario 2'!$F$126:$J$126,'Scenario 2'!$F$129:$J$129))</f>
        <v>0</v>
      </c>
      <c r="CR20" s="341">
        <f>IFERROR(INDEX('Scenario 2'!$F$132:$J$132,MATCH(CR7,'Scenario 2'!$F$110:$J$110,0))/12,0)+IF($D$5=CR$8,SUM('Scenario 2'!$F$126:$J$126,'Scenario 2'!$F$129:$J$129))</f>
        <v>0</v>
      </c>
      <c r="CS20" s="341">
        <f>IFERROR(INDEX('Scenario 2'!$F$132:$J$132,MATCH(CS7,'Scenario 2'!$F$110:$J$110,0))/12,0)+IF($D$5=CS$8,SUM('Scenario 2'!$F$126:$J$126,'Scenario 2'!$F$129:$J$129))</f>
        <v>0</v>
      </c>
      <c r="CT20" s="341">
        <f>IFERROR(INDEX('Scenario 2'!$F$132:$J$132,MATCH(CT7,'Scenario 2'!$F$110:$J$110,0))/12,0)+IF($D$5=CT$8,SUM('Scenario 2'!$F$126:$J$126,'Scenario 2'!$F$129:$J$129))</f>
        <v>0</v>
      </c>
      <c r="CU20" s="341">
        <f>IFERROR(INDEX('Scenario 2'!$F$132:$J$132,MATCH(CU7,'Scenario 2'!$F$110:$J$110,0))/12,0)+IF($D$5=CU$8,SUM('Scenario 2'!$F$126:$J$126,'Scenario 2'!$F$129:$J$129))</f>
        <v>0</v>
      </c>
      <c r="CV20" s="341">
        <f>IFERROR(INDEX('Scenario 2'!$F$132:$J$132,MATCH(CV7,'Scenario 2'!$F$110:$J$110,0))/12,0)+IF($D$5=CV$8,SUM('Scenario 2'!$F$126:$J$126,'Scenario 2'!$F$129:$J$129))</f>
        <v>0</v>
      </c>
      <c r="CW20" s="341">
        <f>IFERROR(INDEX('Scenario 2'!$F$132:$J$132,MATCH(CW7,'Scenario 2'!$F$110:$J$110,0))/12,0)+IF($D$5=CW$8,SUM('Scenario 2'!$F$126:$J$126,'Scenario 2'!$F$129:$J$129))</f>
        <v>0</v>
      </c>
      <c r="CX20" s="341">
        <f>IFERROR(INDEX('Scenario 2'!$F$132:$J$132,MATCH(CX7,'Scenario 2'!$F$110:$J$110,0))/12,0)+IF($D$5=CX$8,SUM('Scenario 2'!$F$126:$J$126,'Scenario 2'!$F$129:$J$129))</f>
        <v>0</v>
      </c>
      <c r="CY20" s="341">
        <f>IFERROR(INDEX('Scenario 2'!$F$132:$J$132,MATCH(CY7,'Scenario 2'!$F$110:$J$110,0))/12,0)+IF($D$5=CY$8,SUM('Scenario 2'!$F$126:$J$126,'Scenario 2'!$F$129:$J$129))</f>
        <v>0</v>
      </c>
      <c r="CZ20" s="341">
        <f>IFERROR(INDEX('Scenario 2'!$F$132:$J$132,MATCH(CZ7,'Scenario 2'!$F$110:$J$110,0))/12,0)+IF($D$5=CZ$8,SUM('Scenario 2'!$F$126:$J$126,'Scenario 2'!$F$129:$J$129))</f>
        <v>0</v>
      </c>
      <c r="DA20" s="341">
        <f>IFERROR(INDEX('Scenario 2'!$F$132:$J$132,MATCH(DA7,'Scenario 2'!$F$110:$J$110,0))/12,0)+IF($D$5=DA$8,SUM('Scenario 2'!$F$126:$J$126,'Scenario 2'!$F$129:$J$129))</f>
        <v>0</v>
      </c>
      <c r="DB20" s="341">
        <f>IFERROR(INDEX('Scenario 2'!$F$132:$J$132,MATCH(DB7,'Scenario 2'!$F$110:$J$110,0))/12,0)+IF($D$5=DB$8,SUM('Scenario 2'!$F$126:$J$126,'Scenario 2'!$F$129:$J$129))</f>
        <v>0</v>
      </c>
      <c r="DC20" s="341">
        <f>IFERROR(INDEX('Scenario 2'!$F$132:$J$132,MATCH(DC7,'Scenario 2'!$F$110:$J$110,0))/12,0)+IF($D$5=DC$8,SUM('Scenario 2'!$F$126:$J$126,'Scenario 2'!$F$129:$J$129))</f>
        <v>0</v>
      </c>
      <c r="DD20" s="341">
        <f>IFERROR(INDEX('Scenario 2'!$F$132:$J$132,MATCH(DD7,'Scenario 2'!$F$110:$J$110,0))/12,0)+IF($D$5=DD$8,SUM('Scenario 2'!$F$126:$J$126,'Scenario 2'!$F$129:$J$129))</f>
        <v>0</v>
      </c>
      <c r="DE20" s="341">
        <f>IFERROR(INDEX('Scenario 2'!$F$132:$J$132,MATCH(DE7,'Scenario 2'!$F$110:$J$110,0))/12,0)+IF($D$5=DE$8,SUM('Scenario 2'!$F$126:$J$126,'Scenario 2'!$F$129:$J$129))</f>
        <v>0</v>
      </c>
      <c r="DF20" s="341">
        <f>IFERROR(INDEX('Scenario 2'!$F$132:$J$132,MATCH(DF7,'Scenario 2'!$F$110:$J$110,0))/12,0)+IF($D$5=DF$8,SUM('Scenario 2'!$F$126:$J$126,'Scenario 2'!$F$129:$J$129))</f>
        <v>0</v>
      </c>
      <c r="DG20" s="341">
        <f>IFERROR(INDEX('Scenario 2'!$F$132:$J$132,MATCH(DG7,'Scenario 2'!$F$110:$J$110,0))/12,0)+IF($D$5=DG$8,SUM('Scenario 2'!$F$126:$J$126,'Scenario 2'!$F$129:$J$129))</f>
        <v>0</v>
      </c>
      <c r="DH20" s="341">
        <f>IFERROR(INDEX('Scenario 2'!$F$132:$J$132,MATCH(DH7,'Scenario 2'!$F$110:$J$110,0))/12,0)+IF($D$5=DH$8,SUM('Scenario 2'!$F$126:$J$126,'Scenario 2'!$F$129:$J$129))</f>
        <v>0</v>
      </c>
      <c r="DI20" s="341">
        <f>IFERROR(INDEX('Scenario 2'!$F$132:$J$132,MATCH(DI7,'Scenario 2'!$F$110:$J$110,0))/12,0)+IF($D$5=DI$8,SUM('Scenario 2'!$F$126:$J$126,'Scenario 2'!$F$129:$J$129))</f>
        <v>0</v>
      </c>
      <c r="DJ20" s="341">
        <f>IFERROR(INDEX('Scenario 2'!$F$132:$J$132,MATCH(DJ7,'Scenario 2'!$F$110:$J$110,0))/12,0)+IF($D$5=DJ$8,SUM('Scenario 2'!$F$126:$J$126,'Scenario 2'!$F$129:$J$129))</f>
        <v>0</v>
      </c>
      <c r="DK20" s="341">
        <f>IFERROR(INDEX('Scenario 2'!$F$132:$J$132,MATCH(DK7,'Scenario 2'!$F$110:$J$110,0))/12,0)+IF($D$5=DK$8,SUM('Scenario 2'!$F$126:$J$126,'Scenario 2'!$F$129:$J$129))</f>
        <v>0</v>
      </c>
      <c r="DL20" s="341">
        <f>IFERROR(INDEX('Scenario 2'!$F$132:$J$132,MATCH(DL7,'Scenario 2'!$F$110:$J$110,0))/12,0)+IF($D$5=DL$8,SUM('Scenario 2'!$F$126:$J$126,'Scenario 2'!$F$129:$J$129))</f>
        <v>0</v>
      </c>
      <c r="DM20" s="341">
        <f>IFERROR(INDEX('Scenario 2'!$F$132:$J$132,MATCH(DM7,'Scenario 2'!$F$110:$J$110,0))/12,0)+IF($D$5=DM$8,SUM('Scenario 2'!$F$126:$J$126,'Scenario 2'!$F$129:$J$129))</f>
        <v>0</v>
      </c>
      <c r="DN20" s="341">
        <f>IFERROR(INDEX('Scenario 2'!$F$132:$J$132,MATCH(DN7,'Scenario 2'!$F$110:$J$110,0))/12,0)+IF($D$5=DN$8,SUM('Scenario 2'!$F$126:$J$126,'Scenario 2'!$F$129:$J$129))</f>
        <v>0</v>
      </c>
      <c r="DO20" s="341">
        <f>IFERROR(INDEX('Scenario 2'!$F$132:$J$132,MATCH(DO7,'Scenario 2'!$F$110:$J$110,0))/12,0)+IF($D$5=DO$8,SUM('Scenario 2'!$F$126:$J$126,'Scenario 2'!$F$129:$J$129))</f>
        <v>0</v>
      </c>
      <c r="DP20" s="341">
        <f>IFERROR(INDEX('Scenario 2'!$F$132:$J$132,MATCH(DP7,'Scenario 2'!$F$110:$J$110,0))/12,0)+IF($D$5=DP$8,SUM('Scenario 2'!$F$126:$J$126,'Scenario 2'!$F$129:$J$129))</f>
        <v>0</v>
      </c>
      <c r="DQ20" s="341">
        <f>IFERROR(INDEX('Scenario 2'!$F$132:$J$132,MATCH(DQ7,'Scenario 2'!$F$110:$J$110,0))/12,0)+IF($D$5=DQ$8,SUM('Scenario 2'!$F$126:$J$126,'Scenario 2'!$F$129:$J$129))</f>
        <v>0</v>
      </c>
      <c r="DR20" s="341">
        <f>IFERROR(INDEX('Scenario 2'!$F$132:$J$132,MATCH(DR7,'Scenario 2'!$F$110:$J$110,0))/12,0)+IF($D$5=DR$8,SUM('Scenario 2'!$F$126:$J$126,'Scenario 2'!$F$129:$J$129))</f>
        <v>0</v>
      </c>
      <c r="DS20" s="341">
        <f>IFERROR(INDEX('Scenario 2'!$F$132:$J$132,MATCH(DS7,'Scenario 2'!$F$110:$J$110,0))/12,0)+IF($D$5=DS$8,SUM('Scenario 2'!$F$126:$J$126,'Scenario 2'!$F$129:$J$129))</f>
        <v>0</v>
      </c>
      <c r="DT20" s="341">
        <f>IFERROR(INDEX('Scenario 2'!$F$132:$J$132,MATCH(DT7,'Scenario 2'!$F$110:$J$110,0))/12,0)+IF($D$5=DT$8,SUM('Scenario 2'!$F$126:$J$126,'Scenario 2'!$F$129:$J$129))</f>
        <v>0</v>
      </c>
      <c r="DU20" s="341">
        <f>IFERROR(INDEX('Scenario 2'!$F$132:$J$132,MATCH(DU7,'Scenario 2'!$F$110:$J$110,0))/12,0)+IF($D$5=DU$8,SUM('Scenario 2'!$F$126:$J$126,'Scenario 2'!$F$129:$J$129))</f>
        <v>0</v>
      </c>
      <c r="DV20" s="341">
        <f>IFERROR(INDEX('Scenario 2'!$F$132:$J$132,MATCH(DV7,'Scenario 2'!$F$110:$J$110,0))/12,0)+IF($D$5=DV$8,SUM('Scenario 2'!$F$126:$J$126,'Scenario 2'!$F$129:$J$129))</f>
        <v>0</v>
      </c>
      <c r="DW20" s="322" t="s">
        <v>372</v>
      </c>
    </row>
    <row r="21" spans="3:127" ht="17.25" thickTop="1" x14ac:dyDescent="0.3">
      <c r="F21" s="357">
        <f>SUM($F20:F20)</f>
        <v>-1823000</v>
      </c>
      <c r="G21" s="357">
        <f>SUM($F20:G20)</f>
        <v>-1810125.8341666667</v>
      </c>
      <c r="H21" s="357">
        <f>SUM($F20:H20)</f>
        <v>-1797251.6683333335</v>
      </c>
      <c r="I21" s="357">
        <f>SUM($F20:I20)</f>
        <v>-1784377.5025000002</v>
      </c>
      <c r="J21" s="357">
        <f>SUM($F20:J20)</f>
        <v>-1771503.3366666669</v>
      </c>
      <c r="K21" s="357">
        <f>SUM($F20:K20)</f>
        <v>-1758629.1708333336</v>
      </c>
      <c r="L21" s="357">
        <f>SUM($F20:L20)</f>
        <v>-1745755.0050000004</v>
      </c>
      <c r="M21" s="357">
        <f>SUM($F20:M20)</f>
        <v>-1732880.8391666671</v>
      </c>
      <c r="N21" s="357">
        <f>SUM($F20:N20)</f>
        <v>-1720006.6733333338</v>
      </c>
      <c r="O21" s="357">
        <f>SUM($F20:O20)</f>
        <v>-1707132.5075000005</v>
      </c>
      <c r="P21" s="357">
        <f>SUM($F20:P20)</f>
        <v>-1694258.3416666673</v>
      </c>
      <c r="Q21" s="357">
        <f>SUM($F20:Q20)</f>
        <v>-1681384.175833334</v>
      </c>
      <c r="R21" s="357">
        <f>SUM($F20:R20)</f>
        <v>-1668510.0100000007</v>
      </c>
      <c r="S21" s="357">
        <f>SUM($F20:S20)</f>
        <v>-1654741.4316916673</v>
      </c>
      <c r="T21" s="357">
        <f>SUM($F20:T20)</f>
        <v>-1640972.8533833339</v>
      </c>
      <c r="U21" s="357">
        <f>SUM($F20:U20)</f>
        <v>-1627204.2750750005</v>
      </c>
      <c r="V21" s="357">
        <f>SUM($F20:V20)</f>
        <v>-1613435.6967666671</v>
      </c>
      <c r="W21" s="357">
        <f>SUM($F20:W20)</f>
        <v>-1599667.1184583337</v>
      </c>
      <c r="X21" s="357">
        <f>SUM($F20:X20)</f>
        <v>-1585898.5401500002</v>
      </c>
      <c r="Y21" s="357">
        <f>SUM($F20:Y20)</f>
        <v>-1572129.9618416668</v>
      </c>
      <c r="Z21" s="357">
        <f>SUM($F20:Z20)</f>
        <v>-1558361.3835333334</v>
      </c>
      <c r="AA21" s="357">
        <f>SUM($F20:AA20)</f>
        <v>-1544592.805225</v>
      </c>
      <c r="AB21" s="357">
        <f>SUM($F20:AB20)</f>
        <v>-1530824.2269166666</v>
      </c>
      <c r="AC21" s="357">
        <f>SUM($F20:AC20)</f>
        <v>-1517055.6486083332</v>
      </c>
      <c r="AD21" s="357">
        <f>SUM($F20:AD20)</f>
        <v>-1503287.0702999998</v>
      </c>
      <c r="AE21" s="357">
        <f>SUM($F20:AE20)</f>
        <v>-1488597.2471424164</v>
      </c>
      <c r="AF21" s="357">
        <f>SUM($F20:AF20)</f>
        <v>-1473907.4239848331</v>
      </c>
      <c r="AG21" s="357">
        <f>SUM($F20:AG20)</f>
        <v>-1459217.6008272497</v>
      </c>
      <c r="AH21" s="357">
        <f>SUM($F20:AH20)</f>
        <v>-1444527.7776696663</v>
      </c>
      <c r="AI21" s="357">
        <f>SUM($F20:AI20)</f>
        <v>-1429837.954512083</v>
      </c>
      <c r="AJ21" s="357">
        <f>SUM($F20:AJ20)</f>
        <v>-1415148.1313544996</v>
      </c>
      <c r="AK21" s="357">
        <f>SUM($F20:AK20)</f>
        <v>-1400458.3081969162</v>
      </c>
      <c r="AL21" s="357">
        <f>SUM($F20:AL20)</f>
        <v>-1385768.4850393329</v>
      </c>
      <c r="AM21" s="357">
        <f>SUM($F20:AM20)</f>
        <v>-1371078.6618817495</v>
      </c>
      <c r="AN21" s="357">
        <f>SUM($F20:AN20)</f>
        <v>-1356388.8387241662</v>
      </c>
      <c r="AO21" s="357">
        <f>SUM($F20:AO20)</f>
        <v>-1341699.0155665828</v>
      </c>
      <c r="AP21" s="357">
        <f>SUM($F20:AP20)</f>
        <v>-1327009.1924089994</v>
      </c>
      <c r="AQ21" s="357">
        <f>SUM($F20:AQ20)</f>
        <v>-1311370.4870566886</v>
      </c>
      <c r="AR21" s="357">
        <f>SUM($F20:AR20)</f>
        <v>-1295731.7817043778</v>
      </c>
      <c r="AS21" s="357">
        <f>SUM($F20:AS20)</f>
        <v>-1280093.0763520671</v>
      </c>
      <c r="AT21" s="357">
        <f>SUM($F20:AT20)</f>
        <v>-1264454.3709997563</v>
      </c>
      <c r="AU21" s="357">
        <f>SUM($F20:AU20)</f>
        <v>-1248815.6656474455</v>
      </c>
      <c r="AV21" s="357">
        <f>SUM($F20:AV20)</f>
        <v>-1233176.9602951347</v>
      </c>
      <c r="AW21" s="357">
        <f>SUM($F20:AW20)</f>
        <v>-1217538.2549428239</v>
      </c>
      <c r="AX21" s="357">
        <f>SUM($F20:AX20)</f>
        <v>-1201899.5495905131</v>
      </c>
      <c r="AY21" s="357">
        <f>SUM($F20:AY20)</f>
        <v>-1186260.8442382023</v>
      </c>
      <c r="AZ21" s="357">
        <f>SUM($F20:AZ20)</f>
        <v>-1170622.1388858915</v>
      </c>
      <c r="BA21" s="357">
        <f>SUM($F20:BA20)</f>
        <v>-1154983.4335335807</v>
      </c>
      <c r="BB21" s="357">
        <f>SUM($F20:BB20)</f>
        <v>-1139344.72818127</v>
      </c>
      <c r="BC21" s="357">
        <f>SUM($F20:BC20)</f>
        <v>-1130667.5835049432</v>
      </c>
      <c r="BD21" s="357">
        <f>SUM($F20:BD20)</f>
        <v>-1121990.4388286164</v>
      </c>
      <c r="BE21" s="357">
        <f>SUM($F20:BE20)</f>
        <v>-1113313.2941522896</v>
      </c>
      <c r="BF21" s="357">
        <f>SUM($F20:BF20)</f>
        <v>-1104636.1494759629</v>
      </c>
      <c r="BG21" s="357">
        <f>SUM($F20:BG20)</f>
        <v>-1095959.0047996361</v>
      </c>
      <c r="BH21" s="357">
        <f>SUM($F20:BH20)</f>
        <v>-1087281.8601233093</v>
      </c>
      <c r="BI21" s="357">
        <f>SUM($F20:BI20)</f>
        <v>-1078604.7154469825</v>
      </c>
      <c r="BJ21" s="357">
        <f>SUM($F20:BJ20)</f>
        <v>-1069927.5707706558</v>
      </c>
      <c r="BK21" s="357">
        <f>SUM($F20:BK20)</f>
        <v>-1061250.426094329</v>
      </c>
      <c r="BL21" s="357">
        <f>SUM($F20:BL20)</f>
        <v>-1052573.2814180022</v>
      </c>
      <c r="BM21" s="357">
        <f>SUM($F20:BM20)</f>
        <v>-1043896.1367416753</v>
      </c>
      <c r="BN21" s="357">
        <f>SUM($F20:BN20)</f>
        <v>2520908.4771773517</v>
      </c>
      <c r="BO21" s="357">
        <f>SUM($F20:BO20)</f>
        <v>2520908.4771773517</v>
      </c>
      <c r="BP21" s="357">
        <f>SUM($F20:BP20)</f>
        <v>2520908.4771773517</v>
      </c>
      <c r="BQ21" s="357">
        <f>SUM($F20:BQ20)</f>
        <v>2520908.4771773517</v>
      </c>
      <c r="BR21" s="357">
        <f>SUM($F20:BR20)</f>
        <v>2520908.4771773517</v>
      </c>
      <c r="BS21" s="357">
        <f>SUM($F20:BS20)</f>
        <v>2520908.4771773517</v>
      </c>
      <c r="BT21" s="357">
        <f>SUM($F20:BT20)</f>
        <v>2520908.4771773517</v>
      </c>
      <c r="BU21" s="357">
        <f>SUM($F20:BU20)</f>
        <v>2520908.4771773517</v>
      </c>
      <c r="BV21" s="357">
        <f>SUM($F20:BV20)</f>
        <v>2520908.4771773517</v>
      </c>
      <c r="BW21" s="357">
        <f>SUM($F20:BW20)</f>
        <v>2520908.4771773517</v>
      </c>
      <c r="BX21" s="357">
        <f>SUM($F20:BX20)</f>
        <v>2520908.4771773517</v>
      </c>
      <c r="BY21" s="357">
        <f>SUM($F20:BY20)</f>
        <v>2520908.4771773517</v>
      </c>
      <c r="BZ21" s="357">
        <f>SUM($F20:BZ20)</f>
        <v>2520908.4771773517</v>
      </c>
      <c r="CA21" s="357">
        <f>SUM($F20:CA20)</f>
        <v>2520908.4771773517</v>
      </c>
      <c r="CB21" s="357">
        <f>SUM($F20:CB20)</f>
        <v>2520908.4771773517</v>
      </c>
      <c r="CC21" s="357">
        <f>SUM($F20:CC20)</f>
        <v>2520908.4771773517</v>
      </c>
      <c r="CD21" s="357">
        <f>SUM($F20:CD20)</f>
        <v>2520908.4771773517</v>
      </c>
      <c r="CE21" s="357">
        <f>SUM($F20:CE20)</f>
        <v>2520908.4771773517</v>
      </c>
      <c r="CF21" s="357">
        <f>SUM($F20:CF20)</f>
        <v>2520908.4771773517</v>
      </c>
      <c r="CG21" s="357">
        <f>SUM($F20:CG20)</f>
        <v>2520908.4771773517</v>
      </c>
      <c r="CH21" s="357">
        <f>SUM($F20:CH20)</f>
        <v>2520908.4771773517</v>
      </c>
      <c r="CI21" s="357">
        <f>SUM($F20:CI20)</f>
        <v>2520908.4771773517</v>
      </c>
      <c r="CJ21" s="357">
        <f>SUM($F20:CJ20)</f>
        <v>2520908.4771773517</v>
      </c>
      <c r="CK21" s="357">
        <f>SUM($F20:CK20)</f>
        <v>2520908.4771773517</v>
      </c>
      <c r="CL21" s="357">
        <f>SUM($F20:CL20)</f>
        <v>2520908.4771773517</v>
      </c>
      <c r="CM21" s="357">
        <f>SUM($F20:CM20)</f>
        <v>2520908.4771773517</v>
      </c>
      <c r="CN21" s="357">
        <f>SUM($F20:CN20)</f>
        <v>2520908.4771773517</v>
      </c>
      <c r="CO21" s="357">
        <f>SUM($F20:CO20)</f>
        <v>2520908.4771773517</v>
      </c>
      <c r="CP21" s="357">
        <f>SUM($F20:CP20)</f>
        <v>2520908.4771773517</v>
      </c>
      <c r="CQ21" s="357">
        <f>SUM($F20:CQ20)</f>
        <v>2520908.4771773517</v>
      </c>
      <c r="CR21" s="357">
        <f>SUM($F20:CR20)</f>
        <v>2520908.4771773517</v>
      </c>
      <c r="CS21" s="357">
        <f>SUM($F20:CS20)</f>
        <v>2520908.4771773517</v>
      </c>
      <c r="CT21" s="357">
        <f>SUM($F20:CT20)</f>
        <v>2520908.4771773517</v>
      </c>
      <c r="CU21" s="357">
        <f>SUM($F20:CU20)</f>
        <v>2520908.4771773517</v>
      </c>
      <c r="CV21" s="357">
        <f>SUM($F20:CV20)</f>
        <v>2520908.4771773517</v>
      </c>
      <c r="CW21" s="357">
        <f>SUM($F20:CW20)</f>
        <v>2520908.4771773517</v>
      </c>
      <c r="CX21" s="357">
        <f>SUM($F20:CX20)</f>
        <v>2520908.4771773517</v>
      </c>
      <c r="CY21" s="357">
        <f>SUM($F20:CY20)</f>
        <v>2520908.4771773517</v>
      </c>
      <c r="CZ21" s="357">
        <f>SUM($F20:CZ20)</f>
        <v>2520908.4771773517</v>
      </c>
      <c r="DA21" s="357">
        <f>SUM($F20:DA20)</f>
        <v>2520908.4771773517</v>
      </c>
      <c r="DB21" s="357">
        <f>SUM($F20:DB20)</f>
        <v>2520908.4771773517</v>
      </c>
      <c r="DC21" s="357">
        <f>SUM($F20:DC20)</f>
        <v>2520908.4771773517</v>
      </c>
      <c r="DD21" s="357">
        <f>SUM($F20:DD20)</f>
        <v>2520908.4771773517</v>
      </c>
      <c r="DE21" s="357">
        <f>SUM($F20:DE20)</f>
        <v>2520908.4771773517</v>
      </c>
      <c r="DF21" s="357">
        <f>SUM($F20:DF20)</f>
        <v>2520908.4771773517</v>
      </c>
      <c r="DG21" s="357">
        <f>SUM($F20:DG20)</f>
        <v>2520908.4771773517</v>
      </c>
      <c r="DH21" s="357">
        <f>SUM($F20:DH20)</f>
        <v>2520908.4771773517</v>
      </c>
      <c r="DI21" s="357">
        <f>SUM($F20:DI20)</f>
        <v>2520908.4771773517</v>
      </c>
      <c r="DJ21" s="357">
        <f>SUM($F20:DJ20)</f>
        <v>2520908.4771773517</v>
      </c>
      <c r="DK21" s="357">
        <f>SUM($F20:DK20)</f>
        <v>2520908.4771773517</v>
      </c>
      <c r="DL21" s="357">
        <f>SUM($F20:DL20)</f>
        <v>2520908.4771773517</v>
      </c>
      <c r="DM21" s="357">
        <f>SUM($F20:DM20)</f>
        <v>2520908.4771773517</v>
      </c>
      <c r="DN21" s="357">
        <f>SUM($F20:DN20)</f>
        <v>2520908.4771773517</v>
      </c>
      <c r="DO21" s="357">
        <f>SUM($F20:DO20)</f>
        <v>2520908.4771773517</v>
      </c>
      <c r="DP21" s="357">
        <f>SUM($F20:DP20)</f>
        <v>2520908.4771773517</v>
      </c>
      <c r="DQ21" s="357">
        <f>SUM($F20:DQ20)</f>
        <v>2520908.4771773517</v>
      </c>
      <c r="DR21" s="357">
        <f>SUM($F20:DR20)</f>
        <v>2520908.4771773517</v>
      </c>
      <c r="DS21" s="357">
        <f>SUM($F20:DS20)</f>
        <v>2520908.4771773517</v>
      </c>
      <c r="DT21" s="357">
        <f>SUM($F20:DT20)</f>
        <v>2520908.4771773517</v>
      </c>
      <c r="DU21" s="357">
        <f>SUM($F20:DU20)</f>
        <v>2520908.4771773517</v>
      </c>
      <c r="DV21" s="357">
        <f>SUM($F20:DV20)</f>
        <v>2520908.4771773517</v>
      </c>
      <c r="DW21" s="322" t="s">
        <v>372</v>
      </c>
    </row>
    <row r="22" spans="3:127" x14ac:dyDescent="0.3">
      <c r="C22" s="344" t="s">
        <v>383</v>
      </c>
      <c r="D22" s="345"/>
      <c r="E22" s="346"/>
      <c r="G22" s="332"/>
      <c r="DW22" s="322" t="s">
        <v>372</v>
      </c>
    </row>
    <row r="23" spans="3:127" x14ac:dyDescent="0.3">
      <c r="C23" s="347" t="s">
        <v>291</v>
      </c>
      <c r="D23" s="348">
        <f ca="1">XIRR(F20:DV20,$F$9:$DV$9)</f>
        <v>0.21908336281776433</v>
      </c>
      <c r="E23" s="349"/>
      <c r="G23" s="332"/>
      <c r="DW23" s="322" t="s">
        <v>372</v>
      </c>
    </row>
    <row r="24" spans="3:127" x14ac:dyDescent="0.3">
      <c r="C24" s="350" t="s">
        <v>290</v>
      </c>
      <c r="D24" s="351" cm="1">
        <f t="array" ref="D24">SUMPRODUCT(--(F20:DV20&gt;0),F20:DV20)/-SUMPRODUCT(--(F20:DV20&lt;0),F20:DV20)</f>
        <v>2.382835149301894</v>
      </c>
      <c r="E24" s="352"/>
      <c r="DW24" s="322" t="s">
        <v>372</v>
      </c>
    </row>
    <row r="25" spans="3:127" x14ac:dyDescent="0.3">
      <c r="C25" s="353" t="s">
        <v>349</v>
      </c>
      <c r="D25" s="354">
        <f>SUM(F20:DV20)</f>
        <v>2520908.4771773517</v>
      </c>
      <c r="E25" s="355"/>
      <c r="G25" s="358"/>
      <c r="DW25" s="322" t="s">
        <v>372</v>
      </c>
    </row>
    <row r="26" spans="3:127" x14ac:dyDescent="0.3">
      <c r="DW26" s="322" t="s">
        <v>372</v>
      </c>
    </row>
    <row r="27" spans="3:127" hidden="1" outlineLevel="1" x14ac:dyDescent="0.3">
      <c r="C27" s="359">
        <v>1</v>
      </c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60"/>
      <c r="V27" s="360"/>
      <c r="W27" s="360"/>
      <c r="X27" s="360"/>
      <c r="Y27" s="360"/>
      <c r="Z27" s="360"/>
      <c r="AA27" s="360"/>
      <c r="AB27" s="360"/>
      <c r="AC27" s="360"/>
      <c r="AD27" s="360"/>
      <c r="AE27" s="360"/>
      <c r="AF27" s="360"/>
      <c r="AG27" s="360"/>
      <c r="AH27" s="360"/>
      <c r="AI27" s="360"/>
      <c r="AJ27" s="360"/>
      <c r="AK27" s="360"/>
      <c r="AL27" s="360"/>
      <c r="AM27" s="360"/>
      <c r="AN27" s="360"/>
      <c r="AO27" s="360"/>
      <c r="AP27" s="360"/>
      <c r="AQ27" s="360"/>
      <c r="AR27" s="360"/>
      <c r="AS27" s="360"/>
      <c r="AT27" s="360"/>
      <c r="AU27" s="360"/>
      <c r="AV27" s="360"/>
      <c r="AW27" s="360"/>
      <c r="AX27" s="360"/>
      <c r="AY27" s="360"/>
      <c r="AZ27" s="360"/>
      <c r="BA27" s="360"/>
      <c r="BB27" s="360"/>
      <c r="BC27" s="360"/>
      <c r="BD27" s="360"/>
      <c r="BE27" s="360"/>
      <c r="BF27" s="360"/>
      <c r="BG27" s="360"/>
      <c r="BH27" s="360"/>
      <c r="BI27" s="360"/>
      <c r="BJ27" s="360"/>
      <c r="BK27" s="360"/>
      <c r="BL27" s="360"/>
      <c r="BM27" s="360"/>
      <c r="BN27" s="360"/>
      <c r="BO27" s="360"/>
      <c r="BP27" s="360"/>
      <c r="BQ27" s="360"/>
      <c r="BR27" s="360"/>
      <c r="BS27" s="360"/>
      <c r="BT27" s="360"/>
      <c r="BU27" s="360"/>
      <c r="BV27" s="360"/>
      <c r="BW27" s="360"/>
      <c r="BX27" s="360"/>
      <c r="BY27" s="360"/>
      <c r="BZ27" s="360"/>
      <c r="CA27" s="360"/>
      <c r="CB27" s="360"/>
      <c r="CC27" s="360"/>
      <c r="CD27" s="360"/>
      <c r="CE27" s="360"/>
      <c r="CF27" s="360"/>
      <c r="CG27" s="360"/>
      <c r="CH27" s="360"/>
      <c r="CI27" s="360"/>
      <c r="CJ27" s="360"/>
      <c r="CK27" s="360"/>
      <c r="CL27" s="360"/>
      <c r="CM27" s="360"/>
      <c r="CN27" s="360"/>
      <c r="CO27" s="360"/>
      <c r="CP27" s="360"/>
      <c r="CQ27" s="360"/>
      <c r="CR27" s="360"/>
      <c r="CS27" s="360"/>
      <c r="CT27" s="360"/>
      <c r="CU27" s="360"/>
      <c r="CV27" s="360"/>
      <c r="CW27" s="360"/>
      <c r="CX27" s="360"/>
      <c r="CY27" s="360"/>
      <c r="CZ27" s="360"/>
      <c r="DA27" s="360"/>
      <c r="DB27" s="360"/>
      <c r="DC27" s="360"/>
      <c r="DD27" s="360"/>
      <c r="DE27" s="360"/>
      <c r="DF27" s="360"/>
      <c r="DG27" s="360"/>
      <c r="DH27" s="360"/>
      <c r="DI27" s="360"/>
      <c r="DJ27" s="360"/>
      <c r="DK27" s="360"/>
      <c r="DL27" s="360"/>
      <c r="DM27" s="360"/>
      <c r="DN27" s="360"/>
      <c r="DO27" s="360"/>
      <c r="DP27" s="360"/>
      <c r="DQ27" s="360"/>
      <c r="DR27" s="360"/>
      <c r="DS27" s="360"/>
      <c r="DT27" s="360"/>
      <c r="DU27" s="360"/>
      <c r="DV27" s="360"/>
      <c r="DW27" s="322" t="s">
        <v>372</v>
      </c>
    </row>
    <row r="28" spans="3:127" hidden="1" outlineLevel="1" x14ac:dyDescent="0.3"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0"/>
      <c r="AH28" s="360"/>
      <c r="AI28" s="360"/>
      <c r="AJ28" s="360"/>
      <c r="AK28" s="360"/>
      <c r="AL28" s="360"/>
      <c r="AM28" s="360"/>
      <c r="AN28" s="360"/>
      <c r="AO28" s="360"/>
      <c r="AP28" s="360"/>
      <c r="AQ28" s="360"/>
      <c r="AR28" s="360"/>
      <c r="AS28" s="360"/>
      <c r="AT28" s="360"/>
      <c r="AU28" s="360"/>
      <c r="AV28" s="360"/>
      <c r="AW28" s="360"/>
      <c r="AX28" s="360"/>
      <c r="AY28" s="360"/>
      <c r="AZ28" s="360"/>
      <c r="BA28" s="360"/>
      <c r="BB28" s="360"/>
      <c r="BC28" s="360"/>
      <c r="BD28" s="360"/>
      <c r="BE28" s="360"/>
      <c r="BF28" s="360"/>
      <c r="BG28" s="360"/>
      <c r="BH28" s="360"/>
      <c r="BI28" s="360"/>
      <c r="BJ28" s="360"/>
      <c r="BK28" s="360"/>
      <c r="BL28" s="360"/>
      <c r="BM28" s="360"/>
      <c r="BN28" s="360"/>
      <c r="BO28" s="360"/>
      <c r="BP28" s="360"/>
      <c r="BQ28" s="360"/>
      <c r="BR28" s="360"/>
      <c r="BS28" s="360"/>
      <c r="BT28" s="360"/>
      <c r="BU28" s="360"/>
      <c r="BV28" s="360"/>
      <c r="BW28" s="360"/>
      <c r="BX28" s="360"/>
      <c r="BY28" s="360"/>
      <c r="BZ28" s="360"/>
      <c r="CA28" s="360"/>
      <c r="CB28" s="360"/>
      <c r="CC28" s="360"/>
      <c r="CD28" s="360"/>
      <c r="CE28" s="360"/>
      <c r="CF28" s="360"/>
      <c r="CG28" s="360"/>
      <c r="CH28" s="360"/>
      <c r="CI28" s="360"/>
      <c r="CJ28" s="360"/>
      <c r="CK28" s="360"/>
      <c r="CL28" s="360"/>
      <c r="CM28" s="360"/>
      <c r="CN28" s="360"/>
      <c r="CO28" s="360"/>
      <c r="CP28" s="360"/>
      <c r="CQ28" s="360"/>
      <c r="CR28" s="360"/>
      <c r="CS28" s="360"/>
      <c r="CT28" s="360"/>
      <c r="CU28" s="360"/>
      <c r="CV28" s="360"/>
      <c r="CW28" s="360"/>
      <c r="CX28" s="360"/>
      <c r="CY28" s="360"/>
      <c r="CZ28" s="360"/>
      <c r="DA28" s="360"/>
      <c r="DB28" s="360"/>
      <c r="DC28" s="360"/>
      <c r="DD28" s="360"/>
      <c r="DE28" s="360"/>
      <c r="DF28" s="360"/>
      <c r="DG28" s="360"/>
      <c r="DH28" s="360"/>
      <c r="DI28" s="360"/>
      <c r="DJ28" s="360"/>
      <c r="DK28" s="360"/>
      <c r="DL28" s="360"/>
      <c r="DM28" s="360"/>
      <c r="DN28" s="360"/>
      <c r="DO28" s="360"/>
      <c r="DP28" s="360"/>
      <c r="DQ28" s="360"/>
      <c r="DR28" s="360"/>
      <c r="DS28" s="360"/>
      <c r="DT28" s="360"/>
      <c r="DU28" s="360"/>
      <c r="DV28" s="360"/>
      <c r="DW28" s="322" t="s">
        <v>372</v>
      </c>
    </row>
    <row r="29" spans="3:127" hidden="1" outlineLevel="1" x14ac:dyDescent="0.3">
      <c r="C29" s="361" t="s">
        <v>384</v>
      </c>
      <c r="D29" s="362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60"/>
      <c r="V29" s="360"/>
      <c r="W29" s="360"/>
      <c r="X29" s="360"/>
      <c r="Y29" s="360"/>
      <c r="Z29" s="360"/>
      <c r="AA29" s="360"/>
      <c r="AB29" s="360"/>
      <c r="AC29" s="360"/>
      <c r="AD29" s="360"/>
      <c r="AE29" s="360"/>
      <c r="AF29" s="360"/>
      <c r="AG29" s="360"/>
      <c r="AH29" s="360"/>
      <c r="AI29" s="360"/>
      <c r="AJ29" s="360"/>
      <c r="AK29" s="360"/>
      <c r="AL29" s="360"/>
      <c r="AM29" s="360"/>
      <c r="AN29" s="360"/>
      <c r="AO29" s="360"/>
      <c r="AP29" s="360"/>
      <c r="AQ29" s="360"/>
      <c r="AR29" s="360"/>
      <c r="AS29" s="360"/>
      <c r="AT29" s="360"/>
      <c r="AU29" s="360"/>
      <c r="AV29" s="360"/>
      <c r="AW29" s="360"/>
      <c r="AX29" s="360"/>
      <c r="AY29" s="360"/>
      <c r="AZ29" s="360"/>
      <c r="BA29" s="360"/>
      <c r="BB29" s="360"/>
      <c r="BC29" s="360"/>
      <c r="BD29" s="360"/>
      <c r="BE29" s="360"/>
      <c r="BF29" s="360"/>
      <c r="BG29" s="360"/>
      <c r="BH29" s="360"/>
      <c r="BI29" s="360"/>
      <c r="BJ29" s="360"/>
      <c r="BK29" s="360"/>
      <c r="BL29" s="360"/>
      <c r="BM29" s="360"/>
      <c r="BN29" s="360"/>
      <c r="BO29" s="360"/>
      <c r="BP29" s="360"/>
      <c r="BQ29" s="360"/>
      <c r="BR29" s="360"/>
      <c r="BS29" s="360"/>
      <c r="BT29" s="360"/>
      <c r="BU29" s="360"/>
      <c r="BV29" s="360"/>
      <c r="BW29" s="360"/>
      <c r="BX29" s="360"/>
      <c r="BY29" s="360"/>
      <c r="BZ29" s="360"/>
      <c r="CA29" s="360"/>
      <c r="CB29" s="360"/>
      <c r="CC29" s="360"/>
      <c r="CD29" s="360"/>
      <c r="CE29" s="360"/>
      <c r="CF29" s="360"/>
      <c r="CG29" s="360"/>
      <c r="CH29" s="360"/>
      <c r="CI29" s="360"/>
      <c r="CJ29" s="360"/>
      <c r="CK29" s="360"/>
      <c r="CL29" s="360"/>
      <c r="CM29" s="360"/>
      <c r="CN29" s="360"/>
      <c r="CO29" s="360"/>
      <c r="CP29" s="360"/>
      <c r="CQ29" s="360"/>
      <c r="CR29" s="360"/>
      <c r="CS29" s="360"/>
      <c r="CT29" s="360"/>
      <c r="CU29" s="360"/>
      <c r="CV29" s="360"/>
      <c r="CW29" s="360"/>
      <c r="CX29" s="360"/>
      <c r="CY29" s="360"/>
      <c r="CZ29" s="360"/>
      <c r="DA29" s="360"/>
      <c r="DB29" s="360"/>
      <c r="DC29" s="360"/>
      <c r="DD29" s="360"/>
      <c r="DE29" s="360"/>
      <c r="DF29" s="360"/>
      <c r="DG29" s="360"/>
      <c r="DH29" s="360"/>
      <c r="DI29" s="360"/>
      <c r="DJ29" s="360"/>
      <c r="DK29" s="360"/>
      <c r="DL29" s="360"/>
      <c r="DM29" s="360"/>
      <c r="DN29" s="360"/>
      <c r="DO29" s="360"/>
      <c r="DP29" s="360"/>
      <c r="DQ29" s="360"/>
      <c r="DR29" s="360"/>
      <c r="DS29" s="360"/>
      <c r="DT29" s="360"/>
      <c r="DU29" s="360"/>
      <c r="DV29" s="360"/>
    </row>
    <row r="30" spans="3:127" hidden="1" outlineLevel="1" x14ac:dyDescent="0.3">
      <c r="C30" s="363" t="s">
        <v>385</v>
      </c>
      <c r="D30" s="364" t="s">
        <v>17</v>
      </c>
      <c r="E30" s="365"/>
      <c r="F30" s="365"/>
      <c r="G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60"/>
      <c r="V30" s="360"/>
      <c r="W30" s="360"/>
      <c r="X30" s="360"/>
      <c r="Y30" s="360"/>
      <c r="Z30" s="360"/>
      <c r="AA30" s="360"/>
      <c r="AB30" s="360"/>
      <c r="AC30" s="360"/>
      <c r="AD30" s="360"/>
      <c r="AE30" s="360"/>
      <c r="AF30" s="360"/>
      <c r="AG30" s="360"/>
      <c r="AH30" s="360"/>
      <c r="AI30" s="360"/>
      <c r="AJ30" s="360"/>
      <c r="AK30" s="360"/>
      <c r="AL30" s="360"/>
      <c r="AM30" s="360"/>
      <c r="AN30" s="360"/>
      <c r="AO30" s="360"/>
      <c r="AP30" s="360"/>
      <c r="AQ30" s="360"/>
      <c r="AR30" s="360"/>
      <c r="AS30" s="360"/>
      <c r="AT30" s="360"/>
      <c r="AU30" s="360"/>
      <c r="AV30" s="360"/>
      <c r="AW30" s="360"/>
      <c r="AX30" s="360"/>
      <c r="AY30" s="360"/>
      <c r="AZ30" s="360"/>
      <c r="BA30" s="360"/>
      <c r="BB30" s="360"/>
      <c r="BC30" s="360"/>
      <c r="BD30" s="360"/>
      <c r="BE30" s="360"/>
      <c r="BF30" s="360"/>
      <c r="BG30" s="360"/>
      <c r="BH30" s="360"/>
      <c r="BI30" s="360"/>
      <c r="BJ30" s="360"/>
      <c r="BK30" s="360"/>
      <c r="BL30" s="360"/>
      <c r="BM30" s="360"/>
      <c r="BN30" s="360"/>
      <c r="BO30" s="360"/>
      <c r="BP30" s="360"/>
      <c r="BQ30" s="360"/>
      <c r="BR30" s="360"/>
      <c r="BS30" s="360"/>
      <c r="BT30" s="360"/>
      <c r="BU30" s="360"/>
      <c r="BV30" s="360"/>
      <c r="BW30" s="360"/>
      <c r="BX30" s="360"/>
      <c r="BY30" s="360"/>
      <c r="BZ30" s="360"/>
      <c r="CA30" s="360"/>
      <c r="CB30" s="360"/>
      <c r="CC30" s="360"/>
      <c r="CD30" s="360"/>
      <c r="CE30" s="360"/>
      <c r="CF30" s="360"/>
      <c r="CG30" s="360"/>
      <c r="CH30" s="360"/>
      <c r="CI30" s="360"/>
      <c r="CJ30" s="360"/>
      <c r="CK30" s="360"/>
      <c r="CL30" s="360"/>
      <c r="CM30" s="360"/>
      <c r="CN30" s="360"/>
      <c r="CO30" s="360"/>
      <c r="CP30" s="360"/>
      <c r="CQ30" s="360"/>
      <c r="CR30" s="360"/>
      <c r="CS30" s="360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22" t="s">
        <v>372</v>
      </c>
    </row>
    <row r="31" spans="3:127" hidden="1" outlineLevel="1" x14ac:dyDescent="0.3">
      <c r="C31" s="366" t="str">
        <f>'Partnership Terms + Fees'!F7</f>
        <v>LP</v>
      </c>
      <c r="D31" s="367">
        <f>'Partnership Terms + Fees'!F8</f>
        <v>0.75</v>
      </c>
      <c r="E31" s="368"/>
      <c r="F31" s="360"/>
      <c r="G31" s="360"/>
      <c r="H31" s="360"/>
      <c r="I31" s="360"/>
      <c r="J31" s="360"/>
      <c r="K31" s="360"/>
      <c r="L31" s="360"/>
      <c r="M31" s="360"/>
      <c r="N31" s="360"/>
      <c r="O31" s="360"/>
      <c r="P31" s="360"/>
      <c r="Q31" s="360"/>
      <c r="R31" s="360"/>
      <c r="S31" s="360"/>
      <c r="T31" s="360"/>
      <c r="U31" s="360"/>
      <c r="V31" s="360"/>
      <c r="W31" s="360"/>
      <c r="X31" s="360"/>
      <c r="Y31" s="360"/>
      <c r="Z31" s="360"/>
      <c r="AA31" s="360"/>
      <c r="AB31" s="360"/>
      <c r="AC31" s="360"/>
      <c r="AD31" s="360"/>
      <c r="AE31" s="360"/>
      <c r="AF31" s="360"/>
      <c r="AG31" s="360"/>
      <c r="AH31" s="360"/>
      <c r="AI31" s="360"/>
      <c r="AJ31" s="360"/>
      <c r="AK31" s="360"/>
      <c r="AL31" s="360"/>
      <c r="AM31" s="360"/>
      <c r="AN31" s="360"/>
      <c r="AO31" s="360"/>
      <c r="AP31" s="360"/>
      <c r="AQ31" s="360"/>
      <c r="AR31" s="360"/>
      <c r="AS31" s="360"/>
      <c r="AT31" s="360"/>
      <c r="AU31" s="360"/>
      <c r="AV31" s="360"/>
      <c r="AW31" s="360"/>
      <c r="AX31" s="360"/>
      <c r="AY31" s="360"/>
      <c r="AZ31" s="360"/>
      <c r="BA31" s="360"/>
      <c r="BB31" s="360"/>
      <c r="BC31" s="360"/>
      <c r="BD31" s="360"/>
      <c r="BE31" s="360"/>
      <c r="BF31" s="360"/>
      <c r="BG31" s="360"/>
      <c r="BH31" s="360"/>
      <c r="BI31" s="360"/>
      <c r="BJ31" s="360"/>
      <c r="BK31" s="360"/>
      <c r="BL31" s="360"/>
      <c r="BM31" s="360"/>
      <c r="BN31" s="360"/>
      <c r="BO31" s="360"/>
      <c r="BP31" s="360"/>
      <c r="BQ31" s="360"/>
      <c r="BR31" s="360"/>
      <c r="BS31" s="360"/>
      <c r="BT31" s="360"/>
      <c r="BU31" s="360"/>
      <c r="BV31" s="360"/>
      <c r="BW31" s="360"/>
      <c r="BX31" s="360"/>
      <c r="BY31" s="360"/>
      <c r="BZ31" s="360"/>
      <c r="CA31" s="360"/>
      <c r="CB31" s="360"/>
      <c r="CC31" s="360"/>
      <c r="CD31" s="360"/>
      <c r="CE31" s="360"/>
      <c r="CF31" s="360"/>
      <c r="CG31" s="360"/>
      <c r="CH31" s="360"/>
      <c r="CI31" s="360"/>
      <c r="CJ31" s="360"/>
      <c r="CK31" s="360"/>
      <c r="CL31" s="360"/>
      <c r="CM31" s="360"/>
      <c r="CN31" s="360"/>
      <c r="CO31" s="360"/>
      <c r="CP31" s="360"/>
      <c r="CQ31" s="360"/>
      <c r="CR31" s="360"/>
      <c r="CS31" s="360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22" t="s">
        <v>372</v>
      </c>
    </row>
    <row r="32" spans="3:127" hidden="1" outlineLevel="1" x14ac:dyDescent="0.3">
      <c r="C32" s="369" t="str">
        <f>'Partnership Terms + Fees'!G7</f>
        <v>Granite Park</v>
      </c>
      <c r="D32" s="370">
        <f>'Partnership Terms + Fees'!G8</f>
        <v>0.25</v>
      </c>
      <c r="E32" s="371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0"/>
      <c r="AF32" s="360"/>
      <c r="AG32" s="360"/>
      <c r="AH32" s="360"/>
      <c r="AI32" s="360"/>
      <c r="AJ32" s="360"/>
      <c r="AK32" s="360"/>
      <c r="AL32" s="360"/>
      <c r="AM32" s="360"/>
      <c r="AN32" s="360"/>
      <c r="AO32" s="360"/>
      <c r="AP32" s="360"/>
      <c r="AQ32" s="360"/>
      <c r="AR32" s="360"/>
      <c r="AS32" s="360"/>
      <c r="AT32" s="360"/>
      <c r="AU32" s="360"/>
      <c r="AV32" s="360"/>
      <c r="AW32" s="360"/>
      <c r="AX32" s="360"/>
      <c r="AY32" s="360"/>
      <c r="AZ32" s="360"/>
      <c r="BA32" s="360"/>
      <c r="BB32" s="360"/>
      <c r="BC32" s="360"/>
      <c r="BD32" s="360"/>
      <c r="BE32" s="360"/>
      <c r="BF32" s="360"/>
      <c r="BG32" s="360"/>
      <c r="BH32" s="360"/>
      <c r="BI32" s="360"/>
      <c r="BJ32" s="360"/>
      <c r="BK32" s="360"/>
      <c r="BL32" s="360"/>
      <c r="BM32" s="360"/>
      <c r="BN32" s="360"/>
      <c r="BO32" s="360"/>
      <c r="BP32" s="360"/>
      <c r="BQ32" s="360"/>
      <c r="BR32" s="360"/>
      <c r="BS32" s="360"/>
      <c r="BT32" s="360"/>
      <c r="BU32" s="360"/>
      <c r="BV32" s="360"/>
      <c r="BW32" s="360"/>
      <c r="BX32" s="360"/>
      <c r="BY32" s="360"/>
      <c r="BZ32" s="360"/>
      <c r="CA32" s="360"/>
      <c r="CB32" s="360"/>
      <c r="CC32" s="360"/>
      <c r="CD32" s="360"/>
      <c r="CE32" s="360"/>
      <c r="CF32" s="360"/>
      <c r="CG32" s="360"/>
      <c r="CH32" s="360"/>
      <c r="CI32" s="360"/>
      <c r="CJ32" s="360"/>
      <c r="CK32" s="360"/>
      <c r="CL32" s="360"/>
      <c r="CM32" s="360"/>
      <c r="CN32" s="360"/>
      <c r="CO32" s="360"/>
      <c r="CP32" s="360"/>
      <c r="CQ32" s="360"/>
      <c r="CR32" s="360"/>
      <c r="CS32" s="360"/>
      <c r="CT32" s="360"/>
      <c r="CU32" s="360"/>
      <c r="CV32" s="360"/>
      <c r="CW32" s="360"/>
      <c r="CX32" s="360"/>
      <c r="CY32" s="360"/>
      <c r="CZ32" s="360"/>
      <c r="DA32" s="360"/>
      <c r="DB32" s="360"/>
      <c r="DC32" s="360"/>
      <c r="DD32" s="360"/>
      <c r="DE32" s="360"/>
      <c r="DF32" s="360"/>
      <c r="DG32" s="360"/>
      <c r="DH32" s="360"/>
      <c r="DI32" s="360"/>
      <c r="DJ32" s="360"/>
      <c r="DK32" s="360"/>
      <c r="DL32" s="360"/>
      <c r="DM32" s="360"/>
      <c r="DN32" s="360"/>
      <c r="DO32" s="360"/>
      <c r="DP32" s="360"/>
      <c r="DQ32" s="360"/>
      <c r="DR32" s="360"/>
      <c r="DS32" s="360"/>
      <c r="DT32" s="360"/>
      <c r="DU32" s="360"/>
      <c r="DV32" s="360"/>
      <c r="DW32" s="322" t="s">
        <v>372</v>
      </c>
    </row>
    <row r="33" spans="3:127" ht="17.25" hidden="1" outlineLevel="1" thickBot="1" x14ac:dyDescent="0.35">
      <c r="C33" s="372" t="s">
        <v>65</v>
      </c>
      <c r="D33" s="373">
        <f>SUM(D31:D32)</f>
        <v>1</v>
      </c>
      <c r="E33" s="368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/>
      <c r="AH33" s="360"/>
      <c r="AI33" s="360"/>
      <c r="AJ33" s="360"/>
      <c r="AK33" s="360"/>
      <c r="AL33" s="360"/>
      <c r="AM33" s="360"/>
      <c r="AN33" s="360"/>
      <c r="AO33" s="360"/>
      <c r="AP33" s="360"/>
      <c r="AQ33" s="360"/>
      <c r="AR33" s="360"/>
      <c r="AS33" s="360"/>
      <c r="AT33" s="360"/>
      <c r="AU33" s="360"/>
      <c r="AV33" s="360"/>
      <c r="AW33" s="360"/>
      <c r="AX33" s="360"/>
      <c r="AY33" s="360"/>
      <c r="AZ33" s="360"/>
      <c r="BA33" s="360"/>
      <c r="BB33" s="360"/>
      <c r="BC33" s="360"/>
      <c r="BD33" s="360"/>
      <c r="BE33" s="360"/>
      <c r="BF33" s="360"/>
      <c r="BG33" s="360"/>
      <c r="BH33" s="360"/>
      <c r="BI33" s="360"/>
      <c r="BJ33" s="360"/>
      <c r="BK33" s="360"/>
      <c r="BL33" s="360"/>
      <c r="BM33" s="360"/>
      <c r="BN33" s="360"/>
      <c r="BO33" s="360"/>
      <c r="BP33" s="360"/>
      <c r="BQ33" s="360"/>
      <c r="BR33" s="360"/>
      <c r="BS33" s="360"/>
      <c r="BT33" s="360"/>
      <c r="BU33" s="360"/>
      <c r="BV33" s="360"/>
      <c r="BW33" s="360"/>
      <c r="BX33" s="360"/>
      <c r="BY33" s="360"/>
      <c r="BZ33" s="360"/>
      <c r="CA33" s="360"/>
      <c r="CB33" s="360"/>
      <c r="CC33" s="360"/>
      <c r="CD33" s="360"/>
      <c r="CE33" s="360"/>
      <c r="CF33" s="360"/>
      <c r="CG33" s="360"/>
      <c r="CH33" s="360"/>
      <c r="CI33" s="360"/>
      <c r="CJ33" s="360"/>
      <c r="CK33" s="360"/>
      <c r="CL33" s="360"/>
      <c r="CM33" s="360"/>
      <c r="CN33" s="360"/>
      <c r="CO33" s="360"/>
      <c r="CP33" s="360"/>
      <c r="CQ33" s="360"/>
      <c r="CR33" s="360"/>
      <c r="CS33" s="360"/>
      <c r="CT33" s="360"/>
      <c r="CU33" s="360"/>
      <c r="CV33" s="360"/>
      <c r="CW33" s="360"/>
      <c r="CX33" s="360"/>
      <c r="CY33" s="360"/>
      <c r="CZ33" s="360"/>
      <c r="DA33" s="360"/>
      <c r="DB33" s="360"/>
      <c r="DC33" s="360"/>
      <c r="DD33" s="360"/>
      <c r="DE33" s="360"/>
      <c r="DF33" s="360"/>
      <c r="DG33" s="360"/>
      <c r="DH33" s="360"/>
      <c r="DI33" s="360"/>
      <c r="DJ33" s="360"/>
      <c r="DK33" s="360"/>
      <c r="DL33" s="360"/>
      <c r="DM33" s="360"/>
      <c r="DN33" s="360"/>
      <c r="DO33" s="360"/>
      <c r="DP33" s="360"/>
      <c r="DQ33" s="360"/>
      <c r="DR33" s="360"/>
      <c r="DS33" s="360"/>
      <c r="DT33" s="360"/>
      <c r="DU33" s="360"/>
      <c r="DV33" s="360"/>
      <c r="DW33" s="322" t="s">
        <v>372</v>
      </c>
    </row>
    <row r="34" spans="3:127" ht="17.25" hidden="1" outlineLevel="1" thickTop="1" x14ac:dyDescent="0.3">
      <c r="C34" s="360"/>
      <c r="D34" s="360"/>
      <c r="E34" s="360"/>
      <c r="F34" s="360"/>
      <c r="G34" s="360"/>
      <c r="H34" s="360"/>
      <c r="I34" s="374"/>
      <c r="J34" s="374"/>
      <c r="K34" s="360"/>
      <c r="L34" s="365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60"/>
      <c r="AJ34" s="360"/>
      <c r="AK34" s="360"/>
      <c r="AL34" s="360"/>
      <c r="AM34" s="360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0"/>
      <c r="AZ34" s="360"/>
      <c r="BA34" s="360"/>
      <c r="BB34" s="360"/>
      <c r="BC34" s="360"/>
      <c r="BD34" s="360"/>
      <c r="BE34" s="360"/>
      <c r="BF34" s="360"/>
      <c r="BG34" s="360"/>
      <c r="BH34" s="360"/>
      <c r="BI34" s="360"/>
      <c r="BJ34" s="360"/>
      <c r="BK34" s="360"/>
      <c r="BL34" s="360"/>
      <c r="BM34" s="360"/>
      <c r="BN34" s="360"/>
      <c r="BO34" s="360"/>
      <c r="BP34" s="360"/>
      <c r="BQ34" s="360"/>
      <c r="BR34" s="360"/>
      <c r="BS34" s="360"/>
      <c r="BT34" s="360"/>
      <c r="BU34" s="360"/>
      <c r="BV34" s="360"/>
      <c r="BW34" s="360"/>
      <c r="BX34" s="360"/>
      <c r="BY34" s="360"/>
      <c r="BZ34" s="360"/>
      <c r="CA34" s="360"/>
      <c r="CB34" s="360"/>
      <c r="CC34" s="360"/>
      <c r="CD34" s="360"/>
      <c r="CE34" s="360"/>
      <c r="CF34" s="360"/>
      <c r="CG34" s="360"/>
      <c r="CH34" s="360"/>
      <c r="CI34" s="360"/>
      <c r="CJ34" s="360"/>
      <c r="CK34" s="360"/>
      <c r="CL34" s="360"/>
      <c r="CM34" s="360"/>
      <c r="CN34" s="360"/>
      <c r="CO34" s="360"/>
      <c r="CP34" s="360"/>
      <c r="CQ34" s="360"/>
      <c r="CR34" s="360"/>
      <c r="CS34" s="360"/>
      <c r="CT34" s="360"/>
      <c r="CU34" s="360"/>
      <c r="CV34" s="360"/>
      <c r="CW34" s="360"/>
      <c r="CX34" s="360"/>
      <c r="CY34" s="360"/>
      <c r="CZ34" s="360"/>
      <c r="DA34" s="360"/>
      <c r="DB34" s="360"/>
      <c r="DC34" s="360"/>
      <c r="DD34" s="360"/>
      <c r="DE34" s="360"/>
      <c r="DF34" s="360"/>
      <c r="DG34" s="360"/>
      <c r="DH34" s="360"/>
      <c r="DI34" s="360"/>
      <c r="DJ34" s="360"/>
      <c r="DK34" s="360"/>
      <c r="DL34" s="360"/>
      <c r="DM34" s="360"/>
      <c r="DN34" s="360"/>
      <c r="DO34" s="360"/>
      <c r="DP34" s="360"/>
      <c r="DQ34" s="360"/>
      <c r="DR34" s="360"/>
      <c r="DS34" s="360"/>
      <c r="DT34" s="360"/>
      <c r="DU34" s="360"/>
      <c r="DV34" s="360"/>
      <c r="DW34" s="322" t="s">
        <v>372</v>
      </c>
    </row>
    <row r="35" spans="3:127" hidden="1" outlineLevel="1" x14ac:dyDescent="0.3">
      <c r="C35" s="375" t="s">
        <v>386</v>
      </c>
      <c r="D35" s="375"/>
      <c r="E35" s="375"/>
      <c r="F35" s="375"/>
      <c r="G35" s="375"/>
      <c r="H35" s="375"/>
      <c r="I35" s="375"/>
      <c r="J35" s="374"/>
      <c r="K35" s="360"/>
      <c r="L35" s="365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0"/>
      <c r="CI35" s="360"/>
      <c r="CJ35" s="360"/>
      <c r="CK35" s="360"/>
      <c r="CL35" s="360"/>
      <c r="CM35" s="360"/>
      <c r="CN35" s="360"/>
      <c r="CO35" s="360"/>
      <c r="CP35" s="360"/>
      <c r="CQ35" s="360"/>
      <c r="CR35" s="360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360"/>
      <c r="DH35" s="360"/>
      <c r="DI35" s="360"/>
      <c r="DJ35" s="360"/>
      <c r="DK35" s="360"/>
      <c r="DL35" s="360"/>
      <c r="DM35" s="360"/>
      <c r="DN35" s="360"/>
      <c r="DO35" s="360"/>
      <c r="DP35" s="360"/>
      <c r="DQ35" s="360"/>
      <c r="DR35" s="360"/>
      <c r="DS35" s="360"/>
      <c r="DT35" s="360"/>
      <c r="DU35" s="360"/>
      <c r="DV35" s="360"/>
    </row>
    <row r="36" spans="3:127" hidden="1" outlineLevel="1" x14ac:dyDescent="0.3">
      <c r="C36" s="376"/>
      <c r="D36" s="377" t="s">
        <v>356</v>
      </c>
      <c r="E36" s="378"/>
      <c r="F36" s="379"/>
      <c r="G36" s="380"/>
      <c r="H36" s="377" t="s">
        <v>387</v>
      </c>
      <c r="I36" s="379"/>
      <c r="K36" s="381" t="s">
        <v>388</v>
      </c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  <c r="AI36" s="360"/>
      <c r="AJ36" s="360"/>
      <c r="AK36" s="360"/>
      <c r="AL36" s="360"/>
      <c r="AM36" s="360"/>
      <c r="AN36" s="360"/>
      <c r="AO36" s="360"/>
      <c r="AP36" s="360"/>
      <c r="AQ36" s="360"/>
      <c r="AR36" s="360"/>
      <c r="AS36" s="360"/>
      <c r="AT36" s="360"/>
      <c r="AU36" s="360"/>
      <c r="AV36" s="360"/>
      <c r="AW36" s="360"/>
      <c r="AX36" s="360"/>
      <c r="AY36" s="360"/>
      <c r="AZ36" s="360"/>
      <c r="BA36" s="360"/>
      <c r="BB36" s="360"/>
      <c r="BC36" s="360"/>
      <c r="BD36" s="360"/>
      <c r="BE36" s="360"/>
      <c r="BF36" s="360"/>
      <c r="BG36" s="360"/>
      <c r="BH36" s="360"/>
      <c r="BI36" s="360"/>
      <c r="BJ36" s="360"/>
      <c r="BK36" s="360"/>
      <c r="BL36" s="360"/>
      <c r="BM36" s="360"/>
      <c r="BN36" s="360"/>
      <c r="BO36" s="360"/>
      <c r="BP36" s="360"/>
      <c r="BQ36" s="360"/>
      <c r="BR36" s="360"/>
      <c r="BS36" s="360"/>
      <c r="BT36" s="360"/>
      <c r="BU36" s="360"/>
      <c r="BV36" s="360"/>
      <c r="BW36" s="360"/>
      <c r="BX36" s="360"/>
      <c r="BY36" s="360"/>
      <c r="BZ36" s="360"/>
      <c r="CA36" s="360"/>
      <c r="CB36" s="360"/>
      <c r="CC36" s="360"/>
      <c r="CD36" s="360"/>
      <c r="CE36" s="360"/>
      <c r="CF36" s="360"/>
      <c r="CG36" s="360"/>
      <c r="CH36" s="360"/>
      <c r="CI36" s="360"/>
      <c r="CJ36" s="360"/>
      <c r="CK36" s="360"/>
      <c r="CL36" s="360"/>
      <c r="CM36" s="360"/>
      <c r="CN36" s="360"/>
      <c r="CO36" s="360"/>
      <c r="CP36" s="360"/>
      <c r="CQ36" s="360"/>
      <c r="CR36" s="360"/>
      <c r="CS36" s="360"/>
      <c r="CT36" s="360"/>
      <c r="CU36" s="360"/>
      <c r="CV36" s="360"/>
      <c r="CW36" s="360"/>
      <c r="CX36" s="360"/>
      <c r="CY36" s="360"/>
      <c r="CZ36" s="360"/>
      <c r="DA36" s="360"/>
      <c r="DB36" s="360"/>
      <c r="DC36" s="360"/>
      <c r="DD36" s="360"/>
      <c r="DE36" s="360"/>
      <c r="DF36" s="360"/>
      <c r="DG36" s="360"/>
      <c r="DH36" s="360"/>
      <c r="DI36" s="360"/>
      <c r="DJ36" s="360"/>
      <c r="DK36" s="360"/>
      <c r="DL36" s="360"/>
      <c r="DM36" s="360"/>
      <c r="DN36" s="360"/>
      <c r="DO36" s="360"/>
      <c r="DP36" s="360"/>
      <c r="DQ36" s="360"/>
      <c r="DR36" s="360"/>
      <c r="DS36" s="360"/>
      <c r="DT36" s="360"/>
      <c r="DU36" s="360"/>
      <c r="DV36" s="360"/>
      <c r="DW36" s="322" t="s">
        <v>372</v>
      </c>
    </row>
    <row r="37" spans="3:127" hidden="1" outlineLevel="1" x14ac:dyDescent="0.3">
      <c r="C37" s="382" t="s">
        <v>389</v>
      </c>
      <c r="D37" s="383" t="s">
        <v>390</v>
      </c>
      <c r="E37" s="383"/>
      <c r="F37" s="383" t="s">
        <v>290</v>
      </c>
      <c r="G37" s="384" t="s">
        <v>360</v>
      </c>
      <c r="H37" s="385" t="str">
        <f>'Partnership Terms + Fees'!F7</f>
        <v>LP</v>
      </c>
      <c r="I37" s="386" t="str">
        <f>'Partnership Terms + Fees'!G7</f>
        <v>Granite Park</v>
      </c>
      <c r="K37" s="387" t="str">
        <f>'Partnership Terms + Fees'!B7</f>
        <v>Quarterly</v>
      </c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  <c r="AI37" s="360"/>
      <c r="AJ37" s="360"/>
      <c r="AK37" s="360"/>
      <c r="AL37" s="360"/>
      <c r="AM37" s="360"/>
      <c r="AN37" s="360"/>
      <c r="AO37" s="360"/>
      <c r="AP37" s="360"/>
      <c r="AQ37" s="360"/>
      <c r="AR37" s="360"/>
      <c r="AS37" s="360"/>
      <c r="AT37" s="360"/>
      <c r="AU37" s="360"/>
      <c r="AV37" s="360"/>
      <c r="AW37" s="360"/>
      <c r="AX37" s="360"/>
      <c r="AY37" s="360"/>
      <c r="AZ37" s="360"/>
      <c r="BA37" s="360"/>
      <c r="BB37" s="360"/>
      <c r="BC37" s="360"/>
      <c r="BD37" s="360"/>
      <c r="BE37" s="360"/>
      <c r="BF37" s="360"/>
      <c r="BG37" s="360"/>
      <c r="BH37" s="360"/>
      <c r="BI37" s="360"/>
      <c r="BJ37" s="360"/>
      <c r="BK37" s="360"/>
      <c r="BL37" s="360"/>
      <c r="BM37" s="360"/>
      <c r="BN37" s="360"/>
      <c r="BO37" s="360"/>
      <c r="BP37" s="360"/>
      <c r="BQ37" s="360"/>
      <c r="BR37" s="360"/>
      <c r="BS37" s="360"/>
      <c r="BT37" s="360"/>
      <c r="BU37" s="360"/>
      <c r="BV37" s="360"/>
      <c r="BW37" s="360"/>
      <c r="BX37" s="360"/>
      <c r="BY37" s="360"/>
      <c r="BZ37" s="360"/>
      <c r="CA37" s="360"/>
      <c r="CB37" s="360"/>
      <c r="CC37" s="360"/>
      <c r="CD37" s="360"/>
      <c r="CE37" s="360"/>
      <c r="CF37" s="360"/>
      <c r="CG37" s="360"/>
      <c r="CH37" s="360"/>
      <c r="CI37" s="360"/>
      <c r="CJ37" s="360"/>
      <c r="CK37" s="360"/>
      <c r="CL37" s="360"/>
      <c r="CM37" s="360"/>
      <c r="CN37" s="360"/>
      <c r="CO37" s="360"/>
      <c r="CP37" s="360"/>
      <c r="CQ37" s="360"/>
      <c r="CR37" s="360"/>
      <c r="CS37" s="360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22" t="s">
        <v>372</v>
      </c>
    </row>
    <row r="38" spans="3:127" hidden="1" outlineLevel="1" x14ac:dyDescent="0.3">
      <c r="C38" s="374" t="s">
        <v>361</v>
      </c>
      <c r="D38" s="388">
        <f>'Partnership Terms + Fees'!C8</f>
        <v>0.08</v>
      </c>
      <c r="E38" s="388"/>
      <c r="F38" s="389">
        <f>'Partnership Terms + Fees'!D8</f>
        <v>0</v>
      </c>
      <c r="G38" s="390" t="s">
        <v>362</v>
      </c>
      <c r="H38" s="391">
        <f>'Partnership Terms + Fees'!F8</f>
        <v>0.75</v>
      </c>
      <c r="I38" s="370">
        <f>'Partnership Terms + Fees'!G8</f>
        <v>0.25</v>
      </c>
      <c r="K38" s="392">
        <f>IF(K37="Monthly",12,4)</f>
        <v>4</v>
      </c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0"/>
      <c r="AI38" s="360"/>
      <c r="AJ38" s="360"/>
      <c r="AK38" s="360"/>
      <c r="AL38" s="360"/>
      <c r="AM38" s="360"/>
      <c r="AN38" s="360"/>
      <c r="AO38" s="360"/>
      <c r="AP38" s="360"/>
      <c r="AQ38" s="360"/>
      <c r="AR38" s="360"/>
      <c r="AS38" s="360"/>
      <c r="AT38" s="360"/>
      <c r="AU38" s="360"/>
      <c r="AV38" s="360"/>
      <c r="AW38" s="360"/>
      <c r="AX38" s="360"/>
      <c r="AY38" s="360"/>
      <c r="AZ38" s="360"/>
      <c r="BA38" s="360"/>
      <c r="BB38" s="360"/>
      <c r="BC38" s="360"/>
      <c r="BD38" s="360"/>
      <c r="BE38" s="360"/>
      <c r="BF38" s="360"/>
      <c r="BG38" s="360"/>
      <c r="BH38" s="360"/>
      <c r="BI38" s="360"/>
      <c r="BJ38" s="360"/>
      <c r="BK38" s="360"/>
      <c r="BL38" s="360"/>
      <c r="BM38" s="360"/>
      <c r="BN38" s="360"/>
      <c r="BO38" s="360"/>
      <c r="BP38" s="360"/>
      <c r="BQ38" s="360"/>
      <c r="BR38" s="360"/>
      <c r="BS38" s="360"/>
      <c r="BT38" s="360"/>
      <c r="BU38" s="360"/>
      <c r="BV38" s="360"/>
      <c r="BW38" s="360"/>
      <c r="BX38" s="360"/>
      <c r="BY38" s="360"/>
      <c r="BZ38" s="360"/>
      <c r="CA38" s="360"/>
      <c r="CB38" s="360"/>
      <c r="CC38" s="360"/>
      <c r="CD38" s="360"/>
      <c r="CE38" s="360"/>
      <c r="CF38" s="360"/>
      <c r="CG38" s="360"/>
      <c r="CH38" s="360"/>
      <c r="CI38" s="360"/>
      <c r="CJ38" s="360"/>
      <c r="CK38" s="360"/>
      <c r="CL38" s="360"/>
      <c r="CM38" s="360"/>
      <c r="CN38" s="360"/>
      <c r="CO38" s="360"/>
      <c r="CP38" s="360"/>
      <c r="CQ38" s="360"/>
      <c r="CR38" s="360"/>
      <c r="CS38" s="360"/>
      <c r="CT38" s="360"/>
      <c r="CU38" s="360"/>
      <c r="CV38" s="360"/>
      <c r="CW38" s="360"/>
      <c r="CX38" s="360"/>
      <c r="CY38" s="360"/>
      <c r="CZ38" s="360"/>
      <c r="DA38" s="360"/>
      <c r="DB38" s="360"/>
      <c r="DC38" s="360"/>
      <c r="DD38" s="360"/>
      <c r="DE38" s="360"/>
      <c r="DF38" s="360"/>
      <c r="DG38" s="360"/>
      <c r="DH38" s="360"/>
      <c r="DI38" s="360"/>
      <c r="DJ38" s="360"/>
      <c r="DK38" s="360"/>
      <c r="DL38" s="360"/>
      <c r="DM38" s="360"/>
      <c r="DN38" s="360"/>
      <c r="DO38" s="360"/>
      <c r="DP38" s="360"/>
      <c r="DQ38" s="360"/>
      <c r="DR38" s="360"/>
      <c r="DS38" s="360"/>
      <c r="DT38" s="360"/>
      <c r="DU38" s="360"/>
      <c r="DV38" s="360"/>
      <c r="DW38" s="322" t="s">
        <v>372</v>
      </c>
    </row>
    <row r="39" spans="3:127" hidden="1" outlineLevel="1" x14ac:dyDescent="0.3">
      <c r="C39" s="374" t="s">
        <v>363</v>
      </c>
      <c r="D39" s="388">
        <f>'Partnership Terms + Fees'!C9</f>
        <v>0.15</v>
      </c>
      <c r="E39" s="388"/>
      <c r="F39" s="393">
        <f>'Partnership Terms + Fees'!D9</f>
        <v>1.7</v>
      </c>
      <c r="G39" s="394">
        <f>'Partnership Terms + Fees'!E9</f>
        <v>0.2</v>
      </c>
      <c r="H39" s="391">
        <f>'Partnership Terms + Fees'!F9</f>
        <v>0.72000000000000008</v>
      </c>
      <c r="I39" s="370">
        <f>'Partnership Terms + Fees'!G9</f>
        <v>0.27999999999999992</v>
      </c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60"/>
      <c r="AL39" s="360"/>
      <c r="AM39" s="360"/>
      <c r="AN39" s="360"/>
      <c r="AO39" s="360"/>
      <c r="AP39" s="360"/>
      <c r="AQ39" s="360"/>
      <c r="AR39" s="360"/>
      <c r="AS39" s="360"/>
      <c r="AT39" s="360"/>
      <c r="AU39" s="360"/>
      <c r="AV39" s="360"/>
      <c r="AW39" s="360"/>
      <c r="AX39" s="360"/>
      <c r="AY39" s="360"/>
      <c r="AZ39" s="360"/>
      <c r="BA39" s="360"/>
      <c r="BB39" s="360"/>
      <c r="BC39" s="360"/>
      <c r="BD39" s="360"/>
      <c r="BE39" s="360"/>
      <c r="BF39" s="360"/>
      <c r="BG39" s="360"/>
      <c r="BH39" s="360"/>
      <c r="BI39" s="360"/>
      <c r="BJ39" s="360"/>
      <c r="BK39" s="360"/>
      <c r="BL39" s="360"/>
      <c r="BM39" s="360"/>
      <c r="BN39" s="360"/>
      <c r="BO39" s="360"/>
      <c r="BP39" s="360"/>
      <c r="BQ39" s="360"/>
      <c r="BR39" s="360"/>
      <c r="BS39" s="360"/>
      <c r="BT39" s="360"/>
      <c r="BU39" s="360"/>
      <c r="BV39" s="360"/>
      <c r="BW39" s="360"/>
      <c r="BX39" s="360"/>
      <c r="BY39" s="360"/>
      <c r="BZ39" s="360"/>
      <c r="CA39" s="360"/>
      <c r="CB39" s="360"/>
      <c r="CC39" s="360"/>
      <c r="CD39" s="360"/>
      <c r="CE39" s="360"/>
      <c r="CF39" s="360"/>
      <c r="CG39" s="360"/>
      <c r="CH39" s="360"/>
      <c r="CI39" s="360"/>
      <c r="CJ39" s="360"/>
      <c r="CK39" s="360"/>
      <c r="CL39" s="360"/>
      <c r="CM39" s="360"/>
      <c r="CN39" s="360"/>
      <c r="CO39" s="360"/>
      <c r="CP39" s="360"/>
      <c r="CQ39" s="360"/>
      <c r="CR39" s="360"/>
      <c r="CS39" s="360"/>
      <c r="CT39" s="360"/>
      <c r="CU39" s="360"/>
      <c r="CV39" s="360"/>
      <c r="CW39" s="360"/>
      <c r="CX39" s="360"/>
      <c r="CY39" s="360"/>
      <c r="CZ39" s="360"/>
      <c r="DA39" s="360"/>
      <c r="DB39" s="360"/>
      <c r="DC39" s="360"/>
      <c r="DD39" s="360"/>
      <c r="DE39" s="360"/>
      <c r="DF39" s="360"/>
      <c r="DG39" s="360"/>
      <c r="DH39" s="360"/>
      <c r="DI39" s="360"/>
      <c r="DJ39" s="360"/>
      <c r="DK39" s="360"/>
      <c r="DL39" s="360"/>
      <c r="DM39" s="360"/>
      <c r="DN39" s="360"/>
      <c r="DO39" s="360"/>
      <c r="DP39" s="360"/>
      <c r="DQ39" s="360"/>
      <c r="DR39" s="360"/>
      <c r="DS39" s="360"/>
      <c r="DT39" s="360"/>
      <c r="DU39" s="360"/>
      <c r="DV39" s="360"/>
      <c r="DW39" s="322" t="s">
        <v>372</v>
      </c>
    </row>
    <row r="40" spans="3:127" hidden="1" outlineLevel="1" x14ac:dyDescent="0.3">
      <c r="C40" s="374" t="s">
        <v>364</v>
      </c>
      <c r="D40" s="388">
        <f>'Partnership Terms + Fees'!C10</f>
        <v>0.2</v>
      </c>
      <c r="E40" s="388"/>
      <c r="F40" s="393">
        <f>'Partnership Terms + Fees'!D10</f>
        <v>2</v>
      </c>
      <c r="G40" s="394">
        <f>'Partnership Terms + Fees'!E10</f>
        <v>0.25</v>
      </c>
      <c r="H40" s="391">
        <f>'Partnership Terms + Fees'!F10</f>
        <v>0.67500000000000004</v>
      </c>
      <c r="I40" s="370">
        <f>'Partnership Terms + Fees'!G10</f>
        <v>0.32499999999999996</v>
      </c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0"/>
      <c r="AI40" s="360"/>
      <c r="AJ40" s="360"/>
      <c r="AK40" s="360"/>
      <c r="AL40" s="360"/>
      <c r="AM40" s="360"/>
      <c r="AN40" s="360"/>
      <c r="AO40" s="360"/>
      <c r="AP40" s="360"/>
      <c r="AQ40" s="360"/>
      <c r="AR40" s="360"/>
      <c r="AS40" s="360"/>
      <c r="AT40" s="360"/>
      <c r="AU40" s="360"/>
      <c r="AV40" s="360"/>
      <c r="AW40" s="360"/>
      <c r="AX40" s="360"/>
      <c r="AY40" s="360"/>
      <c r="AZ40" s="360"/>
      <c r="BA40" s="360"/>
      <c r="BB40" s="360"/>
      <c r="BC40" s="360"/>
      <c r="BD40" s="360"/>
      <c r="BE40" s="360"/>
      <c r="BF40" s="360"/>
      <c r="BG40" s="360"/>
      <c r="BH40" s="360"/>
      <c r="BI40" s="360"/>
      <c r="BJ40" s="360"/>
      <c r="BK40" s="360"/>
      <c r="BL40" s="360"/>
      <c r="BM40" s="360"/>
      <c r="BN40" s="360"/>
      <c r="BO40" s="360"/>
      <c r="BP40" s="360"/>
      <c r="BQ40" s="360"/>
      <c r="BR40" s="360"/>
      <c r="BS40" s="360"/>
      <c r="BT40" s="360"/>
      <c r="BU40" s="360"/>
      <c r="BV40" s="360"/>
      <c r="BW40" s="360"/>
      <c r="BX40" s="360"/>
      <c r="BY40" s="360"/>
      <c r="BZ40" s="360"/>
      <c r="CA40" s="360"/>
      <c r="CB40" s="360"/>
      <c r="CC40" s="360"/>
      <c r="CD40" s="360"/>
      <c r="CE40" s="360"/>
      <c r="CF40" s="360"/>
      <c r="CG40" s="360"/>
      <c r="CH40" s="360"/>
      <c r="CI40" s="360"/>
      <c r="CJ40" s="360"/>
      <c r="CK40" s="360"/>
      <c r="CL40" s="360"/>
      <c r="CM40" s="360"/>
      <c r="CN40" s="360"/>
      <c r="CO40" s="360"/>
      <c r="CP40" s="360"/>
      <c r="CQ40" s="360"/>
      <c r="CR40" s="360"/>
      <c r="CS40" s="360"/>
      <c r="CT40" s="360"/>
      <c r="CU40" s="360"/>
      <c r="CV40" s="360"/>
      <c r="CW40" s="360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22" t="s">
        <v>372</v>
      </c>
    </row>
    <row r="41" spans="3:127" hidden="1" outlineLevel="1" x14ac:dyDescent="0.3">
      <c r="C41" s="374" t="s">
        <v>365</v>
      </c>
      <c r="D41" s="388">
        <f>'Partnership Terms + Fees'!C11</f>
        <v>1.5</v>
      </c>
      <c r="E41" s="388"/>
      <c r="F41" s="393">
        <f>'Partnership Terms + Fees'!D11</f>
        <v>0</v>
      </c>
      <c r="G41" s="394">
        <f>'Partnership Terms + Fees'!E11</f>
        <v>0.3</v>
      </c>
      <c r="H41" s="391">
        <f>'Partnership Terms + Fees'!F11</f>
        <v>0.63</v>
      </c>
      <c r="I41" s="370">
        <f>'Partnership Terms + Fees'!G11</f>
        <v>0.37</v>
      </c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  <c r="AI41" s="360"/>
      <c r="AJ41" s="360"/>
      <c r="AK41" s="360"/>
      <c r="AL41" s="360"/>
      <c r="AM41" s="360"/>
      <c r="AN41" s="360"/>
      <c r="AO41" s="360"/>
      <c r="AP41" s="360"/>
      <c r="AQ41" s="360"/>
      <c r="AR41" s="360"/>
      <c r="AS41" s="360"/>
      <c r="AT41" s="360"/>
      <c r="AU41" s="360"/>
      <c r="AV41" s="360"/>
      <c r="AW41" s="360"/>
      <c r="AX41" s="360"/>
      <c r="AY41" s="360"/>
      <c r="AZ41" s="360"/>
      <c r="BA41" s="360"/>
      <c r="BB41" s="360"/>
      <c r="BC41" s="360"/>
      <c r="BD41" s="360"/>
      <c r="BE41" s="360"/>
      <c r="BF41" s="360"/>
      <c r="BG41" s="360"/>
      <c r="BH41" s="360"/>
      <c r="BI41" s="360"/>
      <c r="BJ41" s="360"/>
      <c r="BK41" s="360"/>
      <c r="BL41" s="360"/>
      <c r="BM41" s="360"/>
      <c r="BN41" s="360"/>
      <c r="BO41" s="360"/>
      <c r="BP41" s="360"/>
      <c r="BQ41" s="360"/>
      <c r="BR41" s="360"/>
      <c r="BS41" s="360"/>
      <c r="BT41" s="360"/>
      <c r="BU41" s="360"/>
      <c r="BV41" s="360"/>
      <c r="BW41" s="360"/>
      <c r="BX41" s="360"/>
      <c r="BY41" s="360"/>
      <c r="BZ41" s="360"/>
      <c r="CA41" s="360"/>
      <c r="CB41" s="360"/>
      <c r="CC41" s="360"/>
      <c r="CD41" s="360"/>
      <c r="CE41" s="360"/>
      <c r="CF41" s="360"/>
      <c r="CG41" s="360"/>
      <c r="CH41" s="360"/>
      <c r="CI41" s="360"/>
      <c r="CJ41" s="360"/>
      <c r="CK41" s="360"/>
      <c r="CL41" s="360"/>
      <c r="CM41" s="360"/>
      <c r="CN41" s="360"/>
      <c r="CO41" s="360"/>
      <c r="CP41" s="360"/>
      <c r="CQ41" s="360"/>
      <c r="CR41" s="360"/>
      <c r="CS41" s="360"/>
      <c r="CT41" s="360"/>
      <c r="CU41" s="360"/>
      <c r="CV41" s="360"/>
      <c r="CW41" s="360"/>
      <c r="CX41" s="360"/>
      <c r="CY41" s="360"/>
      <c r="CZ41" s="360"/>
      <c r="DA41" s="360"/>
      <c r="DB41" s="360"/>
      <c r="DC41" s="360"/>
      <c r="DD41" s="360"/>
      <c r="DE41" s="360"/>
      <c r="DF41" s="360"/>
      <c r="DG41" s="360"/>
      <c r="DH41" s="360"/>
      <c r="DI41" s="360"/>
      <c r="DJ41" s="360"/>
      <c r="DK41" s="360"/>
      <c r="DL41" s="360"/>
      <c r="DM41" s="360"/>
      <c r="DN41" s="360"/>
      <c r="DO41" s="360"/>
      <c r="DP41" s="360"/>
      <c r="DQ41" s="360"/>
      <c r="DR41" s="360"/>
      <c r="DS41" s="360"/>
      <c r="DT41" s="360"/>
      <c r="DU41" s="360"/>
      <c r="DV41" s="360"/>
      <c r="DW41" s="322" t="s">
        <v>372</v>
      </c>
    </row>
    <row r="42" spans="3:127" hidden="1" outlineLevel="1" x14ac:dyDescent="0.3">
      <c r="C42" s="395" t="s">
        <v>391</v>
      </c>
      <c r="D42" s="396"/>
      <c r="E42" s="396"/>
      <c r="F42" s="397"/>
      <c r="G42" s="398">
        <f>'Partnership Terms + Fees'!E12</f>
        <v>0.35</v>
      </c>
      <c r="H42" s="399">
        <f>'Partnership Terms + Fees'!F12</f>
        <v>0.58500000000000008</v>
      </c>
      <c r="I42" s="400">
        <f>'Partnership Terms + Fees'!G12</f>
        <v>0.41499999999999992</v>
      </c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360"/>
      <c r="AI42" s="360"/>
      <c r="AJ42" s="360"/>
      <c r="AK42" s="360"/>
      <c r="AL42" s="360"/>
      <c r="AM42" s="360"/>
      <c r="AN42" s="360"/>
      <c r="AO42" s="360"/>
      <c r="AP42" s="360"/>
      <c r="AQ42" s="360"/>
      <c r="AR42" s="360"/>
      <c r="AS42" s="360"/>
      <c r="AT42" s="360"/>
      <c r="AU42" s="360"/>
      <c r="AV42" s="360"/>
      <c r="AW42" s="360"/>
      <c r="AX42" s="360"/>
      <c r="AY42" s="360"/>
      <c r="AZ42" s="360"/>
      <c r="BA42" s="360"/>
      <c r="BB42" s="360"/>
      <c r="BC42" s="360"/>
      <c r="BD42" s="360"/>
      <c r="BE42" s="360"/>
      <c r="BF42" s="360"/>
      <c r="BG42" s="360"/>
      <c r="BH42" s="360"/>
      <c r="BI42" s="360"/>
      <c r="BJ42" s="360"/>
      <c r="BK42" s="360"/>
      <c r="BL42" s="360"/>
      <c r="BM42" s="360"/>
      <c r="BN42" s="360"/>
      <c r="BO42" s="360"/>
      <c r="BP42" s="360"/>
      <c r="BQ42" s="360"/>
      <c r="BR42" s="360"/>
      <c r="BS42" s="360"/>
      <c r="BT42" s="360"/>
      <c r="BU42" s="360"/>
      <c r="BV42" s="360"/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22" t="s">
        <v>372</v>
      </c>
    </row>
    <row r="43" spans="3:127" hidden="1" outlineLevel="1" x14ac:dyDescent="0.3">
      <c r="C43" s="360"/>
      <c r="D43" s="360"/>
      <c r="E43" s="360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360"/>
      <c r="BI43" s="360"/>
      <c r="BJ43" s="360"/>
      <c r="BK43" s="360"/>
      <c r="BL43" s="360"/>
      <c r="BM43" s="360"/>
      <c r="BN43" s="360"/>
      <c r="BO43" s="360"/>
      <c r="BP43" s="360"/>
      <c r="BQ43" s="360"/>
      <c r="BR43" s="360"/>
      <c r="BS43" s="360"/>
      <c r="BT43" s="360"/>
      <c r="BU43" s="360"/>
      <c r="BV43" s="360"/>
      <c r="BW43" s="360"/>
      <c r="BX43" s="360"/>
      <c r="BY43" s="360"/>
      <c r="BZ43" s="360"/>
      <c r="CA43" s="360"/>
      <c r="CB43" s="360"/>
      <c r="CC43" s="360"/>
      <c r="CD43" s="360"/>
      <c r="CE43" s="360"/>
      <c r="CF43" s="360"/>
      <c r="CG43" s="360"/>
      <c r="CH43" s="360"/>
      <c r="CI43" s="360"/>
      <c r="CJ43" s="360"/>
      <c r="CK43" s="360"/>
      <c r="CL43" s="360"/>
      <c r="CM43" s="360"/>
      <c r="CN43" s="360"/>
      <c r="CO43" s="360"/>
      <c r="CP43" s="360"/>
      <c r="CQ43" s="360"/>
      <c r="CR43" s="360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360"/>
      <c r="DH43" s="360"/>
      <c r="DI43" s="360"/>
      <c r="DJ43" s="360"/>
      <c r="DK43" s="360"/>
      <c r="DL43" s="360"/>
      <c r="DM43" s="360"/>
      <c r="DN43" s="360"/>
      <c r="DO43" s="360"/>
      <c r="DP43" s="360"/>
      <c r="DQ43" s="360"/>
      <c r="DR43" s="360"/>
      <c r="DS43" s="360"/>
      <c r="DT43" s="360"/>
      <c r="DU43" s="360"/>
      <c r="DV43" s="360"/>
      <c r="DW43" s="322" t="s">
        <v>372</v>
      </c>
    </row>
    <row r="44" spans="3:127" hidden="1" outlineLevel="1" x14ac:dyDescent="0.3">
      <c r="C44" s="401" t="str">
        <f>H37&amp;" Cash Flow Summary"</f>
        <v>LP Cash Flow Summary</v>
      </c>
      <c r="D44" s="402"/>
      <c r="E44" s="403"/>
      <c r="F44" s="404"/>
      <c r="G44" s="404"/>
      <c r="H44" s="405"/>
      <c r="I44" s="405"/>
      <c r="J44" s="405"/>
      <c r="K44" s="405"/>
      <c r="L44" s="405"/>
      <c r="M44" s="405"/>
      <c r="N44" s="405"/>
      <c r="O44" s="405"/>
      <c r="P44" s="405"/>
      <c r="Q44" s="405"/>
      <c r="R44" s="405"/>
      <c r="S44" s="405"/>
      <c r="T44" s="405"/>
      <c r="U44" s="405"/>
      <c r="V44" s="405"/>
      <c r="W44" s="405"/>
      <c r="X44" s="405"/>
      <c r="Y44" s="405"/>
      <c r="Z44" s="405"/>
      <c r="AA44" s="405"/>
      <c r="AB44" s="405"/>
      <c r="AC44" s="405"/>
      <c r="AD44" s="405"/>
      <c r="AE44" s="405"/>
      <c r="AF44" s="405"/>
      <c r="AG44" s="405"/>
      <c r="AH44" s="405"/>
      <c r="AI44" s="405"/>
      <c r="AJ44" s="405"/>
      <c r="AK44" s="405"/>
      <c r="AL44" s="405"/>
      <c r="AM44" s="405"/>
      <c r="AN44" s="405"/>
      <c r="AO44" s="405"/>
      <c r="AP44" s="405"/>
      <c r="AQ44" s="405"/>
      <c r="AR44" s="405"/>
      <c r="AS44" s="405"/>
      <c r="AT44" s="405"/>
      <c r="AU44" s="405"/>
      <c r="AV44" s="405"/>
      <c r="AW44" s="405"/>
      <c r="AX44" s="405"/>
      <c r="AY44" s="405"/>
      <c r="AZ44" s="405"/>
      <c r="BA44" s="405"/>
      <c r="BB44" s="405"/>
      <c r="BC44" s="405"/>
      <c r="BD44" s="405"/>
      <c r="BE44" s="405"/>
      <c r="BF44" s="405"/>
      <c r="BG44" s="405"/>
      <c r="BH44" s="405"/>
      <c r="BI44" s="405"/>
      <c r="BJ44" s="405"/>
      <c r="BK44" s="405"/>
      <c r="BL44" s="405"/>
      <c r="BM44" s="405"/>
      <c r="BN44" s="405"/>
      <c r="BO44" s="405"/>
      <c r="BP44" s="405"/>
      <c r="BQ44" s="405"/>
      <c r="BR44" s="405"/>
      <c r="BS44" s="405"/>
      <c r="BT44" s="405"/>
      <c r="BU44" s="405"/>
      <c r="BV44" s="405"/>
      <c r="BW44" s="405"/>
      <c r="BX44" s="405"/>
      <c r="BY44" s="405"/>
      <c r="BZ44" s="405"/>
      <c r="CA44" s="405"/>
      <c r="CB44" s="405"/>
      <c r="CC44" s="405"/>
      <c r="CD44" s="405"/>
      <c r="CE44" s="405"/>
      <c r="CF44" s="405"/>
      <c r="CG44" s="405"/>
      <c r="CH44" s="405"/>
      <c r="CI44" s="405"/>
      <c r="CJ44" s="405"/>
      <c r="CK44" s="405"/>
      <c r="CL44" s="405"/>
      <c r="CM44" s="405"/>
      <c r="CN44" s="405"/>
      <c r="CO44" s="405"/>
      <c r="CP44" s="405"/>
      <c r="CQ44" s="405"/>
      <c r="CR44" s="405"/>
      <c r="CS44" s="405"/>
      <c r="CT44" s="405"/>
      <c r="CU44" s="405"/>
      <c r="CV44" s="405"/>
      <c r="CW44" s="405"/>
      <c r="CX44" s="405"/>
      <c r="CY44" s="405"/>
      <c r="CZ44" s="405"/>
      <c r="DA44" s="405"/>
      <c r="DB44" s="405"/>
      <c r="DC44" s="405"/>
      <c r="DD44" s="405"/>
      <c r="DE44" s="405"/>
      <c r="DF44" s="405"/>
      <c r="DG44" s="405"/>
      <c r="DH44" s="405"/>
      <c r="DI44" s="405"/>
      <c r="DJ44" s="405"/>
      <c r="DK44" s="405"/>
      <c r="DL44" s="405"/>
      <c r="DM44" s="405"/>
      <c r="DN44" s="405"/>
      <c r="DO44" s="405"/>
      <c r="DP44" s="405"/>
      <c r="DQ44" s="405"/>
      <c r="DR44" s="405"/>
      <c r="DS44" s="405"/>
      <c r="DT44" s="405"/>
      <c r="DU44" s="405"/>
      <c r="DV44" s="405"/>
      <c r="DW44" s="322" t="s">
        <v>372</v>
      </c>
    </row>
    <row r="45" spans="3:127" hidden="1" outlineLevel="1" x14ac:dyDescent="0.3">
      <c r="C45" s="406" t="s">
        <v>361</v>
      </c>
      <c r="D45" s="407">
        <f>SUM(F45:DV45)</f>
        <v>504564.76249812916</v>
      </c>
      <c r="E45" s="408"/>
      <c r="F45" s="409">
        <f t="shared" ref="F45:BQ45" si="9">F126</f>
        <v>-1367250</v>
      </c>
      <c r="G45" s="409">
        <f t="shared" si="9"/>
        <v>9655.6243749999994</v>
      </c>
      <c r="H45" s="409">
        <f t="shared" si="9"/>
        <v>9655.6243749999994</v>
      </c>
      <c r="I45" s="409">
        <f t="shared" si="9"/>
        <v>9655.6243749999994</v>
      </c>
      <c r="J45" s="409">
        <f t="shared" si="9"/>
        <v>9655.6243749999994</v>
      </c>
      <c r="K45" s="409">
        <f t="shared" si="9"/>
        <v>9655.6243749999994</v>
      </c>
      <c r="L45" s="409">
        <f t="shared" si="9"/>
        <v>9655.6243749999994</v>
      </c>
      <c r="M45" s="409">
        <f t="shared" si="9"/>
        <v>9655.6243749999994</v>
      </c>
      <c r="N45" s="409">
        <f t="shared" si="9"/>
        <v>9655.6243749999994</v>
      </c>
      <c r="O45" s="409">
        <f t="shared" si="9"/>
        <v>9655.6243749999994</v>
      </c>
      <c r="P45" s="409">
        <f t="shared" si="9"/>
        <v>9655.6243749999994</v>
      </c>
      <c r="Q45" s="409">
        <f t="shared" si="9"/>
        <v>9655.6243749999994</v>
      </c>
      <c r="R45" s="409">
        <f t="shared" si="9"/>
        <v>9655.6243749999994</v>
      </c>
      <c r="S45" s="409">
        <f t="shared" si="9"/>
        <v>10326.433731250003</v>
      </c>
      <c r="T45" s="409">
        <f t="shared" si="9"/>
        <v>10326.433731250003</v>
      </c>
      <c r="U45" s="409">
        <f t="shared" si="9"/>
        <v>10326.433731250003</v>
      </c>
      <c r="V45" s="409">
        <f t="shared" si="9"/>
        <v>10326.433731250003</v>
      </c>
      <c r="W45" s="409">
        <f t="shared" si="9"/>
        <v>10326.433731250003</v>
      </c>
      <c r="X45" s="409">
        <f t="shared" si="9"/>
        <v>10326.433731250003</v>
      </c>
      <c r="Y45" s="409">
        <f t="shared" si="9"/>
        <v>10326.433731250003</v>
      </c>
      <c r="Z45" s="409">
        <f t="shared" si="9"/>
        <v>10326.433731250003</v>
      </c>
      <c r="AA45" s="409">
        <f t="shared" si="9"/>
        <v>10326.433731250003</v>
      </c>
      <c r="AB45" s="409">
        <f t="shared" si="9"/>
        <v>10326.433731250003</v>
      </c>
      <c r="AC45" s="409">
        <f t="shared" si="9"/>
        <v>10326.433731250003</v>
      </c>
      <c r="AD45" s="409">
        <f t="shared" si="9"/>
        <v>10326.433731250003</v>
      </c>
      <c r="AE45" s="409">
        <f t="shared" si="9"/>
        <v>11017.367368187497</v>
      </c>
      <c r="AF45" s="409">
        <f t="shared" si="9"/>
        <v>11017.367368187497</v>
      </c>
      <c r="AG45" s="409">
        <f t="shared" si="9"/>
        <v>11017.367368187497</v>
      </c>
      <c r="AH45" s="409">
        <f t="shared" si="9"/>
        <v>11017.367368187497</v>
      </c>
      <c r="AI45" s="409">
        <f t="shared" si="9"/>
        <v>11017.367368187497</v>
      </c>
      <c r="AJ45" s="409">
        <f t="shared" si="9"/>
        <v>11017.367368187497</v>
      </c>
      <c r="AK45" s="409">
        <f t="shared" si="9"/>
        <v>11017.367368187497</v>
      </c>
      <c r="AL45" s="409">
        <f t="shared" si="9"/>
        <v>11017.367368187497</v>
      </c>
      <c r="AM45" s="409">
        <f t="shared" si="9"/>
        <v>11017.367368187497</v>
      </c>
      <c r="AN45" s="409">
        <f t="shared" si="9"/>
        <v>11017.367368187497</v>
      </c>
      <c r="AO45" s="409">
        <f t="shared" si="9"/>
        <v>11017.367368187497</v>
      </c>
      <c r="AP45" s="409">
        <f t="shared" si="9"/>
        <v>11017.367368187497</v>
      </c>
      <c r="AQ45" s="409">
        <f t="shared" si="9"/>
        <v>11729.029014233121</v>
      </c>
      <c r="AR45" s="409">
        <f t="shared" si="9"/>
        <v>11729.029014233121</v>
      </c>
      <c r="AS45" s="409">
        <f t="shared" si="9"/>
        <v>11729.029014233121</v>
      </c>
      <c r="AT45" s="409">
        <f t="shared" si="9"/>
        <v>11729.029014233121</v>
      </c>
      <c r="AU45" s="409">
        <f t="shared" si="9"/>
        <v>11729.029014233121</v>
      </c>
      <c r="AV45" s="409">
        <f t="shared" si="9"/>
        <v>11729.029014233121</v>
      </c>
      <c r="AW45" s="409">
        <f t="shared" si="9"/>
        <v>11729.029014233121</v>
      </c>
      <c r="AX45" s="409">
        <f t="shared" si="9"/>
        <v>11729.029014233121</v>
      </c>
      <c r="AY45" s="409">
        <f t="shared" si="9"/>
        <v>11729.029014233121</v>
      </c>
      <c r="AZ45" s="409">
        <f t="shared" si="9"/>
        <v>11729.029014233121</v>
      </c>
      <c r="BA45" s="409">
        <f t="shared" si="9"/>
        <v>11729.029014233121</v>
      </c>
      <c r="BB45" s="409">
        <f t="shared" si="9"/>
        <v>11729.029014233121</v>
      </c>
      <c r="BC45" s="409">
        <f t="shared" si="9"/>
        <v>6507.8585072451388</v>
      </c>
      <c r="BD45" s="409">
        <f t="shared" si="9"/>
        <v>6507.8585072451388</v>
      </c>
      <c r="BE45" s="409">
        <f t="shared" si="9"/>
        <v>6507.8585072451388</v>
      </c>
      <c r="BF45" s="409">
        <f t="shared" si="9"/>
        <v>6507.8585072451388</v>
      </c>
      <c r="BG45" s="409">
        <f t="shared" si="9"/>
        <v>6507.8585072451388</v>
      </c>
      <c r="BH45" s="409">
        <f t="shared" si="9"/>
        <v>6507.8585072451388</v>
      </c>
      <c r="BI45" s="409">
        <f t="shared" si="9"/>
        <v>6507.8585072451388</v>
      </c>
      <c r="BJ45" s="409">
        <f t="shared" si="9"/>
        <v>6507.8585072451388</v>
      </c>
      <c r="BK45" s="409">
        <f t="shared" si="9"/>
        <v>6507.8585072451388</v>
      </c>
      <c r="BL45" s="409">
        <f t="shared" si="9"/>
        <v>6507.8585072451388</v>
      </c>
      <c r="BM45" s="409">
        <f t="shared" si="9"/>
        <v>6507.8585072451388</v>
      </c>
      <c r="BN45" s="409">
        <f t="shared" si="9"/>
        <v>1287486.8650543864</v>
      </c>
      <c r="BO45" s="409">
        <f t="shared" si="9"/>
        <v>0</v>
      </c>
      <c r="BP45" s="409">
        <f t="shared" si="9"/>
        <v>0</v>
      </c>
      <c r="BQ45" s="409">
        <f t="shared" si="9"/>
        <v>0</v>
      </c>
      <c r="BR45" s="409">
        <f t="shared" ref="BR45:DV45" si="10">BR126</f>
        <v>0</v>
      </c>
      <c r="BS45" s="409">
        <f t="shared" si="10"/>
        <v>0</v>
      </c>
      <c r="BT45" s="409">
        <f t="shared" si="10"/>
        <v>0</v>
      </c>
      <c r="BU45" s="409">
        <f t="shared" si="10"/>
        <v>0</v>
      </c>
      <c r="BV45" s="409">
        <f t="shared" si="10"/>
        <v>0</v>
      </c>
      <c r="BW45" s="409">
        <f t="shared" si="10"/>
        <v>0</v>
      </c>
      <c r="BX45" s="409">
        <f t="shared" si="10"/>
        <v>0</v>
      </c>
      <c r="BY45" s="409">
        <f t="shared" si="10"/>
        <v>0</v>
      </c>
      <c r="BZ45" s="409">
        <f t="shared" si="10"/>
        <v>0</v>
      </c>
      <c r="CA45" s="409">
        <f t="shared" si="10"/>
        <v>0</v>
      </c>
      <c r="CB45" s="409">
        <f t="shared" si="10"/>
        <v>0</v>
      </c>
      <c r="CC45" s="409">
        <f t="shared" si="10"/>
        <v>0</v>
      </c>
      <c r="CD45" s="409">
        <f t="shared" si="10"/>
        <v>0</v>
      </c>
      <c r="CE45" s="409">
        <f t="shared" si="10"/>
        <v>0</v>
      </c>
      <c r="CF45" s="409">
        <f t="shared" si="10"/>
        <v>0</v>
      </c>
      <c r="CG45" s="409">
        <f t="shared" si="10"/>
        <v>0</v>
      </c>
      <c r="CH45" s="409">
        <f t="shared" si="10"/>
        <v>0</v>
      </c>
      <c r="CI45" s="409">
        <f t="shared" si="10"/>
        <v>0</v>
      </c>
      <c r="CJ45" s="409">
        <f t="shared" si="10"/>
        <v>0</v>
      </c>
      <c r="CK45" s="409">
        <f t="shared" si="10"/>
        <v>0</v>
      </c>
      <c r="CL45" s="409">
        <f t="shared" si="10"/>
        <v>0</v>
      </c>
      <c r="CM45" s="409">
        <f t="shared" si="10"/>
        <v>0</v>
      </c>
      <c r="CN45" s="409">
        <f t="shared" si="10"/>
        <v>0</v>
      </c>
      <c r="CO45" s="409">
        <f t="shared" si="10"/>
        <v>0</v>
      </c>
      <c r="CP45" s="409">
        <f t="shared" si="10"/>
        <v>0</v>
      </c>
      <c r="CQ45" s="409">
        <f t="shared" si="10"/>
        <v>0</v>
      </c>
      <c r="CR45" s="409">
        <f t="shared" si="10"/>
        <v>0</v>
      </c>
      <c r="CS45" s="409">
        <f t="shared" si="10"/>
        <v>0</v>
      </c>
      <c r="CT45" s="409">
        <f t="shared" si="10"/>
        <v>0</v>
      </c>
      <c r="CU45" s="409">
        <f t="shared" si="10"/>
        <v>0</v>
      </c>
      <c r="CV45" s="409">
        <f t="shared" si="10"/>
        <v>0</v>
      </c>
      <c r="CW45" s="409">
        <f t="shared" si="10"/>
        <v>0</v>
      </c>
      <c r="CX45" s="409">
        <f t="shared" si="10"/>
        <v>0</v>
      </c>
      <c r="CY45" s="409">
        <f t="shared" si="10"/>
        <v>0</v>
      </c>
      <c r="CZ45" s="409">
        <f t="shared" si="10"/>
        <v>0</v>
      </c>
      <c r="DA45" s="409">
        <f t="shared" si="10"/>
        <v>0</v>
      </c>
      <c r="DB45" s="409">
        <f t="shared" si="10"/>
        <v>0</v>
      </c>
      <c r="DC45" s="409">
        <f t="shared" si="10"/>
        <v>0</v>
      </c>
      <c r="DD45" s="409">
        <f t="shared" si="10"/>
        <v>0</v>
      </c>
      <c r="DE45" s="409">
        <f t="shared" si="10"/>
        <v>0</v>
      </c>
      <c r="DF45" s="409">
        <f t="shared" si="10"/>
        <v>0</v>
      </c>
      <c r="DG45" s="409">
        <f t="shared" si="10"/>
        <v>0</v>
      </c>
      <c r="DH45" s="409">
        <f t="shared" si="10"/>
        <v>0</v>
      </c>
      <c r="DI45" s="409">
        <f t="shared" si="10"/>
        <v>0</v>
      </c>
      <c r="DJ45" s="409">
        <f t="shared" si="10"/>
        <v>0</v>
      </c>
      <c r="DK45" s="409">
        <f t="shared" si="10"/>
        <v>0</v>
      </c>
      <c r="DL45" s="409">
        <f t="shared" si="10"/>
        <v>0</v>
      </c>
      <c r="DM45" s="409">
        <f t="shared" si="10"/>
        <v>0</v>
      </c>
      <c r="DN45" s="409">
        <f t="shared" si="10"/>
        <v>0</v>
      </c>
      <c r="DO45" s="409">
        <f t="shared" si="10"/>
        <v>0</v>
      </c>
      <c r="DP45" s="409">
        <f t="shared" si="10"/>
        <v>0</v>
      </c>
      <c r="DQ45" s="409">
        <f t="shared" si="10"/>
        <v>0</v>
      </c>
      <c r="DR45" s="409">
        <f t="shared" si="10"/>
        <v>0</v>
      </c>
      <c r="DS45" s="409">
        <f t="shared" si="10"/>
        <v>0</v>
      </c>
      <c r="DT45" s="409">
        <f t="shared" si="10"/>
        <v>0</v>
      </c>
      <c r="DU45" s="409">
        <f t="shared" si="10"/>
        <v>0</v>
      </c>
      <c r="DV45" s="409">
        <f t="shared" si="10"/>
        <v>0</v>
      </c>
      <c r="DW45" s="322" t="s">
        <v>372</v>
      </c>
    </row>
    <row r="46" spans="3:127" hidden="1" outlineLevel="1" x14ac:dyDescent="0.3">
      <c r="C46" s="406" t="s">
        <v>363</v>
      </c>
      <c r="D46" s="410">
        <f>SUM(F46:DV46)</f>
        <v>598971.85878531402</v>
      </c>
      <c r="E46" s="411"/>
      <c r="F46" s="412">
        <f t="shared" ref="F46:BQ46" si="11">F157</f>
        <v>0</v>
      </c>
      <c r="G46" s="412">
        <f t="shared" si="11"/>
        <v>0</v>
      </c>
      <c r="H46" s="412">
        <f t="shared" si="11"/>
        <v>0</v>
      </c>
      <c r="I46" s="412">
        <f t="shared" si="11"/>
        <v>0</v>
      </c>
      <c r="J46" s="412">
        <f t="shared" si="11"/>
        <v>0</v>
      </c>
      <c r="K46" s="412">
        <f t="shared" si="11"/>
        <v>0</v>
      </c>
      <c r="L46" s="412">
        <f t="shared" si="11"/>
        <v>0</v>
      </c>
      <c r="M46" s="412">
        <f t="shared" si="11"/>
        <v>0</v>
      </c>
      <c r="N46" s="412">
        <f t="shared" si="11"/>
        <v>0</v>
      </c>
      <c r="O46" s="412">
        <f t="shared" si="11"/>
        <v>0</v>
      </c>
      <c r="P46" s="412">
        <f t="shared" si="11"/>
        <v>0</v>
      </c>
      <c r="Q46" s="412">
        <f t="shared" si="11"/>
        <v>0</v>
      </c>
      <c r="R46" s="412">
        <f t="shared" si="11"/>
        <v>0</v>
      </c>
      <c r="S46" s="412">
        <f t="shared" si="11"/>
        <v>0</v>
      </c>
      <c r="T46" s="412">
        <f t="shared" si="11"/>
        <v>0</v>
      </c>
      <c r="U46" s="412">
        <f t="shared" si="11"/>
        <v>0</v>
      </c>
      <c r="V46" s="412">
        <f t="shared" si="11"/>
        <v>0</v>
      </c>
      <c r="W46" s="412">
        <f t="shared" si="11"/>
        <v>0</v>
      </c>
      <c r="X46" s="412">
        <f t="shared" si="11"/>
        <v>0</v>
      </c>
      <c r="Y46" s="412">
        <f t="shared" si="11"/>
        <v>0</v>
      </c>
      <c r="Z46" s="412">
        <f t="shared" si="11"/>
        <v>0</v>
      </c>
      <c r="AA46" s="412">
        <f t="shared" si="11"/>
        <v>0</v>
      </c>
      <c r="AB46" s="412">
        <f t="shared" si="11"/>
        <v>0</v>
      </c>
      <c r="AC46" s="412">
        <f t="shared" si="11"/>
        <v>0</v>
      </c>
      <c r="AD46" s="412">
        <f t="shared" si="11"/>
        <v>0</v>
      </c>
      <c r="AE46" s="412">
        <f t="shared" si="11"/>
        <v>0</v>
      </c>
      <c r="AF46" s="412">
        <f t="shared" si="11"/>
        <v>0</v>
      </c>
      <c r="AG46" s="412">
        <f t="shared" si="11"/>
        <v>0</v>
      </c>
      <c r="AH46" s="412">
        <f t="shared" si="11"/>
        <v>0</v>
      </c>
      <c r="AI46" s="412">
        <f t="shared" si="11"/>
        <v>0</v>
      </c>
      <c r="AJ46" s="412">
        <f t="shared" si="11"/>
        <v>0</v>
      </c>
      <c r="AK46" s="412">
        <f t="shared" si="11"/>
        <v>0</v>
      </c>
      <c r="AL46" s="412">
        <f t="shared" si="11"/>
        <v>0</v>
      </c>
      <c r="AM46" s="412">
        <f t="shared" si="11"/>
        <v>0</v>
      </c>
      <c r="AN46" s="412">
        <f t="shared" si="11"/>
        <v>0</v>
      </c>
      <c r="AO46" s="412">
        <f t="shared" si="11"/>
        <v>0</v>
      </c>
      <c r="AP46" s="412">
        <f t="shared" si="11"/>
        <v>0</v>
      </c>
      <c r="AQ46" s="412">
        <f t="shared" si="11"/>
        <v>0</v>
      </c>
      <c r="AR46" s="412">
        <f t="shared" si="11"/>
        <v>0</v>
      </c>
      <c r="AS46" s="412">
        <f t="shared" si="11"/>
        <v>0</v>
      </c>
      <c r="AT46" s="412">
        <f t="shared" si="11"/>
        <v>0</v>
      </c>
      <c r="AU46" s="412">
        <f t="shared" si="11"/>
        <v>0</v>
      </c>
      <c r="AV46" s="412">
        <f t="shared" si="11"/>
        <v>0</v>
      </c>
      <c r="AW46" s="412">
        <f t="shared" si="11"/>
        <v>0</v>
      </c>
      <c r="AX46" s="412">
        <f t="shared" si="11"/>
        <v>0</v>
      </c>
      <c r="AY46" s="412">
        <f t="shared" si="11"/>
        <v>0</v>
      </c>
      <c r="AZ46" s="412">
        <f t="shared" si="11"/>
        <v>0</v>
      </c>
      <c r="BA46" s="412">
        <f t="shared" si="11"/>
        <v>0</v>
      </c>
      <c r="BB46" s="412">
        <f t="shared" si="11"/>
        <v>0</v>
      </c>
      <c r="BC46" s="412">
        <f t="shared" si="11"/>
        <v>0</v>
      </c>
      <c r="BD46" s="412">
        <f t="shared" si="11"/>
        <v>0</v>
      </c>
      <c r="BE46" s="412">
        <f t="shared" si="11"/>
        <v>0</v>
      </c>
      <c r="BF46" s="412">
        <f t="shared" si="11"/>
        <v>0</v>
      </c>
      <c r="BG46" s="412">
        <f t="shared" si="11"/>
        <v>0</v>
      </c>
      <c r="BH46" s="412">
        <f t="shared" si="11"/>
        <v>0</v>
      </c>
      <c r="BI46" s="412">
        <f t="shared" si="11"/>
        <v>0</v>
      </c>
      <c r="BJ46" s="412">
        <f t="shared" si="11"/>
        <v>0</v>
      </c>
      <c r="BK46" s="412">
        <f t="shared" si="11"/>
        <v>0</v>
      </c>
      <c r="BL46" s="412">
        <f t="shared" si="11"/>
        <v>0</v>
      </c>
      <c r="BM46" s="412">
        <f t="shared" si="11"/>
        <v>0</v>
      </c>
      <c r="BN46" s="412">
        <f t="shared" si="11"/>
        <v>598971.85878531402</v>
      </c>
      <c r="BO46" s="412">
        <f t="shared" si="11"/>
        <v>0</v>
      </c>
      <c r="BP46" s="412">
        <f t="shared" si="11"/>
        <v>0</v>
      </c>
      <c r="BQ46" s="412">
        <f t="shared" si="11"/>
        <v>0</v>
      </c>
      <c r="BR46" s="412">
        <f t="shared" ref="BR46:DV46" si="12">BR157</f>
        <v>0</v>
      </c>
      <c r="BS46" s="412">
        <f t="shared" si="12"/>
        <v>0</v>
      </c>
      <c r="BT46" s="412">
        <f t="shared" si="12"/>
        <v>0</v>
      </c>
      <c r="BU46" s="412">
        <f t="shared" si="12"/>
        <v>0</v>
      </c>
      <c r="BV46" s="412">
        <f t="shared" si="12"/>
        <v>0</v>
      </c>
      <c r="BW46" s="412">
        <f t="shared" si="12"/>
        <v>0</v>
      </c>
      <c r="BX46" s="412">
        <f t="shared" si="12"/>
        <v>0</v>
      </c>
      <c r="BY46" s="412">
        <f t="shared" si="12"/>
        <v>0</v>
      </c>
      <c r="BZ46" s="412">
        <f t="shared" si="12"/>
        <v>0</v>
      </c>
      <c r="CA46" s="412">
        <f t="shared" si="12"/>
        <v>0</v>
      </c>
      <c r="CB46" s="412">
        <f t="shared" si="12"/>
        <v>0</v>
      </c>
      <c r="CC46" s="412">
        <f t="shared" si="12"/>
        <v>0</v>
      </c>
      <c r="CD46" s="412">
        <f t="shared" si="12"/>
        <v>0</v>
      </c>
      <c r="CE46" s="412">
        <f t="shared" si="12"/>
        <v>0</v>
      </c>
      <c r="CF46" s="412">
        <f t="shared" si="12"/>
        <v>0</v>
      </c>
      <c r="CG46" s="412">
        <f t="shared" si="12"/>
        <v>0</v>
      </c>
      <c r="CH46" s="412">
        <f t="shared" si="12"/>
        <v>0</v>
      </c>
      <c r="CI46" s="412">
        <f t="shared" si="12"/>
        <v>0</v>
      </c>
      <c r="CJ46" s="412">
        <f t="shared" si="12"/>
        <v>0</v>
      </c>
      <c r="CK46" s="412">
        <f t="shared" si="12"/>
        <v>0</v>
      </c>
      <c r="CL46" s="412">
        <f t="shared" si="12"/>
        <v>0</v>
      </c>
      <c r="CM46" s="412">
        <f t="shared" si="12"/>
        <v>0</v>
      </c>
      <c r="CN46" s="412">
        <f t="shared" si="12"/>
        <v>0</v>
      </c>
      <c r="CO46" s="412">
        <f t="shared" si="12"/>
        <v>0</v>
      </c>
      <c r="CP46" s="412">
        <f t="shared" si="12"/>
        <v>0</v>
      </c>
      <c r="CQ46" s="412">
        <f t="shared" si="12"/>
        <v>0</v>
      </c>
      <c r="CR46" s="412">
        <f t="shared" si="12"/>
        <v>0</v>
      </c>
      <c r="CS46" s="412">
        <f t="shared" si="12"/>
        <v>0</v>
      </c>
      <c r="CT46" s="412">
        <f t="shared" si="12"/>
        <v>0</v>
      </c>
      <c r="CU46" s="412">
        <f t="shared" si="12"/>
        <v>0</v>
      </c>
      <c r="CV46" s="412">
        <f t="shared" si="12"/>
        <v>0</v>
      </c>
      <c r="CW46" s="412">
        <f t="shared" si="12"/>
        <v>0</v>
      </c>
      <c r="CX46" s="412">
        <f t="shared" si="12"/>
        <v>0</v>
      </c>
      <c r="CY46" s="412">
        <f t="shared" si="12"/>
        <v>0</v>
      </c>
      <c r="CZ46" s="412">
        <f t="shared" si="12"/>
        <v>0</v>
      </c>
      <c r="DA46" s="412">
        <f t="shared" si="12"/>
        <v>0</v>
      </c>
      <c r="DB46" s="412">
        <f t="shared" si="12"/>
        <v>0</v>
      </c>
      <c r="DC46" s="412">
        <f t="shared" si="12"/>
        <v>0</v>
      </c>
      <c r="DD46" s="412">
        <f t="shared" si="12"/>
        <v>0</v>
      </c>
      <c r="DE46" s="412">
        <f t="shared" si="12"/>
        <v>0</v>
      </c>
      <c r="DF46" s="412">
        <f t="shared" si="12"/>
        <v>0</v>
      </c>
      <c r="DG46" s="412">
        <f t="shared" si="12"/>
        <v>0</v>
      </c>
      <c r="DH46" s="412">
        <f t="shared" si="12"/>
        <v>0</v>
      </c>
      <c r="DI46" s="412">
        <f t="shared" si="12"/>
        <v>0</v>
      </c>
      <c r="DJ46" s="412">
        <f t="shared" si="12"/>
        <v>0</v>
      </c>
      <c r="DK46" s="412">
        <f t="shared" si="12"/>
        <v>0</v>
      </c>
      <c r="DL46" s="412">
        <f t="shared" si="12"/>
        <v>0</v>
      </c>
      <c r="DM46" s="412">
        <f t="shared" si="12"/>
        <v>0</v>
      </c>
      <c r="DN46" s="412">
        <f t="shared" si="12"/>
        <v>0</v>
      </c>
      <c r="DO46" s="412">
        <f t="shared" si="12"/>
        <v>0</v>
      </c>
      <c r="DP46" s="412">
        <f t="shared" si="12"/>
        <v>0</v>
      </c>
      <c r="DQ46" s="412">
        <f t="shared" si="12"/>
        <v>0</v>
      </c>
      <c r="DR46" s="412">
        <f t="shared" si="12"/>
        <v>0</v>
      </c>
      <c r="DS46" s="412">
        <f t="shared" si="12"/>
        <v>0</v>
      </c>
      <c r="DT46" s="412">
        <f t="shared" si="12"/>
        <v>0</v>
      </c>
      <c r="DU46" s="412">
        <f t="shared" si="12"/>
        <v>0</v>
      </c>
      <c r="DV46" s="412">
        <f t="shared" si="12"/>
        <v>0</v>
      </c>
      <c r="DW46" s="322" t="s">
        <v>372</v>
      </c>
    </row>
    <row r="47" spans="3:127" hidden="1" outlineLevel="1" x14ac:dyDescent="0.3">
      <c r="C47" s="406" t="s">
        <v>364</v>
      </c>
      <c r="D47" s="410">
        <f>SUM(F47:DV47)</f>
        <v>536371.61777112889</v>
      </c>
      <c r="E47" s="411"/>
      <c r="F47" s="412">
        <f t="shared" ref="F47:BQ47" si="13">F190</f>
        <v>0</v>
      </c>
      <c r="G47" s="412">
        <f t="shared" si="13"/>
        <v>0</v>
      </c>
      <c r="H47" s="412">
        <f t="shared" si="13"/>
        <v>0</v>
      </c>
      <c r="I47" s="412">
        <f t="shared" si="13"/>
        <v>0</v>
      </c>
      <c r="J47" s="412">
        <f t="shared" si="13"/>
        <v>0</v>
      </c>
      <c r="K47" s="412">
        <f t="shared" si="13"/>
        <v>0</v>
      </c>
      <c r="L47" s="412">
        <f t="shared" si="13"/>
        <v>0</v>
      </c>
      <c r="M47" s="412">
        <f t="shared" si="13"/>
        <v>0</v>
      </c>
      <c r="N47" s="412">
        <f t="shared" si="13"/>
        <v>0</v>
      </c>
      <c r="O47" s="412">
        <f t="shared" si="13"/>
        <v>0</v>
      </c>
      <c r="P47" s="412">
        <f t="shared" si="13"/>
        <v>0</v>
      </c>
      <c r="Q47" s="412">
        <f t="shared" si="13"/>
        <v>0</v>
      </c>
      <c r="R47" s="412">
        <f t="shared" si="13"/>
        <v>0</v>
      </c>
      <c r="S47" s="412">
        <f t="shared" si="13"/>
        <v>0</v>
      </c>
      <c r="T47" s="412">
        <f t="shared" si="13"/>
        <v>0</v>
      </c>
      <c r="U47" s="412">
        <f t="shared" si="13"/>
        <v>0</v>
      </c>
      <c r="V47" s="412">
        <f t="shared" si="13"/>
        <v>0</v>
      </c>
      <c r="W47" s="412">
        <f t="shared" si="13"/>
        <v>0</v>
      </c>
      <c r="X47" s="412">
        <f t="shared" si="13"/>
        <v>0</v>
      </c>
      <c r="Y47" s="412">
        <f t="shared" si="13"/>
        <v>0</v>
      </c>
      <c r="Z47" s="412">
        <f t="shared" si="13"/>
        <v>0</v>
      </c>
      <c r="AA47" s="412">
        <f t="shared" si="13"/>
        <v>0</v>
      </c>
      <c r="AB47" s="412">
        <f t="shared" si="13"/>
        <v>0</v>
      </c>
      <c r="AC47" s="412">
        <f t="shared" si="13"/>
        <v>0</v>
      </c>
      <c r="AD47" s="412">
        <f t="shared" si="13"/>
        <v>0</v>
      </c>
      <c r="AE47" s="412">
        <f t="shared" si="13"/>
        <v>0</v>
      </c>
      <c r="AF47" s="412">
        <f t="shared" si="13"/>
        <v>0</v>
      </c>
      <c r="AG47" s="412">
        <f t="shared" si="13"/>
        <v>0</v>
      </c>
      <c r="AH47" s="412">
        <f t="shared" si="13"/>
        <v>0</v>
      </c>
      <c r="AI47" s="412">
        <f t="shared" si="13"/>
        <v>0</v>
      </c>
      <c r="AJ47" s="412">
        <f t="shared" si="13"/>
        <v>0</v>
      </c>
      <c r="AK47" s="412">
        <f t="shared" si="13"/>
        <v>0</v>
      </c>
      <c r="AL47" s="412">
        <f t="shared" si="13"/>
        <v>0</v>
      </c>
      <c r="AM47" s="412">
        <f t="shared" si="13"/>
        <v>0</v>
      </c>
      <c r="AN47" s="412">
        <f t="shared" si="13"/>
        <v>0</v>
      </c>
      <c r="AO47" s="412">
        <f t="shared" si="13"/>
        <v>0</v>
      </c>
      <c r="AP47" s="412">
        <f t="shared" si="13"/>
        <v>0</v>
      </c>
      <c r="AQ47" s="412">
        <f t="shared" si="13"/>
        <v>0</v>
      </c>
      <c r="AR47" s="412">
        <f t="shared" si="13"/>
        <v>0</v>
      </c>
      <c r="AS47" s="412">
        <f t="shared" si="13"/>
        <v>0</v>
      </c>
      <c r="AT47" s="412">
        <f t="shared" si="13"/>
        <v>0</v>
      </c>
      <c r="AU47" s="412">
        <f t="shared" si="13"/>
        <v>0</v>
      </c>
      <c r="AV47" s="412">
        <f t="shared" si="13"/>
        <v>0</v>
      </c>
      <c r="AW47" s="412">
        <f t="shared" si="13"/>
        <v>0</v>
      </c>
      <c r="AX47" s="412">
        <f t="shared" si="13"/>
        <v>0</v>
      </c>
      <c r="AY47" s="412">
        <f t="shared" si="13"/>
        <v>0</v>
      </c>
      <c r="AZ47" s="412">
        <f t="shared" si="13"/>
        <v>0</v>
      </c>
      <c r="BA47" s="412">
        <f t="shared" si="13"/>
        <v>0</v>
      </c>
      <c r="BB47" s="412">
        <f t="shared" si="13"/>
        <v>0</v>
      </c>
      <c r="BC47" s="412">
        <f t="shared" si="13"/>
        <v>0</v>
      </c>
      <c r="BD47" s="412">
        <f t="shared" si="13"/>
        <v>0</v>
      </c>
      <c r="BE47" s="412">
        <f t="shared" si="13"/>
        <v>0</v>
      </c>
      <c r="BF47" s="412">
        <f t="shared" si="13"/>
        <v>0</v>
      </c>
      <c r="BG47" s="412">
        <f t="shared" si="13"/>
        <v>0</v>
      </c>
      <c r="BH47" s="412">
        <f t="shared" si="13"/>
        <v>0</v>
      </c>
      <c r="BI47" s="412">
        <f t="shared" si="13"/>
        <v>0</v>
      </c>
      <c r="BJ47" s="412">
        <f t="shared" si="13"/>
        <v>0</v>
      </c>
      <c r="BK47" s="412">
        <f t="shared" si="13"/>
        <v>0</v>
      </c>
      <c r="BL47" s="412">
        <f t="shared" si="13"/>
        <v>0</v>
      </c>
      <c r="BM47" s="412">
        <f t="shared" si="13"/>
        <v>0</v>
      </c>
      <c r="BN47" s="412">
        <f t="shared" si="13"/>
        <v>536371.61777112889</v>
      </c>
      <c r="BO47" s="412">
        <f t="shared" si="13"/>
        <v>0</v>
      </c>
      <c r="BP47" s="412">
        <f t="shared" si="13"/>
        <v>0</v>
      </c>
      <c r="BQ47" s="412">
        <f t="shared" si="13"/>
        <v>0</v>
      </c>
      <c r="BR47" s="412">
        <f t="shared" ref="BR47:DV47" si="14">BR190</f>
        <v>0</v>
      </c>
      <c r="BS47" s="412">
        <f t="shared" si="14"/>
        <v>0</v>
      </c>
      <c r="BT47" s="412">
        <f t="shared" si="14"/>
        <v>0</v>
      </c>
      <c r="BU47" s="412">
        <f t="shared" si="14"/>
        <v>0</v>
      </c>
      <c r="BV47" s="412">
        <f t="shared" si="14"/>
        <v>0</v>
      </c>
      <c r="BW47" s="412">
        <f t="shared" si="14"/>
        <v>0</v>
      </c>
      <c r="BX47" s="412">
        <f t="shared" si="14"/>
        <v>0</v>
      </c>
      <c r="BY47" s="412">
        <f t="shared" si="14"/>
        <v>0</v>
      </c>
      <c r="BZ47" s="412">
        <f t="shared" si="14"/>
        <v>0</v>
      </c>
      <c r="CA47" s="412">
        <f t="shared" si="14"/>
        <v>0</v>
      </c>
      <c r="CB47" s="412">
        <f t="shared" si="14"/>
        <v>0</v>
      </c>
      <c r="CC47" s="412">
        <f t="shared" si="14"/>
        <v>0</v>
      </c>
      <c r="CD47" s="412">
        <f t="shared" si="14"/>
        <v>0</v>
      </c>
      <c r="CE47" s="412">
        <f t="shared" si="14"/>
        <v>0</v>
      </c>
      <c r="CF47" s="412">
        <f t="shared" si="14"/>
        <v>0</v>
      </c>
      <c r="CG47" s="412">
        <f t="shared" si="14"/>
        <v>0</v>
      </c>
      <c r="CH47" s="412">
        <f t="shared" si="14"/>
        <v>0</v>
      </c>
      <c r="CI47" s="412">
        <f t="shared" si="14"/>
        <v>0</v>
      </c>
      <c r="CJ47" s="412">
        <f t="shared" si="14"/>
        <v>0</v>
      </c>
      <c r="CK47" s="412">
        <f t="shared" si="14"/>
        <v>0</v>
      </c>
      <c r="CL47" s="412">
        <f t="shared" si="14"/>
        <v>0</v>
      </c>
      <c r="CM47" s="412">
        <f t="shared" si="14"/>
        <v>0</v>
      </c>
      <c r="CN47" s="412">
        <f t="shared" si="14"/>
        <v>0</v>
      </c>
      <c r="CO47" s="412">
        <f t="shared" si="14"/>
        <v>0</v>
      </c>
      <c r="CP47" s="412">
        <f t="shared" si="14"/>
        <v>0</v>
      </c>
      <c r="CQ47" s="412">
        <f t="shared" si="14"/>
        <v>0</v>
      </c>
      <c r="CR47" s="412">
        <f t="shared" si="14"/>
        <v>0</v>
      </c>
      <c r="CS47" s="412">
        <f t="shared" si="14"/>
        <v>0</v>
      </c>
      <c r="CT47" s="412">
        <f t="shared" si="14"/>
        <v>0</v>
      </c>
      <c r="CU47" s="412">
        <f t="shared" si="14"/>
        <v>0</v>
      </c>
      <c r="CV47" s="412">
        <f t="shared" si="14"/>
        <v>0</v>
      </c>
      <c r="CW47" s="412">
        <f t="shared" si="14"/>
        <v>0</v>
      </c>
      <c r="CX47" s="412">
        <f t="shared" si="14"/>
        <v>0</v>
      </c>
      <c r="CY47" s="412">
        <f t="shared" si="14"/>
        <v>0</v>
      </c>
      <c r="CZ47" s="412">
        <f t="shared" si="14"/>
        <v>0</v>
      </c>
      <c r="DA47" s="412">
        <f t="shared" si="14"/>
        <v>0</v>
      </c>
      <c r="DB47" s="412">
        <f t="shared" si="14"/>
        <v>0</v>
      </c>
      <c r="DC47" s="412">
        <f t="shared" si="14"/>
        <v>0</v>
      </c>
      <c r="DD47" s="412">
        <f t="shared" si="14"/>
        <v>0</v>
      </c>
      <c r="DE47" s="412">
        <f t="shared" si="14"/>
        <v>0</v>
      </c>
      <c r="DF47" s="412">
        <f t="shared" si="14"/>
        <v>0</v>
      </c>
      <c r="DG47" s="412">
        <f t="shared" si="14"/>
        <v>0</v>
      </c>
      <c r="DH47" s="412">
        <f t="shared" si="14"/>
        <v>0</v>
      </c>
      <c r="DI47" s="412">
        <f t="shared" si="14"/>
        <v>0</v>
      </c>
      <c r="DJ47" s="412">
        <f t="shared" si="14"/>
        <v>0</v>
      </c>
      <c r="DK47" s="412">
        <f t="shared" si="14"/>
        <v>0</v>
      </c>
      <c r="DL47" s="412">
        <f t="shared" si="14"/>
        <v>0</v>
      </c>
      <c r="DM47" s="412">
        <f t="shared" si="14"/>
        <v>0</v>
      </c>
      <c r="DN47" s="412">
        <f t="shared" si="14"/>
        <v>0</v>
      </c>
      <c r="DO47" s="412">
        <f t="shared" si="14"/>
        <v>0</v>
      </c>
      <c r="DP47" s="412">
        <f t="shared" si="14"/>
        <v>0</v>
      </c>
      <c r="DQ47" s="412">
        <f t="shared" si="14"/>
        <v>0</v>
      </c>
      <c r="DR47" s="412">
        <f t="shared" si="14"/>
        <v>0</v>
      </c>
      <c r="DS47" s="412">
        <f t="shared" si="14"/>
        <v>0</v>
      </c>
      <c r="DT47" s="412">
        <f t="shared" si="14"/>
        <v>0</v>
      </c>
      <c r="DU47" s="412">
        <f t="shared" si="14"/>
        <v>0</v>
      </c>
      <c r="DV47" s="412">
        <f t="shared" si="14"/>
        <v>0</v>
      </c>
      <c r="DW47" s="322" t="s">
        <v>372</v>
      </c>
    </row>
    <row r="48" spans="3:127" hidden="1" outlineLevel="1" x14ac:dyDescent="0.3">
      <c r="C48" s="406" t="s">
        <v>365</v>
      </c>
      <c r="D48" s="410">
        <f>SUM(F48:DV48)</f>
        <v>139624.05376643315</v>
      </c>
      <c r="E48" s="411"/>
      <c r="F48" s="412">
        <f t="shared" ref="F48:BQ48" si="15">F208</f>
        <v>0</v>
      </c>
      <c r="G48" s="412">
        <f t="shared" si="15"/>
        <v>0</v>
      </c>
      <c r="H48" s="412">
        <f t="shared" si="15"/>
        <v>0</v>
      </c>
      <c r="I48" s="412">
        <f t="shared" si="15"/>
        <v>0</v>
      </c>
      <c r="J48" s="412">
        <f t="shared" si="15"/>
        <v>0</v>
      </c>
      <c r="K48" s="412">
        <f t="shared" si="15"/>
        <v>0</v>
      </c>
      <c r="L48" s="412">
        <f t="shared" si="15"/>
        <v>0</v>
      </c>
      <c r="M48" s="412">
        <f t="shared" si="15"/>
        <v>0</v>
      </c>
      <c r="N48" s="412">
        <f t="shared" si="15"/>
        <v>0</v>
      </c>
      <c r="O48" s="412">
        <f t="shared" si="15"/>
        <v>0</v>
      </c>
      <c r="P48" s="412">
        <f t="shared" si="15"/>
        <v>0</v>
      </c>
      <c r="Q48" s="412">
        <f t="shared" si="15"/>
        <v>0</v>
      </c>
      <c r="R48" s="412">
        <f t="shared" si="15"/>
        <v>0</v>
      </c>
      <c r="S48" s="412">
        <f t="shared" si="15"/>
        <v>0</v>
      </c>
      <c r="T48" s="412">
        <f t="shared" si="15"/>
        <v>0</v>
      </c>
      <c r="U48" s="412">
        <f t="shared" si="15"/>
        <v>0</v>
      </c>
      <c r="V48" s="412">
        <f t="shared" si="15"/>
        <v>0</v>
      </c>
      <c r="W48" s="412">
        <f t="shared" si="15"/>
        <v>0</v>
      </c>
      <c r="X48" s="412">
        <f t="shared" si="15"/>
        <v>0</v>
      </c>
      <c r="Y48" s="412">
        <f t="shared" si="15"/>
        <v>0</v>
      </c>
      <c r="Z48" s="412">
        <f t="shared" si="15"/>
        <v>0</v>
      </c>
      <c r="AA48" s="412">
        <f t="shared" si="15"/>
        <v>0</v>
      </c>
      <c r="AB48" s="412">
        <f t="shared" si="15"/>
        <v>0</v>
      </c>
      <c r="AC48" s="412">
        <f t="shared" si="15"/>
        <v>0</v>
      </c>
      <c r="AD48" s="412">
        <f t="shared" si="15"/>
        <v>0</v>
      </c>
      <c r="AE48" s="412">
        <f t="shared" si="15"/>
        <v>0</v>
      </c>
      <c r="AF48" s="412">
        <f t="shared" si="15"/>
        <v>0</v>
      </c>
      <c r="AG48" s="412">
        <f t="shared" si="15"/>
        <v>0</v>
      </c>
      <c r="AH48" s="412">
        <f t="shared" si="15"/>
        <v>0</v>
      </c>
      <c r="AI48" s="412">
        <f t="shared" si="15"/>
        <v>0</v>
      </c>
      <c r="AJ48" s="412">
        <f t="shared" si="15"/>
        <v>0</v>
      </c>
      <c r="AK48" s="412">
        <f t="shared" si="15"/>
        <v>0</v>
      </c>
      <c r="AL48" s="412">
        <f t="shared" si="15"/>
        <v>0</v>
      </c>
      <c r="AM48" s="412">
        <f t="shared" si="15"/>
        <v>0</v>
      </c>
      <c r="AN48" s="412">
        <f t="shared" si="15"/>
        <v>0</v>
      </c>
      <c r="AO48" s="412">
        <f t="shared" si="15"/>
        <v>0</v>
      </c>
      <c r="AP48" s="412">
        <f t="shared" si="15"/>
        <v>0</v>
      </c>
      <c r="AQ48" s="412">
        <f t="shared" si="15"/>
        <v>0</v>
      </c>
      <c r="AR48" s="412">
        <f t="shared" si="15"/>
        <v>0</v>
      </c>
      <c r="AS48" s="412">
        <f t="shared" si="15"/>
        <v>0</v>
      </c>
      <c r="AT48" s="412">
        <f t="shared" si="15"/>
        <v>0</v>
      </c>
      <c r="AU48" s="412">
        <f t="shared" si="15"/>
        <v>0</v>
      </c>
      <c r="AV48" s="412">
        <f t="shared" si="15"/>
        <v>0</v>
      </c>
      <c r="AW48" s="412">
        <f t="shared" si="15"/>
        <v>0</v>
      </c>
      <c r="AX48" s="412">
        <f t="shared" si="15"/>
        <v>0</v>
      </c>
      <c r="AY48" s="412">
        <f t="shared" si="15"/>
        <v>0</v>
      </c>
      <c r="AZ48" s="412">
        <f t="shared" si="15"/>
        <v>0</v>
      </c>
      <c r="BA48" s="412">
        <f t="shared" si="15"/>
        <v>0</v>
      </c>
      <c r="BB48" s="412">
        <f t="shared" si="15"/>
        <v>0</v>
      </c>
      <c r="BC48" s="412">
        <f t="shared" si="15"/>
        <v>0</v>
      </c>
      <c r="BD48" s="412">
        <f t="shared" si="15"/>
        <v>0</v>
      </c>
      <c r="BE48" s="412">
        <f t="shared" si="15"/>
        <v>0</v>
      </c>
      <c r="BF48" s="412">
        <f t="shared" si="15"/>
        <v>0</v>
      </c>
      <c r="BG48" s="412">
        <f t="shared" si="15"/>
        <v>0</v>
      </c>
      <c r="BH48" s="412">
        <f t="shared" si="15"/>
        <v>0</v>
      </c>
      <c r="BI48" s="412">
        <f t="shared" si="15"/>
        <v>0</v>
      </c>
      <c r="BJ48" s="412">
        <f t="shared" si="15"/>
        <v>0</v>
      </c>
      <c r="BK48" s="412">
        <f t="shared" si="15"/>
        <v>0</v>
      </c>
      <c r="BL48" s="412">
        <f t="shared" si="15"/>
        <v>0</v>
      </c>
      <c r="BM48" s="412">
        <f t="shared" si="15"/>
        <v>0</v>
      </c>
      <c r="BN48" s="412">
        <f t="shared" si="15"/>
        <v>139624.05376643315</v>
      </c>
      <c r="BO48" s="412">
        <f t="shared" si="15"/>
        <v>0</v>
      </c>
      <c r="BP48" s="412">
        <f t="shared" si="15"/>
        <v>0</v>
      </c>
      <c r="BQ48" s="412">
        <f t="shared" si="15"/>
        <v>0</v>
      </c>
      <c r="BR48" s="412">
        <f t="shared" ref="BR48:DV48" si="16">BR208</f>
        <v>0</v>
      </c>
      <c r="BS48" s="412">
        <f t="shared" si="16"/>
        <v>0</v>
      </c>
      <c r="BT48" s="412">
        <f t="shared" si="16"/>
        <v>0</v>
      </c>
      <c r="BU48" s="412">
        <f t="shared" si="16"/>
        <v>0</v>
      </c>
      <c r="BV48" s="412">
        <f t="shared" si="16"/>
        <v>0</v>
      </c>
      <c r="BW48" s="412">
        <f t="shared" si="16"/>
        <v>0</v>
      </c>
      <c r="BX48" s="412">
        <f t="shared" si="16"/>
        <v>0</v>
      </c>
      <c r="BY48" s="412">
        <f t="shared" si="16"/>
        <v>0</v>
      </c>
      <c r="BZ48" s="412">
        <f t="shared" si="16"/>
        <v>0</v>
      </c>
      <c r="CA48" s="412">
        <f t="shared" si="16"/>
        <v>0</v>
      </c>
      <c r="CB48" s="412">
        <f t="shared" si="16"/>
        <v>0</v>
      </c>
      <c r="CC48" s="412">
        <f t="shared" si="16"/>
        <v>0</v>
      </c>
      <c r="CD48" s="412">
        <f t="shared" si="16"/>
        <v>0</v>
      </c>
      <c r="CE48" s="412">
        <f t="shared" si="16"/>
        <v>0</v>
      </c>
      <c r="CF48" s="412">
        <f t="shared" si="16"/>
        <v>0</v>
      </c>
      <c r="CG48" s="412">
        <f t="shared" si="16"/>
        <v>0</v>
      </c>
      <c r="CH48" s="412">
        <f t="shared" si="16"/>
        <v>0</v>
      </c>
      <c r="CI48" s="412">
        <f t="shared" si="16"/>
        <v>0</v>
      </c>
      <c r="CJ48" s="412">
        <f t="shared" si="16"/>
        <v>0</v>
      </c>
      <c r="CK48" s="412">
        <f t="shared" si="16"/>
        <v>0</v>
      </c>
      <c r="CL48" s="412">
        <f t="shared" si="16"/>
        <v>0</v>
      </c>
      <c r="CM48" s="412">
        <f t="shared" si="16"/>
        <v>0</v>
      </c>
      <c r="CN48" s="412">
        <f t="shared" si="16"/>
        <v>0</v>
      </c>
      <c r="CO48" s="412">
        <f t="shared" si="16"/>
        <v>0</v>
      </c>
      <c r="CP48" s="412">
        <f t="shared" si="16"/>
        <v>0</v>
      </c>
      <c r="CQ48" s="412">
        <f t="shared" si="16"/>
        <v>0</v>
      </c>
      <c r="CR48" s="412">
        <f t="shared" si="16"/>
        <v>0</v>
      </c>
      <c r="CS48" s="412">
        <f t="shared" si="16"/>
        <v>0</v>
      </c>
      <c r="CT48" s="412">
        <f t="shared" si="16"/>
        <v>0</v>
      </c>
      <c r="CU48" s="412">
        <f t="shared" si="16"/>
        <v>0</v>
      </c>
      <c r="CV48" s="412">
        <f t="shared" si="16"/>
        <v>0</v>
      </c>
      <c r="CW48" s="412">
        <f t="shared" si="16"/>
        <v>0</v>
      </c>
      <c r="CX48" s="412">
        <f t="shared" si="16"/>
        <v>0</v>
      </c>
      <c r="CY48" s="412">
        <f t="shared" si="16"/>
        <v>0</v>
      </c>
      <c r="CZ48" s="412">
        <f t="shared" si="16"/>
        <v>0</v>
      </c>
      <c r="DA48" s="412">
        <f t="shared" si="16"/>
        <v>0</v>
      </c>
      <c r="DB48" s="412">
        <f t="shared" si="16"/>
        <v>0</v>
      </c>
      <c r="DC48" s="412">
        <f t="shared" si="16"/>
        <v>0</v>
      </c>
      <c r="DD48" s="412">
        <f t="shared" si="16"/>
        <v>0</v>
      </c>
      <c r="DE48" s="412">
        <f t="shared" si="16"/>
        <v>0</v>
      </c>
      <c r="DF48" s="412">
        <f t="shared" si="16"/>
        <v>0</v>
      </c>
      <c r="DG48" s="412">
        <f t="shared" si="16"/>
        <v>0</v>
      </c>
      <c r="DH48" s="412">
        <f t="shared" si="16"/>
        <v>0</v>
      </c>
      <c r="DI48" s="412">
        <f t="shared" si="16"/>
        <v>0</v>
      </c>
      <c r="DJ48" s="412">
        <f t="shared" si="16"/>
        <v>0</v>
      </c>
      <c r="DK48" s="412">
        <f t="shared" si="16"/>
        <v>0</v>
      </c>
      <c r="DL48" s="412">
        <f t="shared" si="16"/>
        <v>0</v>
      </c>
      <c r="DM48" s="412">
        <f t="shared" si="16"/>
        <v>0</v>
      </c>
      <c r="DN48" s="412">
        <f t="shared" si="16"/>
        <v>0</v>
      </c>
      <c r="DO48" s="412">
        <f t="shared" si="16"/>
        <v>0</v>
      </c>
      <c r="DP48" s="412">
        <f t="shared" si="16"/>
        <v>0</v>
      </c>
      <c r="DQ48" s="412">
        <f t="shared" si="16"/>
        <v>0</v>
      </c>
      <c r="DR48" s="412">
        <f t="shared" si="16"/>
        <v>0</v>
      </c>
      <c r="DS48" s="412">
        <f t="shared" si="16"/>
        <v>0</v>
      </c>
      <c r="DT48" s="412">
        <f t="shared" si="16"/>
        <v>0</v>
      </c>
      <c r="DU48" s="412">
        <f t="shared" si="16"/>
        <v>0</v>
      </c>
      <c r="DV48" s="412">
        <f t="shared" si="16"/>
        <v>0</v>
      </c>
      <c r="DW48" s="322" t="s">
        <v>372</v>
      </c>
    </row>
    <row r="49" spans="3:127" hidden="1" outlineLevel="1" x14ac:dyDescent="0.3">
      <c r="C49" s="406" t="s">
        <v>391</v>
      </c>
      <c r="D49" s="410">
        <f>SUM(F49:DV49)</f>
        <v>0</v>
      </c>
      <c r="E49" s="411"/>
      <c r="F49" s="412">
        <f t="shared" ref="F49:BQ49" si="17">F217</f>
        <v>0</v>
      </c>
      <c r="G49" s="412">
        <f t="shared" si="17"/>
        <v>0</v>
      </c>
      <c r="H49" s="412">
        <f t="shared" si="17"/>
        <v>0</v>
      </c>
      <c r="I49" s="412">
        <f t="shared" si="17"/>
        <v>0</v>
      </c>
      <c r="J49" s="412">
        <f t="shared" si="17"/>
        <v>0</v>
      </c>
      <c r="K49" s="412">
        <f t="shared" si="17"/>
        <v>0</v>
      </c>
      <c r="L49" s="412">
        <f t="shared" si="17"/>
        <v>0</v>
      </c>
      <c r="M49" s="412">
        <f t="shared" si="17"/>
        <v>0</v>
      </c>
      <c r="N49" s="412">
        <f t="shared" si="17"/>
        <v>0</v>
      </c>
      <c r="O49" s="412">
        <f t="shared" si="17"/>
        <v>0</v>
      </c>
      <c r="P49" s="412">
        <f t="shared" si="17"/>
        <v>0</v>
      </c>
      <c r="Q49" s="412">
        <f t="shared" si="17"/>
        <v>0</v>
      </c>
      <c r="R49" s="412">
        <f t="shared" si="17"/>
        <v>0</v>
      </c>
      <c r="S49" s="412">
        <f t="shared" si="17"/>
        <v>0</v>
      </c>
      <c r="T49" s="412">
        <f t="shared" si="17"/>
        <v>0</v>
      </c>
      <c r="U49" s="412">
        <f t="shared" si="17"/>
        <v>0</v>
      </c>
      <c r="V49" s="412">
        <f t="shared" si="17"/>
        <v>0</v>
      </c>
      <c r="W49" s="412">
        <f t="shared" si="17"/>
        <v>0</v>
      </c>
      <c r="X49" s="412">
        <f t="shared" si="17"/>
        <v>0</v>
      </c>
      <c r="Y49" s="412">
        <f t="shared" si="17"/>
        <v>0</v>
      </c>
      <c r="Z49" s="412">
        <f t="shared" si="17"/>
        <v>0</v>
      </c>
      <c r="AA49" s="412">
        <f t="shared" si="17"/>
        <v>0</v>
      </c>
      <c r="AB49" s="412">
        <f t="shared" si="17"/>
        <v>0</v>
      </c>
      <c r="AC49" s="412">
        <f t="shared" si="17"/>
        <v>0</v>
      </c>
      <c r="AD49" s="412">
        <f t="shared" si="17"/>
        <v>0</v>
      </c>
      <c r="AE49" s="412">
        <f t="shared" si="17"/>
        <v>0</v>
      </c>
      <c r="AF49" s="412">
        <f t="shared" si="17"/>
        <v>0</v>
      </c>
      <c r="AG49" s="412">
        <f t="shared" si="17"/>
        <v>0</v>
      </c>
      <c r="AH49" s="412">
        <f t="shared" si="17"/>
        <v>0</v>
      </c>
      <c r="AI49" s="412">
        <f t="shared" si="17"/>
        <v>0</v>
      </c>
      <c r="AJ49" s="412">
        <f t="shared" si="17"/>
        <v>0</v>
      </c>
      <c r="AK49" s="412">
        <f t="shared" si="17"/>
        <v>0</v>
      </c>
      <c r="AL49" s="412">
        <f t="shared" si="17"/>
        <v>0</v>
      </c>
      <c r="AM49" s="412">
        <f t="shared" si="17"/>
        <v>0</v>
      </c>
      <c r="AN49" s="412">
        <f t="shared" si="17"/>
        <v>0</v>
      </c>
      <c r="AO49" s="412">
        <f t="shared" si="17"/>
        <v>0</v>
      </c>
      <c r="AP49" s="412">
        <f t="shared" si="17"/>
        <v>0</v>
      </c>
      <c r="AQ49" s="412">
        <f t="shared" si="17"/>
        <v>0</v>
      </c>
      <c r="AR49" s="412">
        <f t="shared" si="17"/>
        <v>0</v>
      </c>
      <c r="AS49" s="412">
        <f t="shared" si="17"/>
        <v>0</v>
      </c>
      <c r="AT49" s="412">
        <f t="shared" si="17"/>
        <v>0</v>
      </c>
      <c r="AU49" s="412">
        <f t="shared" si="17"/>
        <v>0</v>
      </c>
      <c r="AV49" s="412">
        <f t="shared" si="17"/>
        <v>0</v>
      </c>
      <c r="AW49" s="412">
        <f t="shared" si="17"/>
        <v>0</v>
      </c>
      <c r="AX49" s="412">
        <f t="shared" si="17"/>
        <v>0</v>
      </c>
      <c r="AY49" s="412">
        <f t="shared" si="17"/>
        <v>0</v>
      </c>
      <c r="AZ49" s="412">
        <f t="shared" si="17"/>
        <v>0</v>
      </c>
      <c r="BA49" s="412">
        <f t="shared" si="17"/>
        <v>0</v>
      </c>
      <c r="BB49" s="412">
        <f t="shared" si="17"/>
        <v>0</v>
      </c>
      <c r="BC49" s="412">
        <f t="shared" si="17"/>
        <v>0</v>
      </c>
      <c r="BD49" s="412">
        <f t="shared" si="17"/>
        <v>0</v>
      </c>
      <c r="BE49" s="412">
        <f t="shared" si="17"/>
        <v>0</v>
      </c>
      <c r="BF49" s="412">
        <f t="shared" si="17"/>
        <v>0</v>
      </c>
      <c r="BG49" s="412">
        <f t="shared" si="17"/>
        <v>0</v>
      </c>
      <c r="BH49" s="412">
        <f t="shared" si="17"/>
        <v>0</v>
      </c>
      <c r="BI49" s="412">
        <f t="shared" si="17"/>
        <v>0</v>
      </c>
      <c r="BJ49" s="412">
        <f t="shared" si="17"/>
        <v>0</v>
      </c>
      <c r="BK49" s="412">
        <f t="shared" si="17"/>
        <v>0</v>
      </c>
      <c r="BL49" s="412">
        <f t="shared" si="17"/>
        <v>0</v>
      </c>
      <c r="BM49" s="412">
        <f t="shared" si="17"/>
        <v>0</v>
      </c>
      <c r="BN49" s="412">
        <f t="shared" si="17"/>
        <v>0</v>
      </c>
      <c r="BO49" s="412">
        <f t="shared" si="17"/>
        <v>0</v>
      </c>
      <c r="BP49" s="412">
        <f t="shared" si="17"/>
        <v>0</v>
      </c>
      <c r="BQ49" s="412">
        <f t="shared" si="17"/>
        <v>0</v>
      </c>
      <c r="BR49" s="412">
        <f t="shared" ref="BR49:DV49" si="18">BR217</f>
        <v>0</v>
      </c>
      <c r="BS49" s="412">
        <f t="shared" si="18"/>
        <v>0</v>
      </c>
      <c r="BT49" s="412">
        <f t="shared" si="18"/>
        <v>0</v>
      </c>
      <c r="BU49" s="412">
        <f t="shared" si="18"/>
        <v>0</v>
      </c>
      <c r="BV49" s="412">
        <f t="shared" si="18"/>
        <v>0</v>
      </c>
      <c r="BW49" s="412">
        <f t="shared" si="18"/>
        <v>0</v>
      </c>
      <c r="BX49" s="412">
        <f t="shared" si="18"/>
        <v>0</v>
      </c>
      <c r="BY49" s="412">
        <f t="shared" si="18"/>
        <v>0</v>
      </c>
      <c r="BZ49" s="412">
        <f t="shared" si="18"/>
        <v>0</v>
      </c>
      <c r="CA49" s="412">
        <f t="shared" si="18"/>
        <v>0</v>
      </c>
      <c r="CB49" s="412">
        <f t="shared" si="18"/>
        <v>0</v>
      </c>
      <c r="CC49" s="412">
        <f t="shared" si="18"/>
        <v>0</v>
      </c>
      <c r="CD49" s="412">
        <f t="shared" si="18"/>
        <v>0</v>
      </c>
      <c r="CE49" s="412">
        <f t="shared" si="18"/>
        <v>0</v>
      </c>
      <c r="CF49" s="412">
        <f t="shared" si="18"/>
        <v>0</v>
      </c>
      <c r="CG49" s="412">
        <f t="shared" si="18"/>
        <v>0</v>
      </c>
      <c r="CH49" s="412">
        <f t="shared" si="18"/>
        <v>0</v>
      </c>
      <c r="CI49" s="412">
        <f t="shared" si="18"/>
        <v>0</v>
      </c>
      <c r="CJ49" s="412">
        <f t="shared" si="18"/>
        <v>0</v>
      </c>
      <c r="CK49" s="412">
        <f t="shared" si="18"/>
        <v>0</v>
      </c>
      <c r="CL49" s="412">
        <f t="shared" si="18"/>
        <v>0</v>
      </c>
      <c r="CM49" s="412">
        <f t="shared" si="18"/>
        <v>0</v>
      </c>
      <c r="CN49" s="412">
        <f t="shared" si="18"/>
        <v>0</v>
      </c>
      <c r="CO49" s="412">
        <f t="shared" si="18"/>
        <v>0</v>
      </c>
      <c r="CP49" s="412">
        <f t="shared" si="18"/>
        <v>0</v>
      </c>
      <c r="CQ49" s="412">
        <f t="shared" si="18"/>
        <v>0</v>
      </c>
      <c r="CR49" s="412">
        <f t="shared" si="18"/>
        <v>0</v>
      </c>
      <c r="CS49" s="412">
        <f t="shared" si="18"/>
        <v>0</v>
      </c>
      <c r="CT49" s="412">
        <f t="shared" si="18"/>
        <v>0</v>
      </c>
      <c r="CU49" s="412">
        <f t="shared" si="18"/>
        <v>0</v>
      </c>
      <c r="CV49" s="412">
        <f t="shared" si="18"/>
        <v>0</v>
      </c>
      <c r="CW49" s="412">
        <f t="shared" si="18"/>
        <v>0</v>
      </c>
      <c r="CX49" s="412">
        <f t="shared" si="18"/>
        <v>0</v>
      </c>
      <c r="CY49" s="412">
        <f t="shared" si="18"/>
        <v>0</v>
      </c>
      <c r="CZ49" s="412">
        <f t="shared" si="18"/>
        <v>0</v>
      </c>
      <c r="DA49" s="412">
        <f t="shared" si="18"/>
        <v>0</v>
      </c>
      <c r="DB49" s="412">
        <f t="shared" si="18"/>
        <v>0</v>
      </c>
      <c r="DC49" s="412">
        <f t="shared" si="18"/>
        <v>0</v>
      </c>
      <c r="DD49" s="412">
        <f t="shared" si="18"/>
        <v>0</v>
      </c>
      <c r="DE49" s="412">
        <f t="shared" si="18"/>
        <v>0</v>
      </c>
      <c r="DF49" s="412">
        <f t="shared" si="18"/>
        <v>0</v>
      </c>
      <c r="DG49" s="412">
        <f t="shared" si="18"/>
        <v>0</v>
      </c>
      <c r="DH49" s="412">
        <f t="shared" si="18"/>
        <v>0</v>
      </c>
      <c r="DI49" s="412">
        <f t="shared" si="18"/>
        <v>0</v>
      </c>
      <c r="DJ49" s="412">
        <f t="shared" si="18"/>
        <v>0</v>
      </c>
      <c r="DK49" s="412">
        <f t="shared" si="18"/>
        <v>0</v>
      </c>
      <c r="DL49" s="412">
        <f t="shared" si="18"/>
        <v>0</v>
      </c>
      <c r="DM49" s="412">
        <f t="shared" si="18"/>
        <v>0</v>
      </c>
      <c r="DN49" s="412">
        <f t="shared" si="18"/>
        <v>0</v>
      </c>
      <c r="DO49" s="412">
        <f t="shared" si="18"/>
        <v>0</v>
      </c>
      <c r="DP49" s="412">
        <f t="shared" si="18"/>
        <v>0</v>
      </c>
      <c r="DQ49" s="412">
        <f t="shared" si="18"/>
        <v>0</v>
      </c>
      <c r="DR49" s="412">
        <f t="shared" si="18"/>
        <v>0</v>
      </c>
      <c r="DS49" s="412">
        <f t="shared" si="18"/>
        <v>0</v>
      </c>
      <c r="DT49" s="412">
        <f t="shared" si="18"/>
        <v>0</v>
      </c>
      <c r="DU49" s="412">
        <f t="shared" si="18"/>
        <v>0</v>
      </c>
      <c r="DV49" s="412">
        <f t="shared" si="18"/>
        <v>0</v>
      </c>
      <c r="DW49" s="322" t="s">
        <v>372</v>
      </c>
    </row>
    <row r="50" spans="3:127" ht="17.25" hidden="1" outlineLevel="1" thickBot="1" x14ac:dyDescent="0.35">
      <c r="C50" s="372" t="s">
        <v>65</v>
      </c>
      <c r="D50" s="413">
        <f>SUM(D45:D49)</f>
        <v>1779532.2928210052</v>
      </c>
      <c r="E50" s="414"/>
      <c r="F50" s="415">
        <f t="shared" ref="F50:BQ50" si="19">SUM(F45:F49)</f>
        <v>-1367250</v>
      </c>
      <c r="G50" s="415">
        <f t="shared" si="19"/>
        <v>9655.6243749999994</v>
      </c>
      <c r="H50" s="415">
        <f t="shared" si="19"/>
        <v>9655.6243749999994</v>
      </c>
      <c r="I50" s="415">
        <f t="shared" si="19"/>
        <v>9655.6243749999994</v>
      </c>
      <c r="J50" s="415">
        <f t="shared" si="19"/>
        <v>9655.6243749999994</v>
      </c>
      <c r="K50" s="415">
        <f t="shared" si="19"/>
        <v>9655.6243749999994</v>
      </c>
      <c r="L50" s="415">
        <f t="shared" si="19"/>
        <v>9655.6243749999994</v>
      </c>
      <c r="M50" s="415">
        <f t="shared" si="19"/>
        <v>9655.6243749999994</v>
      </c>
      <c r="N50" s="415">
        <f t="shared" si="19"/>
        <v>9655.6243749999994</v>
      </c>
      <c r="O50" s="415">
        <f t="shared" si="19"/>
        <v>9655.6243749999994</v>
      </c>
      <c r="P50" s="415">
        <f t="shared" si="19"/>
        <v>9655.6243749999994</v>
      </c>
      <c r="Q50" s="415">
        <f t="shared" si="19"/>
        <v>9655.6243749999994</v>
      </c>
      <c r="R50" s="415">
        <f t="shared" si="19"/>
        <v>9655.6243749999994</v>
      </c>
      <c r="S50" s="415">
        <f t="shared" si="19"/>
        <v>10326.433731250003</v>
      </c>
      <c r="T50" s="415">
        <f t="shared" si="19"/>
        <v>10326.433731250003</v>
      </c>
      <c r="U50" s="415">
        <f t="shared" si="19"/>
        <v>10326.433731250003</v>
      </c>
      <c r="V50" s="415">
        <f t="shared" si="19"/>
        <v>10326.433731250003</v>
      </c>
      <c r="W50" s="415">
        <f t="shared" si="19"/>
        <v>10326.433731250003</v>
      </c>
      <c r="X50" s="415">
        <f t="shared" si="19"/>
        <v>10326.433731250003</v>
      </c>
      <c r="Y50" s="415">
        <f t="shared" si="19"/>
        <v>10326.433731250003</v>
      </c>
      <c r="Z50" s="415">
        <f t="shared" si="19"/>
        <v>10326.433731250003</v>
      </c>
      <c r="AA50" s="415">
        <f t="shared" si="19"/>
        <v>10326.433731250003</v>
      </c>
      <c r="AB50" s="415">
        <f t="shared" si="19"/>
        <v>10326.433731250003</v>
      </c>
      <c r="AC50" s="415">
        <f t="shared" si="19"/>
        <v>10326.433731250003</v>
      </c>
      <c r="AD50" s="415">
        <f t="shared" si="19"/>
        <v>10326.433731250003</v>
      </c>
      <c r="AE50" s="415">
        <f t="shared" si="19"/>
        <v>11017.367368187497</v>
      </c>
      <c r="AF50" s="415">
        <f t="shared" si="19"/>
        <v>11017.367368187497</v>
      </c>
      <c r="AG50" s="415">
        <f t="shared" si="19"/>
        <v>11017.367368187497</v>
      </c>
      <c r="AH50" s="415">
        <f t="shared" si="19"/>
        <v>11017.367368187497</v>
      </c>
      <c r="AI50" s="415">
        <f t="shared" si="19"/>
        <v>11017.367368187497</v>
      </c>
      <c r="AJ50" s="415">
        <f t="shared" si="19"/>
        <v>11017.367368187497</v>
      </c>
      <c r="AK50" s="415">
        <f t="shared" si="19"/>
        <v>11017.367368187497</v>
      </c>
      <c r="AL50" s="415">
        <f t="shared" si="19"/>
        <v>11017.367368187497</v>
      </c>
      <c r="AM50" s="415">
        <f t="shared" si="19"/>
        <v>11017.367368187497</v>
      </c>
      <c r="AN50" s="415">
        <f t="shared" si="19"/>
        <v>11017.367368187497</v>
      </c>
      <c r="AO50" s="415">
        <f t="shared" si="19"/>
        <v>11017.367368187497</v>
      </c>
      <c r="AP50" s="415">
        <f t="shared" si="19"/>
        <v>11017.367368187497</v>
      </c>
      <c r="AQ50" s="415">
        <f t="shared" si="19"/>
        <v>11729.029014233121</v>
      </c>
      <c r="AR50" s="415">
        <f t="shared" si="19"/>
        <v>11729.029014233121</v>
      </c>
      <c r="AS50" s="415">
        <f t="shared" si="19"/>
        <v>11729.029014233121</v>
      </c>
      <c r="AT50" s="415">
        <f t="shared" si="19"/>
        <v>11729.029014233121</v>
      </c>
      <c r="AU50" s="415">
        <f t="shared" si="19"/>
        <v>11729.029014233121</v>
      </c>
      <c r="AV50" s="415">
        <f t="shared" si="19"/>
        <v>11729.029014233121</v>
      </c>
      <c r="AW50" s="415">
        <f t="shared" si="19"/>
        <v>11729.029014233121</v>
      </c>
      <c r="AX50" s="415">
        <f t="shared" si="19"/>
        <v>11729.029014233121</v>
      </c>
      <c r="AY50" s="415">
        <f t="shared" si="19"/>
        <v>11729.029014233121</v>
      </c>
      <c r="AZ50" s="415">
        <f t="shared" si="19"/>
        <v>11729.029014233121</v>
      </c>
      <c r="BA50" s="415">
        <f t="shared" si="19"/>
        <v>11729.029014233121</v>
      </c>
      <c r="BB50" s="415">
        <f t="shared" si="19"/>
        <v>11729.029014233121</v>
      </c>
      <c r="BC50" s="415">
        <f t="shared" si="19"/>
        <v>6507.8585072451388</v>
      </c>
      <c r="BD50" s="415">
        <f t="shared" si="19"/>
        <v>6507.8585072451388</v>
      </c>
      <c r="BE50" s="415">
        <f t="shared" si="19"/>
        <v>6507.8585072451388</v>
      </c>
      <c r="BF50" s="415">
        <f t="shared" si="19"/>
        <v>6507.8585072451388</v>
      </c>
      <c r="BG50" s="415">
        <f t="shared" si="19"/>
        <v>6507.8585072451388</v>
      </c>
      <c r="BH50" s="415">
        <f t="shared" si="19"/>
        <v>6507.8585072451388</v>
      </c>
      <c r="BI50" s="415">
        <f t="shared" si="19"/>
        <v>6507.8585072451388</v>
      </c>
      <c r="BJ50" s="415">
        <f t="shared" si="19"/>
        <v>6507.8585072451388</v>
      </c>
      <c r="BK50" s="415">
        <f t="shared" si="19"/>
        <v>6507.8585072451388</v>
      </c>
      <c r="BL50" s="415">
        <f t="shared" si="19"/>
        <v>6507.8585072451388</v>
      </c>
      <c r="BM50" s="415">
        <f t="shared" si="19"/>
        <v>6507.8585072451388</v>
      </c>
      <c r="BN50" s="415">
        <f t="shared" si="19"/>
        <v>2562454.3953772625</v>
      </c>
      <c r="BO50" s="415">
        <f t="shared" si="19"/>
        <v>0</v>
      </c>
      <c r="BP50" s="415">
        <f t="shared" si="19"/>
        <v>0</v>
      </c>
      <c r="BQ50" s="415">
        <f t="shared" si="19"/>
        <v>0</v>
      </c>
      <c r="BR50" s="415">
        <f t="shared" ref="BR50:DV50" si="20">SUM(BR45:BR49)</f>
        <v>0</v>
      </c>
      <c r="BS50" s="415">
        <f t="shared" si="20"/>
        <v>0</v>
      </c>
      <c r="BT50" s="415">
        <f t="shared" si="20"/>
        <v>0</v>
      </c>
      <c r="BU50" s="415">
        <f t="shared" si="20"/>
        <v>0</v>
      </c>
      <c r="BV50" s="415">
        <f t="shared" si="20"/>
        <v>0</v>
      </c>
      <c r="BW50" s="415">
        <f t="shared" si="20"/>
        <v>0</v>
      </c>
      <c r="BX50" s="415">
        <f t="shared" si="20"/>
        <v>0</v>
      </c>
      <c r="BY50" s="415">
        <f t="shared" si="20"/>
        <v>0</v>
      </c>
      <c r="BZ50" s="415">
        <f t="shared" si="20"/>
        <v>0</v>
      </c>
      <c r="CA50" s="415">
        <f t="shared" si="20"/>
        <v>0</v>
      </c>
      <c r="CB50" s="415">
        <f t="shared" si="20"/>
        <v>0</v>
      </c>
      <c r="CC50" s="415">
        <f t="shared" si="20"/>
        <v>0</v>
      </c>
      <c r="CD50" s="415">
        <f t="shared" si="20"/>
        <v>0</v>
      </c>
      <c r="CE50" s="415">
        <f t="shared" si="20"/>
        <v>0</v>
      </c>
      <c r="CF50" s="415">
        <f t="shared" si="20"/>
        <v>0</v>
      </c>
      <c r="CG50" s="415">
        <f t="shared" si="20"/>
        <v>0</v>
      </c>
      <c r="CH50" s="415">
        <f t="shared" si="20"/>
        <v>0</v>
      </c>
      <c r="CI50" s="415">
        <f t="shared" si="20"/>
        <v>0</v>
      </c>
      <c r="CJ50" s="415">
        <f t="shared" si="20"/>
        <v>0</v>
      </c>
      <c r="CK50" s="415">
        <f t="shared" si="20"/>
        <v>0</v>
      </c>
      <c r="CL50" s="415">
        <f t="shared" si="20"/>
        <v>0</v>
      </c>
      <c r="CM50" s="415">
        <f t="shared" si="20"/>
        <v>0</v>
      </c>
      <c r="CN50" s="415">
        <f t="shared" si="20"/>
        <v>0</v>
      </c>
      <c r="CO50" s="415">
        <f t="shared" si="20"/>
        <v>0</v>
      </c>
      <c r="CP50" s="415">
        <f t="shared" si="20"/>
        <v>0</v>
      </c>
      <c r="CQ50" s="415">
        <f t="shared" si="20"/>
        <v>0</v>
      </c>
      <c r="CR50" s="415">
        <f t="shared" si="20"/>
        <v>0</v>
      </c>
      <c r="CS50" s="415">
        <f t="shared" si="20"/>
        <v>0</v>
      </c>
      <c r="CT50" s="415">
        <f t="shared" si="20"/>
        <v>0</v>
      </c>
      <c r="CU50" s="415">
        <f t="shared" si="20"/>
        <v>0</v>
      </c>
      <c r="CV50" s="415">
        <f t="shared" si="20"/>
        <v>0</v>
      </c>
      <c r="CW50" s="415">
        <f t="shared" si="20"/>
        <v>0</v>
      </c>
      <c r="CX50" s="415">
        <f t="shared" si="20"/>
        <v>0</v>
      </c>
      <c r="CY50" s="415">
        <f t="shared" si="20"/>
        <v>0</v>
      </c>
      <c r="CZ50" s="415">
        <f t="shared" si="20"/>
        <v>0</v>
      </c>
      <c r="DA50" s="415">
        <f t="shared" si="20"/>
        <v>0</v>
      </c>
      <c r="DB50" s="415">
        <f t="shared" si="20"/>
        <v>0</v>
      </c>
      <c r="DC50" s="415">
        <f t="shared" si="20"/>
        <v>0</v>
      </c>
      <c r="DD50" s="415">
        <f t="shared" si="20"/>
        <v>0</v>
      </c>
      <c r="DE50" s="415">
        <f t="shared" si="20"/>
        <v>0</v>
      </c>
      <c r="DF50" s="415">
        <f t="shared" si="20"/>
        <v>0</v>
      </c>
      <c r="DG50" s="415">
        <f t="shared" si="20"/>
        <v>0</v>
      </c>
      <c r="DH50" s="415">
        <f t="shared" si="20"/>
        <v>0</v>
      </c>
      <c r="DI50" s="415">
        <f t="shared" si="20"/>
        <v>0</v>
      </c>
      <c r="DJ50" s="415">
        <f t="shared" si="20"/>
        <v>0</v>
      </c>
      <c r="DK50" s="415">
        <f t="shared" si="20"/>
        <v>0</v>
      </c>
      <c r="DL50" s="415">
        <f t="shared" si="20"/>
        <v>0</v>
      </c>
      <c r="DM50" s="415">
        <f t="shared" si="20"/>
        <v>0</v>
      </c>
      <c r="DN50" s="415">
        <f t="shared" si="20"/>
        <v>0</v>
      </c>
      <c r="DO50" s="415">
        <f t="shared" si="20"/>
        <v>0</v>
      </c>
      <c r="DP50" s="415">
        <f t="shared" si="20"/>
        <v>0</v>
      </c>
      <c r="DQ50" s="415">
        <f t="shared" si="20"/>
        <v>0</v>
      </c>
      <c r="DR50" s="415">
        <f t="shared" si="20"/>
        <v>0</v>
      </c>
      <c r="DS50" s="415">
        <f t="shared" si="20"/>
        <v>0</v>
      </c>
      <c r="DT50" s="415">
        <f t="shared" si="20"/>
        <v>0</v>
      </c>
      <c r="DU50" s="415">
        <f t="shared" si="20"/>
        <v>0</v>
      </c>
      <c r="DV50" s="415">
        <f t="shared" si="20"/>
        <v>0</v>
      </c>
      <c r="DW50" s="322" t="s">
        <v>372</v>
      </c>
    </row>
    <row r="51" spans="3:127" ht="17.25" hidden="1" outlineLevel="1" thickTop="1" x14ac:dyDescent="0.3"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0"/>
      <c r="AI51" s="360"/>
      <c r="AJ51" s="360"/>
      <c r="AK51" s="360"/>
      <c r="AL51" s="360"/>
      <c r="AM51" s="360"/>
      <c r="AN51" s="360"/>
      <c r="AO51" s="360"/>
      <c r="AP51" s="360"/>
      <c r="AQ51" s="360"/>
      <c r="AR51" s="360"/>
      <c r="AS51" s="360"/>
      <c r="AT51" s="360"/>
      <c r="AU51" s="360"/>
      <c r="AV51" s="360"/>
      <c r="AW51" s="360"/>
      <c r="AX51" s="360"/>
      <c r="AY51" s="360"/>
      <c r="AZ51" s="360"/>
      <c r="BA51" s="360"/>
      <c r="BB51" s="360"/>
      <c r="BC51" s="360"/>
      <c r="BD51" s="360"/>
      <c r="BE51" s="360"/>
      <c r="BF51" s="360"/>
      <c r="BG51" s="360"/>
      <c r="BH51" s="360"/>
      <c r="BI51" s="360"/>
      <c r="BJ51" s="360"/>
      <c r="BK51" s="360"/>
      <c r="BL51" s="360"/>
      <c r="BM51" s="360"/>
      <c r="BN51" s="360"/>
      <c r="BO51" s="360"/>
      <c r="BP51" s="360"/>
      <c r="BQ51" s="360"/>
      <c r="BR51" s="360"/>
      <c r="BS51" s="360"/>
      <c r="BT51" s="360"/>
      <c r="BU51" s="360"/>
      <c r="BV51" s="360"/>
      <c r="BW51" s="360"/>
      <c r="BX51" s="360"/>
      <c r="BY51" s="360"/>
      <c r="BZ51" s="360"/>
      <c r="CA51" s="360"/>
      <c r="CB51" s="360"/>
      <c r="CC51" s="360"/>
      <c r="CD51" s="360"/>
      <c r="CE51" s="360"/>
      <c r="CF51" s="360"/>
      <c r="CG51" s="360"/>
      <c r="CH51" s="360"/>
      <c r="CI51" s="360"/>
      <c r="CJ51" s="360"/>
      <c r="CK51" s="360"/>
      <c r="CL51" s="360"/>
      <c r="CM51" s="360"/>
      <c r="CN51" s="360"/>
      <c r="CO51" s="360"/>
      <c r="CP51" s="360"/>
      <c r="CQ51" s="360"/>
      <c r="CR51" s="360"/>
      <c r="CS51" s="360"/>
      <c r="CT51" s="360"/>
      <c r="CU51" s="360"/>
      <c r="CV51" s="360"/>
      <c r="CW51" s="360"/>
      <c r="CX51" s="360"/>
      <c r="CY51" s="360"/>
      <c r="CZ51" s="360"/>
      <c r="DA51" s="360"/>
      <c r="DB51" s="360"/>
      <c r="DC51" s="360"/>
      <c r="DD51" s="360"/>
      <c r="DE51" s="360"/>
      <c r="DF51" s="360"/>
      <c r="DG51" s="360"/>
      <c r="DH51" s="360"/>
      <c r="DI51" s="360"/>
      <c r="DJ51" s="360"/>
      <c r="DK51" s="360"/>
      <c r="DL51" s="360"/>
      <c r="DM51" s="360"/>
      <c r="DN51" s="360"/>
      <c r="DO51" s="360"/>
      <c r="DP51" s="360"/>
      <c r="DQ51" s="360"/>
      <c r="DR51" s="360"/>
      <c r="DS51" s="360"/>
      <c r="DT51" s="360"/>
      <c r="DU51" s="360"/>
      <c r="DV51" s="360"/>
      <c r="DW51" s="322" t="s">
        <v>372</v>
      </c>
    </row>
    <row r="52" spans="3:127" hidden="1" outlineLevel="1" x14ac:dyDescent="0.3">
      <c r="C52" s="416" t="str">
        <f>H37&amp;" Returns"</f>
        <v>LP Returns</v>
      </c>
      <c r="D52" s="417"/>
      <c r="E52" s="360"/>
      <c r="F52" s="360"/>
      <c r="G52" s="418"/>
      <c r="H52" s="419">
        <v>0</v>
      </c>
      <c r="I52" s="420">
        <v>1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0"/>
      <c r="AI52" s="360"/>
      <c r="AJ52" s="360"/>
      <c r="AK52" s="360"/>
      <c r="AL52" s="360"/>
      <c r="AM52" s="360"/>
      <c r="AN52" s="360"/>
      <c r="AO52" s="360"/>
      <c r="AP52" s="360"/>
      <c r="AQ52" s="360"/>
      <c r="AR52" s="360"/>
      <c r="AS52" s="360"/>
      <c r="AT52" s="360"/>
      <c r="AU52" s="360"/>
      <c r="AV52" s="360"/>
      <c r="AW52" s="360"/>
      <c r="AX52" s="360"/>
      <c r="AY52" s="360"/>
      <c r="AZ52" s="360"/>
      <c r="BA52" s="360"/>
      <c r="BB52" s="360"/>
      <c r="BC52" s="360"/>
      <c r="BD52" s="360"/>
      <c r="BE52" s="360"/>
      <c r="BF52" s="360"/>
      <c r="BG52" s="360"/>
      <c r="BH52" s="360"/>
      <c r="BI52" s="409"/>
      <c r="BJ52" s="360"/>
      <c r="BK52" s="360"/>
      <c r="BL52" s="360"/>
      <c r="BM52" s="360"/>
      <c r="BN52" s="360"/>
      <c r="BO52" s="360"/>
      <c r="BP52" s="360"/>
      <c r="BQ52" s="360"/>
      <c r="BR52" s="360"/>
      <c r="BS52" s="360"/>
      <c r="BT52" s="360"/>
      <c r="BU52" s="360"/>
      <c r="BV52" s="360"/>
      <c r="BW52" s="360"/>
      <c r="BX52" s="360"/>
      <c r="BY52" s="360"/>
      <c r="BZ52" s="360"/>
      <c r="CA52" s="360"/>
      <c r="CB52" s="360"/>
      <c r="CC52" s="360"/>
      <c r="CD52" s="360"/>
      <c r="CE52" s="360"/>
      <c r="CF52" s="360"/>
      <c r="CG52" s="360"/>
      <c r="CH52" s="360"/>
      <c r="CI52" s="360"/>
      <c r="CJ52" s="360"/>
      <c r="CK52" s="360"/>
      <c r="CL52" s="360"/>
      <c r="CM52" s="360"/>
      <c r="CN52" s="360"/>
      <c r="CO52" s="360"/>
      <c r="CP52" s="360"/>
      <c r="CQ52" s="360"/>
      <c r="CR52" s="360"/>
      <c r="CS52" s="360"/>
      <c r="CT52" s="360"/>
      <c r="CU52" s="360"/>
      <c r="CV52" s="360"/>
      <c r="CW52" s="360"/>
      <c r="CX52" s="360"/>
      <c r="CY52" s="360"/>
      <c r="CZ52" s="360"/>
      <c r="DA52" s="360"/>
      <c r="DB52" s="360"/>
      <c r="DC52" s="360"/>
      <c r="DD52" s="360"/>
      <c r="DE52" s="360"/>
      <c r="DF52" s="360"/>
      <c r="DG52" s="360"/>
      <c r="DH52" s="360"/>
      <c r="DI52" s="360"/>
      <c r="DJ52" s="360"/>
      <c r="DK52" s="360"/>
      <c r="DL52" s="360"/>
      <c r="DM52" s="360"/>
      <c r="DN52" s="360"/>
      <c r="DO52" s="360"/>
      <c r="DP52" s="360"/>
      <c r="DQ52" s="360"/>
      <c r="DR52" s="360"/>
      <c r="DS52" s="360"/>
      <c r="DT52" s="360"/>
      <c r="DU52" s="360"/>
      <c r="DV52" s="360"/>
      <c r="DW52" s="322" t="s">
        <v>372</v>
      </c>
    </row>
    <row r="53" spans="3:127" hidden="1" outlineLevel="1" x14ac:dyDescent="0.3">
      <c r="C53" s="421" t="s">
        <v>291</v>
      </c>
      <c r="D53" s="422">
        <f ca="1">XIRR(F50:DV50,$F$9:$DV$9)</f>
        <v>0.21018254160881047</v>
      </c>
      <c r="F53" s="360"/>
      <c r="G53" s="423">
        <f ca="1">D53</f>
        <v>0.21018254160881047</v>
      </c>
      <c r="H53" s="424">
        <f t="dataTable" ref="H53:I55" dt2D="0" dtr="1" r1="C27" ca="1"/>
        <v>0.15193819403648376</v>
      </c>
      <c r="I53" s="425">
        <v>0.21018254160881047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0"/>
      <c r="AI53" s="360"/>
      <c r="AJ53" s="360"/>
      <c r="AK53" s="360"/>
      <c r="AL53" s="360"/>
      <c r="AM53" s="360"/>
      <c r="AN53" s="360"/>
      <c r="AO53" s="360"/>
      <c r="AP53" s="360"/>
      <c r="AQ53" s="360"/>
      <c r="AR53" s="360"/>
      <c r="AS53" s="360"/>
      <c r="AT53" s="360"/>
      <c r="AU53" s="360"/>
      <c r="AV53" s="360"/>
      <c r="AW53" s="360"/>
      <c r="AX53" s="360"/>
      <c r="AY53" s="360"/>
      <c r="AZ53" s="360"/>
      <c r="BA53" s="360"/>
      <c r="BB53" s="360"/>
      <c r="BC53" s="360"/>
      <c r="BD53" s="360"/>
      <c r="BE53" s="360"/>
      <c r="BF53" s="360"/>
      <c r="BG53" s="360"/>
      <c r="BH53" s="360"/>
      <c r="BI53" s="360"/>
      <c r="BJ53" s="360"/>
      <c r="BK53" s="360"/>
      <c r="BL53" s="360"/>
      <c r="BM53" s="360"/>
      <c r="BN53" s="360"/>
      <c r="BO53" s="360"/>
      <c r="BP53" s="360"/>
      <c r="BQ53" s="360"/>
      <c r="BR53" s="360"/>
      <c r="BS53" s="360"/>
      <c r="BT53" s="360"/>
      <c r="BU53" s="360"/>
      <c r="BV53" s="360"/>
      <c r="BW53" s="360"/>
      <c r="BX53" s="360"/>
      <c r="BY53" s="360"/>
      <c r="BZ53" s="360"/>
      <c r="CA53" s="360"/>
      <c r="CB53" s="360"/>
      <c r="CC53" s="360"/>
      <c r="CD53" s="360"/>
      <c r="CE53" s="360"/>
      <c r="CF53" s="360"/>
      <c r="CG53" s="360"/>
      <c r="CH53" s="360"/>
      <c r="CI53" s="360"/>
      <c r="CJ53" s="360"/>
      <c r="CK53" s="360"/>
      <c r="CL53" s="360"/>
      <c r="CM53" s="360"/>
      <c r="CN53" s="360"/>
      <c r="CO53" s="360"/>
      <c r="CP53" s="360"/>
      <c r="CQ53" s="360"/>
      <c r="CR53" s="360"/>
      <c r="CS53" s="360"/>
      <c r="CT53" s="360"/>
      <c r="CU53" s="360"/>
      <c r="CV53" s="360"/>
      <c r="CW53" s="360"/>
      <c r="CX53" s="360"/>
      <c r="CY53" s="360"/>
      <c r="CZ53" s="360"/>
      <c r="DA53" s="360"/>
      <c r="DB53" s="360"/>
      <c r="DC53" s="360"/>
      <c r="DD53" s="360"/>
      <c r="DE53" s="360"/>
      <c r="DF53" s="360"/>
      <c r="DG53" s="360"/>
      <c r="DH53" s="360"/>
      <c r="DI53" s="360"/>
      <c r="DJ53" s="360"/>
      <c r="DK53" s="360"/>
      <c r="DL53" s="360"/>
      <c r="DM53" s="360"/>
      <c r="DN53" s="360"/>
      <c r="DO53" s="360"/>
      <c r="DP53" s="360"/>
      <c r="DQ53" s="360"/>
      <c r="DR53" s="360"/>
      <c r="DS53" s="360"/>
      <c r="DT53" s="360"/>
      <c r="DU53" s="360"/>
      <c r="DV53" s="360"/>
      <c r="DW53" s="322" t="s">
        <v>372</v>
      </c>
    </row>
    <row r="54" spans="3:127" hidden="1" outlineLevel="1" x14ac:dyDescent="0.3">
      <c r="C54" s="426" t="s">
        <v>349</v>
      </c>
      <c r="D54" s="427">
        <f>SUM(F50:DV50)</f>
        <v>1779532.2928210052</v>
      </c>
      <c r="F54" s="360"/>
      <c r="G54" s="428">
        <f>D55</f>
        <v>2.3015412637198809</v>
      </c>
      <c r="H54" s="429">
        <v>1.8503289131008371</v>
      </c>
      <c r="I54" s="430">
        <v>2.3015412637198809</v>
      </c>
      <c r="J54" s="360"/>
      <c r="K54" s="360"/>
      <c r="L54" s="360"/>
      <c r="M54" s="360"/>
      <c r="N54" s="360"/>
      <c r="O54" s="360"/>
      <c r="P54" s="360"/>
      <c r="Q54" s="360"/>
      <c r="R54" s="360"/>
      <c r="S54" s="360"/>
      <c r="T54" s="360"/>
      <c r="U54" s="360"/>
      <c r="V54" s="360"/>
      <c r="W54" s="360"/>
      <c r="X54" s="360"/>
      <c r="Y54" s="360"/>
      <c r="Z54" s="360"/>
      <c r="AA54" s="360"/>
      <c r="AB54" s="360"/>
      <c r="AC54" s="360"/>
      <c r="AD54" s="360"/>
      <c r="AE54" s="360"/>
      <c r="AF54" s="360"/>
      <c r="AG54" s="360"/>
      <c r="AH54" s="360"/>
      <c r="AI54" s="360"/>
      <c r="AJ54" s="360"/>
      <c r="AK54" s="360"/>
      <c r="AL54" s="360"/>
      <c r="AM54" s="360"/>
      <c r="AN54" s="360"/>
      <c r="AO54" s="360"/>
      <c r="AP54" s="360"/>
      <c r="AQ54" s="360"/>
      <c r="AR54" s="360"/>
      <c r="AS54" s="360"/>
      <c r="AT54" s="360"/>
      <c r="AU54" s="360"/>
      <c r="AV54" s="360"/>
      <c r="AW54" s="360"/>
      <c r="AX54" s="360"/>
      <c r="AY54" s="360"/>
      <c r="AZ54" s="360"/>
      <c r="BA54" s="360"/>
      <c r="BB54" s="360"/>
      <c r="BC54" s="360"/>
      <c r="BD54" s="360"/>
      <c r="BE54" s="360"/>
      <c r="BF54" s="360"/>
      <c r="BG54" s="360"/>
      <c r="BH54" s="360"/>
      <c r="BI54" s="360"/>
      <c r="BJ54" s="360"/>
      <c r="BK54" s="360"/>
      <c r="BL54" s="360"/>
      <c r="BM54" s="360"/>
      <c r="BN54" s="360"/>
      <c r="BO54" s="360"/>
      <c r="BP54" s="360"/>
      <c r="BQ54" s="360"/>
      <c r="BR54" s="360"/>
      <c r="BS54" s="360"/>
      <c r="BT54" s="360"/>
      <c r="BU54" s="360"/>
      <c r="BV54" s="360"/>
      <c r="BW54" s="360"/>
      <c r="BX54" s="360"/>
      <c r="BY54" s="360"/>
      <c r="BZ54" s="360"/>
      <c r="CA54" s="360"/>
      <c r="CB54" s="360"/>
      <c r="CC54" s="360"/>
      <c r="CD54" s="360"/>
      <c r="CE54" s="360"/>
      <c r="CF54" s="360"/>
      <c r="CG54" s="360"/>
      <c r="CH54" s="360"/>
      <c r="CI54" s="360"/>
      <c r="CJ54" s="360"/>
      <c r="CK54" s="360"/>
      <c r="CL54" s="360"/>
      <c r="CM54" s="360"/>
      <c r="CN54" s="360"/>
      <c r="CO54" s="360"/>
      <c r="CP54" s="360"/>
      <c r="CQ54" s="360"/>
      <c r="CR54" s="360"/>
      <c r="CS54" s="360"/>
      <c r="CT54" s="360"/>
      <c r="CU54" s="360"/>
      <c r="CV54" s="360"/>
      <c r="CW54" s="360"/>
      <c r="CX54" s="360"/>
      <c r="CY54" s="360"/>
      <c r="CZ54" s="360"/>
      <c r="DA54" s="360"/>
      <c r="DB54" s="360"/>
      <c r="DC54" s="360"/>
      <c r="DD54" s="360"/>
      <c r="DE54" s="360"/>
      <c r="DF54" s="360"/>
      <c r="DG54" s="360"/>
      <c r="DH54" s="360"/>
      <c r="DI54" s="360"/>
      <c r="DJ54" s="360"/>
      <c r="DK54" s="360"/>
      <c r="DL54" s="360"/>
      <c r="DM54" s="360"/>
      <c r="DN54" s="360"/>
      <c r="DO54" s="360"/>
      <c r="DP54" s="360"/>
      <c r="DQ54" s="360"/>
      <c r="DR54" s="360"/>
      <c r="DS54" s="360"/>
      <c r="DT54" s="360"/>
      <c r="DU54" s="360"/>
      <c r="DV54" s="360"/>
      <c r="DW54" s="322" t="s">
        <v>372</v>
      </c>
    </row>
    <row r="55" spans="3:127" hidden="1" outlineLevel="1" x14ac:dyDescent="0.3">
      <c r="C55" s="426" t="s">
        <v>348</v>
      </c>
      <c r="D55" s="431" cm="1">
        <f t="array" ref="D55">SUMPRODUCT(--($F$50:$DV$50&gt;0),$F$50:$DV$50)/-SUMPRODUCT(--($F$50:$DV$50&lt;0),$F$50:$DV$50)</f>
        <v>2.3015412637198809</v>
      </c>
      <c r="F55" s="360"/>
      <c r="G55" s="432">
        <f>D54</f>
        <v>1779532.2928210052</v>
      </c>
      <c r="H55" s="433">
        <v>2742310.7447501975</v>
      </c>
      <c r="I55" s="434">
        <v>1779532.2928210052</v>
      </c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0"/>
      <c r="X55" s="360"/>
      <c r="Y55" s="360"/>
      <c r="Z55" s="360"/>
      <c r="AA55" s="360"/>
      <c r="AB55" s="360"/>
      <c r="AC55" s="360"/>
      <c r="AD55" s="360"/>
      <c r="AE55" s="360"/>
      <c r="AF55" s="360"/>
      <c r="AG55" s="360"/>
      <c r="AH55" s="360"/>
      <c r="AI55" s="360"/>
      <c r="AJ55" s="360"/>
      <c r="AK55" s="360"/>
      <c r="AL55" s="360"/>
      <c r="AM55" s="360"/>
      <c r="AN55" s="360"/>
      <c r="AO55" s="360"/>
      <c r="AP55" s="360"/>
      <c r="AQ55" s="360"/>
      <c r="AR55" s="360"/>
      <c r="AS55" s="360"/>
      <c r="AT55" s="360"/>
      <c r="AU55" s="360"/>
      <c r="AV55" s="360"/>
      <c r="AW55" s="360"/>
      <c r="AX55" s="360"/>
      <c r="AY55" s="360"/>
      <c r="AZ55" s="360"/>
      <c r="BA55" s="360"/>
      <c r="BB55" s="360"/>
      <c r="BC55" s="360"/>
      <c r="BD55" s="360"/>
      <c r="BE55" s="360"/>
      <c r="BF55" s="360"/>
      <c r="BG55" s="360"/>
      <c r="BH55" s="360"/>
      <c r="BI55" s="360"/>
      <c r="BJ55" s="360"/>
      <c r="BK55" s="360"/>
      <c r="BL55" s="360"/>
      <c r="BM55" s="360"/>
      <c r="BN55" s="360"/>
      <c r="BO55" s="360"/>
      <c r="BP55" s="360"/>
      <c r="BQ55" s="360"/>
      <c r="BR55" s="360"/>
      <c r="BS55" s="360"/>
      <c r="BT55" s="360"/>
      <c r="BU55" s="360"/>
      <c r="BV55" s="360"/>
      <c r="BW55" s="360"/>
      <c r="BX55" s="360"/>
      <c r="BY55" s="360"/>
      <c r="BZ55" s="360"/>
      <c r="CA55" s="360"/>
      <c r="CB55" s="360"/>
      <c r="CC55" s="360"/>
      <c r="CD55" s="360"/>
      <c r="CE55" s="360"/>
      <c r="CF55" s="360"/>
      <c r="CG55" s="360"/>
      <c r="CH55" s="360"/>
      <c r="CI55" s="360"/>
      <c r="CJ55" s="360"/>
      <c r="CK55" s="360"/>
      <c r="CL55" s="360"/>
      <c r="CM55" s="360"/>
      <c r="CN55" s="360"/>
      <c r="CO55" s="360"/>
      <c r="CP55" s="360"/>
      <c r="CQ55" s="360"/>
      <c r="CR55" s="360"/>
      <c r="CS55" s="360"/>
      <c r="CT55" s="360"/>
      <c r="CU55" s="360"/>
      <c r="CV55" s="360"/>
      <c r="CW55" s="360"/>
      <c r="CX55" s="360"/>
      <c r="CY55" s="360"/>
      <c r="CZ55" s="360"/>
      <c r="DA55" s="360"/>
      <c r="DB55" s="360"/>
      <c r="DC55" s="360"/>
      <c r="DD55" s="360"/>
      <c r="DE55" s="360"/>
      <c r="DF55" s="360"/>
      <c r="DG55" s="360"/>
      <c r="DH55" s="360"/>
      <c r="DI55" s="360"/>
      <c r="DJ55" s="360"/>
      <c r="DK55" s="360"/>
      <c r="DL55" s="360"/>
      <c r="DM55" s="360"/>
      <c r="DN55" s="360"/>
      <c r="DO55" s="360"/>
      <c r="DP55" s="360"/>
      <c r="DQ55" s="360"/>
      <c r="DR55" s="360"/>
      <c r="DS55" s="360"/>
      <c r="DT55" s="360"/>
      <c r="DU55" s="360"/>
      <c r="DV55" s="360"/>
      <c r="DW55" s="322" t="s">
        <v>372</v>
      </c>
    </row>
    <row r="56" spans="3:127" hidden="1" outlineLevel="1" x14ac:dyDescent="0.3">
      <c r="C56" s="363" t="s">
        <v>392</v>
      </c>
      <c r="D56" s="435">
        <f>D54/SUM(D81,D77)</f>
        <v>0.70590912321162003</v>
      </c>
      <c r="F56" s="436"/>
      <c r="G56" s="360"/>
      <c r="H56" s="360"/>
      <c r="I56" s="360"/>
      <c r="J56" s="360"/>
      <c r="K56" s="360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0"/>
      <c r="X56" s="360"/>
      <c r="Y56" s="360"/>
      <c r="Z56" s="360"/>
      <c r="AA56" s="360"/>
      <c r="AB56" s="360"/>
      <c r="AC56" s="360"/>
      <c r="AD56" s="360"/>
      <c r="AE56" s="360"/>
      <c r="AF56" s="360"/>
      <c r="AG56" s="360"/>
      <c r="AH56" s="360"/>
      <c r="AI56" s="360"/>
      <c r="AJ56" s="360"/>
      <c r="AK56" s="360"/>
      <c r="AL56" s="360"/>
      <c r="AM56" s="360"/>
      <c r="AN56" s="360"/>
      <c r="AO56" s="360"/>
      <c r="AP56" s="360"/>
      <c r="AQ56" s="360"/>
      <c r="AR56" s="360"/>
      <c r="AS56" s="360"/>
      <c r="AT56" s="360"/>
      <c r="AU56" s="360"/>
      <c r="AV56" s="360"/>
      <c r="AW56" s="360"/>
      <c r="AX56" s="360"/>
      <c r="AY56" s="360"/>
      <c r="AZ56" s="360"/>
      <c r="BA56" s="360"/>
      <c r="BB56" s="360"/>
      <c r="BC56" s="360"/>
      <c r="BD56" s="360"/>
      <c r="BE56" s="360"/>
      <c r="BF56" s="360"/>
      <c r="BG56" s="360"/>
      <c r="BH56" s="360"/>
      <c r="BI56" s="360"/>
      <c r="BJ56" s="360"/>
      <c r="BK56" s="360"/>
      <c r="BL56" s="360"/>
      <c r="BM56" s="360"/>
      <c r="BN56" s="360"/>
      <c r="BO56" s="360"/>
      <c r="BP56" s="360"/>
      <c r="BQ56" s="360"/>
      <c r="BR56" s="360"/>
      <c r="BS56" s="360"/>
      <c r="BT56" s="360"/>
      <c r="BU56" s="360"/>
      <c r="BV56" s="360"/>
      <c r="BW56" s="360"/>
      <c r="BX56" s="360"/>
      <c r="BY56" s="360"/>
      <c r="BZ56" s="360"/>
      <c r="CA56" s="360"/>
      <c r="CB56" s="360"/>
      <c r="CC56" s="360"/>
      <c r="CD56" s="360"/>
      <c r="CE56" s="360"/>
      <c r="CF56" s="360"/>
      <c r="CG56" s="360"/>
      <c r="CH56" s="360"/>
      <c r="CI56" s="360"/>
      <c r="CJ56" s="360"/>
      <c r="CK56" s="360"/>
      <c r="CL56" s="360"/>
      <c r="CM56" s="360"/>
      <c r="CN56" s="360"/>
      <c r="CO56" s="360"/>
      <c r="CP56" s="360"/>
      <c r="CQ56" s="360"/>
      <c r="CR56" s="360"/>
      <c r="CS56" s="360"/>
      <c r="CT56" s="360"/>
      <c r="CU56" s="360"/>
      <c r="CV56" s="360"/>
      <c r="CW56" s="360"/>
      <c r="CX56" s="360"/>
      <c r="CY56" s="360"/>
      <c r="CZ56" s="360"/>
      <c r="DA56" s="360"/>
      <c r="DB56" s="360"/>
      <c r="DC56" s="360"/>
      <c r="DD56" s="360"/>
      <c r="DE56" s="360"/>
      <c r="DF56" s="360"/>
      <c r="DG56" s="360"/>
      <c r="DH56" s="360"/>
      <c r="DI56" s="360"/>
      <c r="DJ56" s="360"/>
      <c r="DK56" s="360"/>
      <c r="DL56" s="360"/>
      <c r="DM56" s="360"/>
      <c r="DN56" s="360"/>
      <c r="DO56" s="360"/>
      <c r="DP56" s="360"/>
      <c r="DQ56" s="360"/>
      <c r="DR56" s="360"/>
      <c r="DS56" s="360"/>
      <c r="DT56" s="360"/>
      <c r="DU56" s="360"/>
      <c r="DV56" s="360"/>
      <c r="DW56" s="322" t="s">
        <v>372</v>
      </c>
    </row>
    <row r="57" spans="3:127" hidden="1" outlineLevel="1" x14ac:dyDescent="0.3"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60"/>
      <c r="AA57" s="360"/>
      <c r="AB57" s="360"/>
      <c r="AC57" s="360"/>
      <c r="AD57" s="360"/>
      <c r="AE57" s="360"/>
      <c r="AF57" s="360"/>
      <c r="AG57" s="360"/>
      <c r="AH57" s="360"/>
      <c r="AI57" s="360"/>
      <c r="AJ57" s="360"/>
      <c r="AK57" s="360"/>
      <c r="AL57" s="360"/>
      <c r="AM57" s="360"/>
      <c r="AN57" s="360"/>
      <c r="AO57" s="360"/>
      <c r="AP57" s="360"/>
      <c r="AQ57" s="360"/>
      <c r="AR57" s="360"/>
      <c r="AS57" s="360"/>
      <c r="AT57" s="360"/>
      <c r="AU57" s="360"/>
      <c r="AV57" s="360"/>
      <c r="AW57" s="360"/>
      <c r="AX57" s="360"/>
      <c r="AY57" s="360"/>
      <c r="AZ57" s="360"/>
      <c r="BA57" s="360"/>
      <c r="BB57" s="360"/>
      <c r="BC57" s="360"/>
      <c r="BD57" s="360"/>
      <c r="BE57" s="360"/>
      <c r="BF57" s="360"/>
      <c r="BG57" s="360"/>
      <c r="BH57" s="360"/>
      <c r="BI57" s="360"/>
      <c r="BJ57" s="360"/>
      <c r="BK57" s="360"/>
      <c r="BL57" s="360"/>
      <c r="BM57" s="360"/>
      <c r="BN57" s="360"/>
      <c r="BO57" s="360"/>
      <c r="BP57" s="360"/>
      <c r="BQ57" s="360"/>
      <c r="BR57" s="360"/>
      <c r="BS57" s="360"/>
      <c r="BT57" s="360"/>
      <c r="BU57" s="360"/>
      <c r="BV57" s="360"/>
      <c r="BW57" s="360"/>
      <c r="BX57" s="360"/>
      <c r="BY57" s="360"/>
      <c r="BZ57" s="360"/>
      <c r="CA57" s="360"/>
      <c r="CB57" s="360"/>
      <c r="CC57" s="360"/>
      <c r="CD57" s="360"/>
      <c r="CE57" s="360"/>
      <c r="CF57" s="360"/>
      <c r="CG57" s="360"/>
      <c r="CH57" s="360"/>
      <c r="CI57" s="360"/>
      <c r="CJ57" s="360"/>
      <c r="CK57" s="360"/>
      <c r="CL57" s="360"/>
      <c r="CM57" s="360"/>
      <c r="CN57" s="360"/>
      <c r="CO57" s="360"/>
      <c r="CP57" s="360"/>
      <c r="CQ57" s="360"/>
      <c r="CR57" s="360"/>
      <c r="CS57" s="360"/>
      <c r="CT57" s="360"/>
      <c r="CU57" s="360"/>
      <c r="CV57" s="360"/>
      <c r="CW57" s="360"/>
      <c r="CX57" s="360"/>
      <c r="CY57" s="360"/>
      <c r="CZ57" s="360"/>
      <c r="DA57" s="360"/>
      <c r="DB57" s="360"/>
      <c r="DC57" s="360"/>
      <c r="DD57" s="360"/>
      <c r="DE57" s="360"/>
      <c r="DF57" s="360"/>
      <c r="DG57" s="360"/>
      <c r="DH57" s="360"/>
      <c r="DI57" s="360"/>
      <c r="DJ57" s="360"/>
      <c r="DK57" s="360"/>
      <c r="DL57" s="360"/>
      <c r="DM57" s="360"/>
      <c r="DN57" s="360"/>
      <c r="DO57" s="360"/>
      <c r="DP57" s="360"/>
      <c r="DQ57" s="360"/>
      <c r="DR57" s="360"/>
      <c r="DS57" s="360"/>
      <c r="DT57" s="360"/>
      <c r="DU57" s="360"/>
      <c r="DV57" s="360"/>
      <c r="DW57" s="322" t="s">
        <v>372</v>
      </c>
    </row>
    <row r="58" spans="3:127" hidden="1" outlineLevel="1" x14ac:dyDescent="0.3">
      <c r="DW58" s="322" t="s">
        <v>372</v>
      </c>
    </row>
    <row r="59" spans="3:127" hidden="1" outlineLevel="1" x14ac:dyDescent="0.3">
      <c r="C59" s="401" t="str">
        <f>I37&amp;" Cash Flow Summary"</f>
        <v>Granite Park Cash Flow Summary</v>
      </c>
      <c r="D59" s="402"/>
      <c r="E59" s="403"/>
      <c r="F59" s="404"/>
      <c r="G59" s="404"/>
      <c r="H59" s="405"/>
      <c r="I59" s="405"/>
      <c r="J59" s="405"/>
      <c r="K59" s="405"/>
      <c r="L59" s="405"/>
      <c r="M59" s="405"/>
      <c r="N59" s="405"/>
      <c r="O59" s="405"/>
      <c r="P59" s="405"/>
      <c r="Q59" s="405"/>
      <c r="R59" s="405"/>
      <c r="S59" s="405"/>
      <c r="T59" s="405"/>
      <c r="U59" s="405"/>
      <c r="V59" s="405"/>
      <c r="W59" s="405"/>
      <c r="X59" s="405"/>
      <c r="Y59" s="405"/>
      <c r="Z59" s="405"/>
      <c r="AA59" s="405"/>
      <c r="AB59" s="405"/>
      <c r="AC59" s="405"/>
      <c r="AD59" s="405"/>
      <c r="AE59" s="405"/>
      <c r="AF59" s="405"/>
      <c r="AG59" s="405"/>
      <c r="AH59" s="405"/>
      <c r="AI59" s="405"/>
      <c r="AJ59" s="405"/>
      <c r="AK59" s="405"/>
      <c r="AL59" s="405"/>
      <c r="AM59" s="405"/>
      <c r="AN59" s="405"/>
      <c r="AO59" s="405"/>
      <c r="AP59" s="405"/>
      <c r="AQ59" s="405"/>
      <c r="AR59" s="405"/>
      <c r="AS59" s="405"/>
      <c r="AT59" s="405"/>
      <c r="AU59" s="405"/>
      <c r="AV59" s="405"/>
      <c r="AW59" s="405"/>
      <c r="AX59" s="405"/>
      <c r="AY59" s="405"/>
      <c r="AZ59" s="405"/>
      <c r="BA59" s="405"/>
      <c r="BB59" s="405"/>
      <c r="BC59" s="405"/>
      <c r="BD59" s="405"/>
      <c r="BE59" s="405"/>
      <c r="BF59" s="405"/>
      <c r="BG59" s="405"/>
      <c r="BH59" s="405"/>
      <c r="BI59" s="405"/>
      <c r="BJ59" s="405"/>
      <c r="BK59" s="405"/>
      <c r="BL59" s="405"/>
      <c r="BM59" s="405"/>
      <c r="BN59" s="405"/>
      <c r="BO59" s="405"/>
      <c r="BP59" s="405"/>
      <c r="BQ59" s="405"/>
      <c r="BR59" s="405"/>
      <c r="BS59" s="405"/>
      <c r="BT59" s="405"/>
      <c r="BU59" s="405"/>
      <c r="BV59" s="405"/>
      <c r="BW59" s="405"/>
      <c r="BX59" s="405"/>
      <c r="BY59" s="405"/>
      <c r="BZ59" s="405"/>
      <c r="CA59" s="405"/>
      <c r="CB59" s="405"/>
      <c r="CC59" s="405"/>
      <c r="CD59" s="405"/>
      <c r="CE59" s="405"/>
      <c r="CF59" s="405"/>
      <c r="CG59" s="405"/>
      <c r="CH59" s="405"/>
      <c r="CI59" s="405"/>
      <c r="CJ59" s="405"/>
      <c r="CK59" s="405"/>
      <c r="CL59" s="405"/>
      <c r="CM59" s="405"/>
      <c r="CN59" s="405"/>
      <c r="CO59" s="405"/>
      <c r="CP59" s="405"/>
      <c r="CQ59" s="405"/>
      <c r="CR59" s="405"/>
      <c r="CS59" s="405"/>
      <c r="CT59" s="405"/>
      <c r="CU59" s="405"/>
      <c r="CV59" s="405"/>
      <c r="CW59" s="405"/>
      <c r="CX59" s="405"/>
      <c r="CY59" s="405"/>
      <c r="CZ59" s="405"/>
      <c r="DA59" s="405"/>
      <c r="DB59" s="405"/>
      <c r="DC59" s="405"/>
      <c r="DD59" s="405"/>
      <c r="DE59" s="405"/>
      <c r="DF59" s="405"/>
      <c r="DG59" s="405"/>
      <c r="DH59" s="405"/>
      <c r="DI59" s="405"/>
      <c r="DJ59" s="405"/>
      <c r="DK59" s="405"/>
      <c r="DL59" s="405"/>
      <c r="DM59" s="405"/>
      <c r="DN59" s="405"/>
      <c r="DO59" s="405"/>
      <c r="DP59" s="405"/>
      <c r="DQ59" s="405"/>
      <c r="DR59" s="405"/>
      <c r="DS59" s="405"/>
      <c r="DT59" s="405"/>
      <c r="DU59" s="405"/>
      <c r="DV59" s="405"/>
      <c r="DW59" s="322" t="s">
        <v>372</v>
      </c>
    </row>
    <row r="60" spans="3:127" hidden="1" outlineLevel="1" x14ac:dyDescent="0.3">
      <c r="C60" s="406" t="s">
        <v>361</v>
      </c>
      <c r="D60" s="408">
        <f t="shared" ref="D60:D68" si="21">SUM(F60:DV60)</f>
        <v>168188.2541660424</v>
      </c>
      <c r="E60" s="408"/>
      <c r="F60" s="437">
        <f t="shared" ref="F60:BQ60" si="22">F127</f>
        <v>-455750</v>
      </c>
      <c r="G60" s="409">
        <f t="shared" si="22"/>
        <v>3218.5414583333331</v>
      </c>
      <c r="H60" s="409">
        <f t="shared" si="22"/>
        <v>3218.5414583333331</v>
      </c>
      <c r="I60" s="409">
        <f t="shared" si="22"/>
        <v>3218.5414583333331</v>
      </c>
      <c r="J60" s="409">
        <f t="shared" si="22"/>
        <v>3218.5414583333331</v>
      </c>
      <c r="K60" s="409">
        <f t="shared" si="22"/>
        <v>3218.5414583333331</v>
      </c>
      <c r="L60" s="409">
        <f t="shared" si="22"/>
        <v>3218.5414583333331</v>
      </c>
      <c r="M60" s="409">
        <f t="shared" si="22"/>
        <v>3218.5414583333331</v>
      </c>
      <c r="N60" s="409">
        <f t="shared" si="22"/>
        <v>3218.5414583333331</v>
      </c>
      <c r="O60" s="409">
        <f t="shared" si="22"/>
        <v>3218.5414583333331</v>
      </c>
      <c r="P60" s="409">
        <f t="shared" si="22"/>
        <v>3218.5414583333331</v>
      </c>
      <c r="Q60" s="409">
        <f t="shared" si="22"/>
        <v>3218.5414583333331</v>
      </c>
      <c r="R60" s="409">
        <f t="shared" si="22"/>
        <v>3218.5414583333331</v>
      </c>
      <c r="S60" s="409">
        <f t="shared" si="22"/>
        <v>3442.1445770833343</v>
      </c>
      <c r="T60" s="409">
        <f t="shared" si="22"/>
        <v>3442.1445770833343</v>
      </c>
      <c r="U60" s="409">
        <f t="shared" si="22"/>
        <v>3442.1445770833343</v>
      </c>
      <c r="V60" s="409">
        <f t="shared" si="22"/>
        <v>3442.1445770833343</v>
      </c>
      <c r="W60" s="409">
        <f t="shared" si="22"/>
        <v>3442.1445770833343</v>
      </c>
      <c r="X60" s="409">
        <f t="shared" si="22"/>
        <v>3442.1445770833343</v>
      </c>
      <c r="Y60" s="409">
        <f t="shared" si="22"/>
        <v>3442.1445770833343</v>
      </c>
      <c r="Z60" s="409">
        <f t="shared" si="22"/>
        <v>3442.1445770833343</v>
      </c>
      <c r="AA60" s="409">
        <f t="shared" si="22"/>
        <v>3442.1445770833343</v>
      </c>
      <c r="AB60" s="409">
        <f t="shared" si="22"/>
        <v>3442.1445770833343</v>
      </c>
      <c r="AC60" s="409">
        <f t="shared" si="22"/>
        <v>3442.1445770833343</v>
      </c>
      <c r="AD60" s="409">
        <f t="shared" si="22"/>
        <v>3442.1445770833343</v>
      </c>
      <c r="AE60" s="409">
        <f t="shared" si="22"/>
        <v>3672.4557893958322</v>
      </c>
      <c r="AF60" s="409">
        <f t="shared" si="22"/>
        <v>3672.4557893958322</v>
      </c>
      <c r="AG60" s="409">
        <f t="shared" si="22"/>
        <v>3672.4557893958322</v>
      </c>
      <c r="AH60" s="409">
        <f t="shared" si="22"/>
        <v>3672.4557893958322</v>
      </c>
      <c r="AI60" s="409">
        <f t="shared" si="22"/>
        <v>3672.4557893958322</v>
      </c>
      <c r="AJ60" s="409">
        <f t="shared" si="22"/>
        <v>3672.4557893958322</v>
      </c>
      <c r="AK60" s="409">
        <f t="shared" si="22"/>
        <v>3672.4557893958322</v>
      </c>
      <c r="AL60" s="409">
        <f t="shared" si="22"/>
        <v>3672.4557893958322</v>
      </c>
      <c r="AM60" s="409">
        <f t="shared" si="22"/>
        <v>3672.4557893958322</v>
      </c>
      <c r="AN60" s="409">
        <f t="shared" si="22"/>
        <v>3672.4557893958322</v>
      </c>
      <c r="AO60" s="409">
        <f t="shared" si="22"/>
        <v>3672.4557893958322</v>
      </c>
      <c r="AP60" s="409">
        <f t="shared" si="22"/>
        <v>3672.4557893958322</v>
      </c>
      <c r="AQ60" s="409">
        <f t="shared" si="22"/>
        <v>3909.676338077707</v>
      </c>
      <c r="AR60" s="409">
        <f t="shared" si="22"/>
        <v>3909.676338077707</v>
      </c>
      <c r="AS60" s="409">
        <f t="shared" si="22"/>
        <v>3909.676338077707</v>
      </c>
      <c r="AT60" s="409">
        <f t="shared" si="22"/>
        <v>3909.676338077707</v>
      </c>
      <c r="AU60" s="409">
        <f t="shared" si="22"/>
        <v>3909.676338077707</v>
      </c>
      <c r="AV60" s="409">
        <f t="shared" si="22"/>
        <v>3909.676338077707</v>
      </c>
      <c r="AW60" s="409">
        <f t="shared" si="22"/>
        <v>3909.676338077707</v>
      </c>
      <c r="AX60" s="409">
        <f t="shared" si="22"/>
        <v>3909.676338077707</v>
      </c>
      <c r="AY60" s="409">
        <f t="shared" si="22"/>
        <v>3909.676338077707</v>
      </c>
      <c r="AZ60" s="409">
        <f t="shared" si="22"/>
        <v>3909.676338077707</v>
      </c>
      <c r="BA60" s="409">
        <f t="shared" si="22"/>
        <v>3909.676338077707</v>
      </c>
      <c r="BB60" s="409">
        <f t="shared" si="22"/>
        <v>3909.676338077707</v>
      </c>
      <c r="BC60" s="409">
        <f t="shared" si="22"/>
        <v>2169.2861690817131</v>
      </c>
      <c r="BD60" s="409">
        <f t="shared" si="22"/>
        <v>2169.2861690817131</v>
      </c>
      <c r="BE60" s="409">
        <f t="shared" si="22"/>
        <v>2169.2861690817131</v>
      </c>
      <c r="BF60" s="409">
        <f t="shared" si="22"/>
        <v>2169.2861690817131</v>
      </c>
      <c r="BG60" s="409">
        <f t="shared" si="22"/>
        <v>2169.2861690817131</v>
      </c>
      <c r="BH60" s="409">
        <f t="shared" si="22"/>
        <v>2169.2861690817131</v>
      </c>
      <c r="BI60" s="409">
        <f t="shared" si="22"/>
        <v>2169.2861690817131</v>
      </c>
      <c r="BJ60" s="409">
        <f t="shared" si="22"/>
        <v>2169.2861690817131</v>
      </c>
      <c r="BK60" s="409">
        <f t="shared" si="22"/>
        <v>2169.2861690817131</v>
      </c>
      <c r="BL60" s="409">
        <f t="shared" si="22"/>
        <v>2169.2861690817131</v>
      </c>
      <c r="BM60" s="409">
        <f t="shared" si="22"/>
        <v>2169.2861690817131</v>
      </c>
      <c r="BN60" s="409">
        <f t="shared" si="22"/>
        <v>429162.28835146123</v>
      </c>
      <c r="BO60" s="409">
        <f t="shared" si="22"/>
        <v>0</v>
      </c>
      <c r="BP60" s="409">
        <f t="shared" si="22"/>
        <v>0</v>
      </c>
      <c r="BQ60" s="409">
        <f t="shared" si="22"/>
        <v>0</v>
      </c>
      <c r="BR60" s="409">
        <f t="shared" ref="BR60:DV60" si="23">BR127</f>
        <v>0</v>
      </c>
      <c r="BS60" s="409">
        <f t="shared" si="23"/>
        <v>0</v>
      </c>
      <c r="BT60" s="409">
        <f t="shared" si="23"/>
        <v>0</v>
      </c>
      <c r="BU60" s="409">
        <f t="shared" si="23"/>
        <v>0</v>
      </c>
      <c r="BV60" s="409">
        <f t="shared" si="23"/>
        <v>0</v>
      </c>
      <c r="BW60" s="409">
        <f t="shared" si="23"/>
        <v>0</v>
      </c>
      <c r="BX60" s="409">
        <f t="shared" si="23"/>
        <v>0</v>
      </c>
      <c r="BY60" s="409">
        <f t="shared" si="23"/>
        <v>0</v>
      </c>
      <c r="BZ60" s="409">
        <f t="shared" si="23"/>
        <v>0</v>
      </c>
      <c r="CA60" s="409">
        <f t="shared" si="23"/>
        <v>0</v>
      </c>
      <c r="CB60" s="409">
        <f t="shared" si="23"/>
        <v>0</v>
      </c>
      <c r="CC60" s="409">
        <f t="shared" si="23"/>
        <v>0</v>
      </c>
      <c r="CD60" s="409">
        <f t="shared" si="23"/>
        <v>0</v>
      </c>
      <c r="CE60" s="409">
        <f t="shared" si="23"/>
        <v>0</v>
      </c>
      <c r="CF60" s="409">
        <f t="shared" si="23"/>
        <v>0</v>
      </c>
      <c r="CG60" s="409">
        <f t="shared" si="23"/>
        <v>0</v>
      </c>
      <c r="CH60" s="409">
        <f t="shared" si="23"/>
        <v>0</v>
      </c>
      <c r="CI60" s="409">
        <f t="shared" si="23"/>
        <v>0</v>
      </c>
      <c r="CJ60" s="409">
        <f t="shared" si="23"/>
        <v>0</v>
      </c>
      <c r="CK60" s="409">
        <f t="shared" si="23"/>
        <v>0</v>
      </c>
      <c r="CL60" s="409">
        <f t="shared" si="23"/>
        <v>0</v>
      </c>
      <c r="CM60" s="409">
        <f t="shared" si="23"/>
        <v>0</v>
      </c>
      <c r="CN60" s="409">
        <f t="shared" si="23"/>
        <v>0</v>
      </c>
      <c r="CO60" s="409">
        <f t="shared" si="23"/>
        <v>0</v>
      </c>
      <c r="CP60" s="409">
        <f t="shared" si="23"/>
        <v>0</v>
      </c>
      <c r="CQ60" s="409">
        <f t="shared" si="23"/>
        <v>0</v>
      </c>
      <c r="CR60" s="409">
        <f t="shared" si="23"/>
        <v>0</v>
      </c>
      <c r="CS60" s="409">
        <f t="shared" si="23"/>
        <v>0</v>
      </c>
      <c r="CT60" s="409">
        <f t="shared" si="23"/>
        <v>0</v>
      </c>
      <c r="CU60" s="409">
        <f t="shared" si="23"/>
        <v>0</v>
      </c>
      <c r="CV60" s="409">
        <f t="shared" si="23"/>
        <v>0</v>
      </c>
      <c r="CW60" s="409">
        <f t="shared" si="23"/>
        <v>0</v>
      </c>
      <c r="CX60" s="409">
        <f t="shared" si="23"/>
        <v>0</v>
      </c>
      <c r="CY60" s="409">
        <f t="shared" si="23"/>
        <v>0</v>
      </c>
      <c r="CZ60" s="409">
        <f t="shared" si="23"/>
        <v>0</v>
      </c>
      <c r="DA60" s="409">
        <f t="shared" si="23"/>
        <v>0</v>
      </c>
      <c r="DB60" s="409">
        <f t="shared" si="23"/>
        <v>0</v>
      </c>
      <c r="DC60" s="409">
        <f t="shared" si="23"/>
        <v>0</v>
      </c>
      <c r="DD60" s="409">
        <f t="shared" si="23"/>
        <v>0</v>
      </c>
      <c r="DE60" s="409">
        <f t="shared" si="23"/>
        <v>0</v>
      </c>
      <c r="DF60" s="409">
        <f t="shared" si="23"/>
        <v>0</v>
      </c>
      <c r="DG60" s="409">
        <f t="shared" si="23"/>
        <v>0</v>
      </c>
      <c r="DH60" s="409">
        <f t="shared" si="23"/>
        <v>0</v>
      </c>
      <c r="DI60" s="409">
        <f t="shared" si="23"/>
        <v>0</v>
      </c>
      <c r="DJ60" s="409">
        <f t="shared" si="23"/>
        <v>0</v>
      </c>
      <c r="DK60" s="409">
        <f t="shared" si="23"/>
        <v>0</v>
      </c>
      <c r="DL60" s="409">
        <f t="shared" si="23"/>
        <v>0</v>
      </c>
      <c r="DM60" s="409">
        <f t="shared" si="23"/>
        <v>0</v>
      </c>
      <c r="DN60" s="409">
        <f t="shared" si="23"/>
        <v>0</v>
      </c>
      <c r="DO60" s="409">
        <f t="shared" si="23"/>
        <v>0</v>
      </c>
      <c r="DP60" s="409">
        <f t="shared" si="23"/>
        <v>0</v>
      </c>
      <c r="DQ60" s="409">
        <f t="shared" si="23"/>
        <v>0</v>
      </c>
      <c r="DR60" s="409">
        <f t="shared" si="23"/>
        <v>0</v>
      </c>
      <c r="DS60" s="409">
        <f t="shared" si="23"/>
        <v>0</v>
      </c>
      <c r="DT60" s="409">
        <f t="shared" si="23"/>
        <v>0</v>
      </c>
      <c r="DU60" s="409">
        <f t="shared" si="23"/>
        <v>0</v>
      </c>
      <c r="DV60" s="409">
        <f t="shared" si="23"/>
        <v>0</v>
      </c>
      <c r="DW60" s="322" t="s">
        <v>372</v>
      </c>
    </row>
    <row r="61" spans="3:127" hidden="1" outlineLevel="1" x14ac:dyDescent="0.3">
      <c r="C61" s="406" t="s">
        <v>363</v>
      </c>
      <c r="D61" s="411">
        <f t="shared" si="21"/>
        <v>66552.428753923654</v>
      </c>
      <c r="E61" s="411"/>
      <c r="F61" s="438">
        <f t="shared" ref="F61:BQ62" si="24">F158</f>
        <v>0</v>
      </c>
      <c r="G61" s="412">
        <f t="shared" si="24"/>
        <v>0</v>
      </c>
      <c r="H61" s="412">
        <f t="shared" si="24"/>
        <v>0</v>
      </c>
      <c r="I61" s="412">
        <f t="shared" si="24"/>
        <v>0</v>
      </c>
      <c r="J61" s="412">
        <f t="shared" si="24"/>
        <v>0</v>
      </c>
      <c r="K61" s="412">
        <f t="shared" si="24"/>
        <v>0</v>
      </c>
      <c r="L61" s="412">
        <f t="shared" si="24"/>
        <v>0</v>
      </c>
      <c r="M61" s="412">
        <f t="shared" si="24"/>
        <v>0</v>
      </c>
      <c r="N61" s="412">
        <f t="shared" si="24"/>
        <v>0</v>
      </c>
      <c r="O61" s="412">
        <f t="shared" si="24"/>
        <v>0</v>
      </c>
      <c r="P61" s="412">
        <f t="shared" si="24"/>
        <v>0</v>
      </c>
      <c r="Q61" s="412">
        <f t="shared" si="24"/>
        <v>0</v>
      </c>
      <c r="R61" s="412">
        <f t="shared" si="24"/>
        <v>0</v>
      </c>
      <c r="S61" s="412">
        <f t="shared" si="24"/>
        <v>0</v>
      </c>
      <c r="T61" s="412">
        <f t="shared" si="24"/>
        <v>0</v>
      </c>
      <c r="U61" s="412">
        <f t="shared" si="24"/>
        <v>0</v>
      </c>
      <c r="V61" s="412">
        <f t="shared" si="24"/>
        <v>0</v>
      </c>
      <c r="W61" s="412">
        <f t="shared" si="24"/>
        <v>0</v>
      </c>
      <c r="X61" s="412">
        <f t="shared" si="24"/>
        <v>0</v>
      </c>
      <c r="Y61" s="412">
        <f t="shared" si="24"/>
        <v>0</v>
      </c>
      <c r="Z61" s="412">
        <f t="shared" si="24"/>
        <v>0</v>
      </c>
      <c r="AA61" s="412">
        <f t="shared" si="24"/>
        <v>0</v>
      </c>
      <c r="AB61" s="412">
        <f t="shared" si="24"/>
        <v>0</v>
      </c>
      <c r="AC61" s="412">
        <f t="shared" si="24"/>
        <v>0</v>
      </c>
      <c r="AD61" s="412">
        <f t="shared" si="24"/>
        <v>0</v>
      </c>
      <c r="AE61" s="412">
        <f t="shared" si="24"/>
        <v>0</v>
      </c>
      <c r="AF61" s="412">
        <f t="shared" si="24"/>
        <v>0</v>
      </c>
      <c r="AG61" s="412">
        <f t="shared" si="24"/>
        <v>0</v>
      </c>
      <c r="AH61" s="412">
        <f t="shared" si="24"/>
        <v>0</v>
      </c>
      <c r="AI61" s="412">
        <f t="shared" si="24"/>
        <v>0</v>
      </c>
      <c r="AJ61" s="412">
        <f t="shared" si="24"/>
        <v>0</v>
      </c>
      <c r="AK61" s="412">
        <f t="shared" si="24"/>
        <v>0</v>
      </c>
      <c r="AL61" s="412">
        <f t="shared" si="24"/>
        <v>0</v>
      </c>
      <c r="AM61" s="412">
        <f t="shared" si="24"/>
        <v>0</v>
      </c>
      <c r="AN61" s="412">
        <f t="shared" si="24"/>
        <v>0</v>
      </c>
      <c r="AO61" s="412">
        <f t="shared" si="24"/>
        <v>0</v>
      </c>
      <c r="AP61" s="412">
        <f t="shared" si="24"/>
        <v>0</v>
      </c>
      <c r="AQ61" s="412">
        <f t="shared" si="24"/>
        <v>0</v>
      </c>
      <c r="AR61" s="412">
        <f t="shared" si="24"/>
        <v>0</v>
      </c>
      <c r="AS61" s="412">
        <f t="shared" si="24"/>
        <v>0</v>
      </c>
      <c r="AT61" s="412">
        <f t="shared" si="24"/>
        <v>0</v>
      </c>
      <c r="AU61" s="412">
        <f t="shared" si="24"/>
        <v>0</v>
      </c>
      <c r="AV61" s="412">
        <f t="shared" si="24"/>
        <v>0</v>
      </c>
      <c r="AW61" s="412">
        <f t="shared" si="24"/>
        <v>0</v>
      </c>
      <c r="AX61" s="412">
        <f t="shared" si="24"/>
        <v>0</v>
      </c>
      <c r="AY61" s="412">
        <f t="shared" si="24"/>
        <v>0</v>
      </c>
      <c r="AZ61" s="412">
        <f t="shared" si="24"/>
        <v>0</v>
      </c>
      <c r="BA61" s="412">
        <f t="shared" si="24"/>
        <v>0</v>
      </c>
      <c r="BB61" s="412">
        <f t="shared" si="24"/>
        <v>0</v>
      </c>
      <c r="BC61" s="412">
        <f t="shared" si="24"/>
        <v>0</v>
      </c>
      <c r="BD61" s="412">
        <f t="shared" si="24"/>
        <v>0</v>
      </c>
      <c r="BE61" s="412">
        <f t="shared" si="24"/>
        <v>0</v>
      </c>
      <c r="BF61" s="412">
        <f t="shared" si="24"/>
        <v>0</v>
      </c>
      <c r="BG61" s="412">
        <f t="shared" si="24"/>
        <v>0</v>
      </c>
      <c r="BH61" s="412">
        <f t="shared" si="24"/>
        <v>0</v>
      </c>
      <c r="BI61" s="412">
        <f t="shared" si="24"/>
        <v>0</v>
      </c>
      <c r="BJ61" s="412">
        <f t="shared" si="24"/>
        <v>0</v>
      </c>
      <c r="BK61" s="412">
        <f t="shared" si="24"/>
        <v>0</v>
      </c>
      <c r="BL61" s="412">
        <f t="shared" si="24"/>
        <v>0</v>
      </c>
      <c r="BM61" s="412">
        <f t="shared" si="24"/>
        <v>0</v>
      </c>
      <c r="BN61" s="412">
        <f t="shared" si="24"/>
        <v>66552.428753923654</v>
      </c>
      <c r="BO61" s="412">
        <f t="shared" si="24"/>
        <v>0</v>
      </c>
      <c r="BP61" s="412">
        <f t="shared" si="24"/>
        <v>0</v>
      </c>
      <c r="BQ61" s="412">
        <f t="shared" si="24"/>
        <v>0</v>
      </c>
      <c r="BR61" s="412">
        <f t="shared" ref="BR61:DV62" si="25">BR158</f>
        <v>0</v>
      </c>
      <c r="BS61" s="412">
        <f t="shared" si="25"/>
        <v>0</v>
      </c>
      <c r="BT61" s="412">
        <f t="shared" si="25"/>
        <v>0</v>
      </c>
      <c r="BU61" s="412">
        <f t="shared" si="25"/>
        <v>0</v>
      </c>
      <c r="BV61" s="412">
        <f t="shared" si="25"/>
        <v>0</v>
      </c>
      <c r="BW61" s="412">
        <f t="shared" si="25"/>
        <v>0</v>
      </c>
      <c r="BX61" s="412">
        <f t="shared" si="25"/>
        <v>0</v>
      </c>
      <c r="BY61" s="412">
        <f t="shared" si="25"/>
        <v>0</v>
      </c>
      <c r="BZ61" s="412">
        <f t="shared" si="25"/>
        <v>0</v>
      </c>
      <c r="CA61" s="412">
        <f t="shared" si="25"/>
        <v>0</v>
      </c>
      <c r="CB61" s="412">
        <f t="shared" si="25"/>
        <v>0</v>
      </c>
      <c r="CC61" s="412">
        <f t="shared" si="25"/>
        <v>0</v>
      </c>
      <c r="CD61" s="412">
        <f t="shared" si="25"/>
        <v>0</v>
      </c>
      <c r="CE61" s="412">
        <f t="shared" si="25"/>
        <v>0</v>
      </c>
      <c r="CF61" s="412">
        <f t="shared" si="25"/>
        <v>0</v>
      </c>
      <c r="CG61" s="412">
        <f t="shared" si="25"/>
        <v>0</v>
      </c>
      <c r="CH61" s="412">
        <f t="shared" si="25"/>
        <v>0</v>
      </c>
      <c r="CI61" s="412">
        <f t="shared" si="25"/>
        <v>0</v>
      </c>
      <c r="CJ61" s="412">
        <f t="shared" si="25"/>
        <v>0</v>
      </c>
      <c r="CK61" s="412">
        <f t="shared" si="25"/>
        <v>0</v>
      </c>
      <c r="CL61" s="412">
        <f t="shared" si="25"/>
        <v>0</v>
      </c>
      <c r="CM61" s="412">
        <f t="shared" si="25"/>
        <v>0</v>
      </c>
      <c r="CN61" s="412">
        <f t="shared" si="25"/>
        <v>0</v>
      </c>
      <c r="CO61" s="412">
        <f t="shared" si="25"/>
        <v>0</v>
      </c>
      <c r="CP61" s="412">
        <f t="shared" si="25"/>
        <v>0</v>
      </c>
      <c r="CQ61" s="412">
        <f t="shared" si="25"/>
        <v>0</v>
      </c>
      <c r="CR61" s="412">
        <f t="shared" si="25"/>
        <v>0</v>
      </c>
      <c r="CS61" s="412">
        <f t="shared" si="25"/>
        <v>0</v>
      </c>
      <c r="CT61" s="412">
        <f t="shared" si="25"/>
        <v>0</v>
      </c>
      <c r="CU61" s="412">
        <f t="shared" si="25"/>
        <v>0</v>
      </c>
      <c r="CV61" s="412">
        <f t="shared" si="25"/>
        <v>0</v>
      </c>
      <c r="CW61" s="412">
        <f t="shared" si="25"/>
        <v>0</v>
      </c>
      <c r="CX61" s="412">
        <f t="shared" si="25"/>
        <v>0</v>
      </c>
      <c r="CY61" s="412">
        <f t="shared" si="25"/>
        <v>0</v>
      </c>
      <c r="CZ61" s="412">
        <f t="shared" si="25"/>
        <v>0</v>
      </c>
      <c r="DA61" s="412">
        <f t="shared" si="25"/>
        <v>0</v>
      </c>
      <c r="DB61" s="412">
        <f t="shared" si="25"/>
        <v>0</v>
      </c>
      <c r="DC61" s="412">
        <f t="shared" si="25"/>
        <v>0</v>
      </c>
      <c r="DD61" s="412">
        <f t="shared" si="25"/>
        <v>0</v>
      </c>
      <c r="DE61" s="412">
        <f t="shared" si="25"/>
        <v>0</v>
      </c>
      <c r="DF61" s="412">
        <f t="shared" si="25"/>
        <v>0</v>
      </c>
      <c r="DG61" s="412">
        <f t="shared" si="25"/>
        <v>0</v>
      </c>
      <c r="DH61" s="412">
        <f t="shared" si="25"/>
        <v>0</v>
      </c>
      <c r="DI61" s="412">
        <f t="shared" si="25"/>
        <v>0</v>
      </c>
      <c r="DJ61" s="412">
        <f t="shared" si="25"/>
        <v>0</v>
      </c>
      <c r="DK61" s="412">
        <f t="shared" si="25"/>
        <v>0</v>
      </c>
      <c r="DL61" s="412">
        <f t="shared" si="25"/>
        <v>0</v>
      </c>
      <c r="DM61" s="412">
        <f t="shared" si="25"/>
        <v>0</v>
      </c>
      <c r="DN61" s="412">
        <f t="shared" si="25"/>
        <v>0</v>
      </c>
      <c r="DO61" s="412">
        <f t="shared" si="25"/>
        <v>0</v>
      </c>
      <c r="DP61" s="412">
        <f t="shared" si="25"/>
        <v>0</v>
      </c>
      <c r="DQ61" s="412">
        <f t="shared" si="25"/>
        <v>0</v>
      </c>
      <c r="DR61" s="412">
        <f t="shared" si="25"/>
        <v>0</v>
      </c>
      <c r="DS61" s="412">
        <f t="shared" si="25"/>
        <v>0</v>
      </c>
      <c r="DT61" s="412">
        <f t="shared" si="25"/>
        <v>0</v>
      </c>
      <c r="DU61" s="412">
        <f t="shared" si="25"/>
        <v>0</v>
      </c>
      <c r="DV61" s="412">
        <f t="shared" si="25"/>
        <v>0</v>
      </c>
      <c r="DW61" s="322" t="s">
        <v>372</v>
      </c>
    </row>
    <row r="62" spans="3:127" hidden="1" outlineLevel="1" x14ac:dyDescent="0.3">
      <c r="C62" s="406" t="s">
        <v>393</v>
      </c>
      <c r="D62" s="411">
        <f t="shared" si="21"/>
        <v>166381.07188480944</v>
      </c>
      <c r="E62" s="411"/>
      <c r="F62" s="438">
        <f t="shared" si="24"/>
        <v>0</v>
      </c>
      <c r="G62" s="412">
        <f t="shared" si="24"/>
        <v>0</v>
      </c>
      <c r="H62" s="412">
        <f t="shared" si="24"/>
        <v>0</v>
      </c>
      <c r="I62" s="412">
        <f t="shared" si="24"/>
        <v>0</v>
      </c>
      <c r="J62" s="412">
        <f t="shared" si="24"/>
        <v>0</v>
      </c>
      <c r="K62" s="412">
        <f t="shared" si="24"/>
        <v>0</v>
      </c>
      <c r="L62" s="412">
        <f t="shared" si="24"/>
        <v>0</v>
      </c>
      <c r="M62" s="412">
        <f t="shared" si="24"/>
        <v>0</v>
      </c>
      <c r="N62" s="412">
        <f t="shared" si="24"/>
        <v>0</v>
      </c>
      <c r="O62" s="412">
        <f t="shared" si="24"/>
        <v>0</v>
      </c>
      <c r="P62" s="412">
        <f t="shared" si="24"/>
        <v>0</v>
      </c>
      <c r="Q62" s="412">
        <f t="shared" si="24"/>
        <v>0</v>
      </c>
      <c r="R62" s="412">
        <f t="shared" si="24"/>
        <v>0</v>
      </c>
      <c r="S62" s="412">
        <f t="shared" si="24"/>
        <v>0</v>
      </c>
      <c r="T62" s="412">
        <f t="shared" si="24"/>
        <v>0</v>
      </c>
      <c r="U62" s="412">
        <f t="shared" si="24"/>
        <v>0</v>
      </c>
      <c r="V62" s="412">
        <f t="shared" si="24"/>
        <v>0</v>
      </c>
      <c r="W62" s="412">
        <f t="shared" si="24"/>
        <v>0</v>
      </c>
      <c r="X62" s="412">
        <f t="shared" si="24"/>
        <v>0</v>
      </c>
      <c r="Y62" s="412">
        <f t="shared" si="24"/>
        <v>0</v>
      </c>
      <c r="Z62" s="412">
        <f t="shared" si="24"/>
        <v>0</v>
      </c>
      <c r="AA62" s="412">
        <f t="shared" si="24"/>
        <v>0</v>
      </c>
      <c r="AB62" s="412">
        <f t="shared" si="24"/>
        <v>0</v>
      </c>
      <c r="AC62" s="412">
        <f t="shared" si="24"/>
        <v>0</v>
      </c>
      <c r="AD62" s="412">
        <f t="shared" si="24"/>
        <v>0</v>
      </c>
      <c r="AE62" s="412">
        <f t="shared" si="24"/>
        <v>0</v>
      </c>
      <c r="AF62" s="412">
        <f t="shared" si="24"/>
        <v>0</v>
      </c>
      <c r="AG62" s="412">
        <f t="shared" si="24"/>
        <v>0</v>
      </c>
      <c r="AH62" s="412">
        <f t="shared" si="24"/>
        <v>0</v>
      </c>
      <c r="AI62" s="412">
        <f t="shared" si="24"/>
        <v>0</v>
      </c>
      <c r="AJ62" s="412">
        <f t="shared" si="24"/>
        <v>0</v>
      </c>
      <c r="AK62" s="412">
        <f t="shared" si="24"/>
        <v>0</v>
      </c>
      <c r="AL62" s="412">
        <f t="shared" si="24"/>
        <v>0</v>
      </c>
      <c r="AM62" s="412">
        <f t="shared" si="24"/>
        <v>0</v>
      </c>
      <c r="AN62" s="412">
        <f t="shared" si="24"/>
        <v>0</v>
      </c>
      <c r="AO62" s="412">
        <f t="shared" si="24"/>
        <v>0</v>
      </c>
      <c r="AP62" s="412">
        <f t="shared" si="24"/>
        <v>0</v>
      </c>
      <c r="AQ62" s="412">
        <f t="shared" si="24"/>
        <v>0</v>
      </c>
      <c r="AR62" s="412">
        <f t="shared" si="24"/>
        <v>0</v>
      </c>
      <c r="AS62" s="412">
        <f t="shared" si="24"/>
        <v>0</v>
      </c>
      <c r="AT62" s="412">
        <f t="shared" si="24"/>
        <v>0</v>
      </c>
      <c r="AU62" s="412">
        <f t="shared" si="24"/>
        <v>0</v>
      </c>
      <c r="AV62" s="412">
        <f t="shared" si="24"/>
        <v>0</v>
      </c>
      <c r="AW62" s="412">
        <f t="shared" si="24"/>
        <v>0</v>
      </c>
      <c r="AX62" s="412">
        <f t="shared" si="24"/>
        <v>0</v>
      </c>
      <c r="AY62" s="412">
        <f t="shared" si="24"/>
        <v>0</v>
      </c>
      <c r="AZ62" s="412">
        <f t="shared" si="24"/>
        <v>0</v>
      </c>
      <c r="BA62" s="412">
        <f t="shared" si="24"/>
        <v>0</v>
      </c>
      <c r="BB62" s="412">
        <f t="shared" si="24"/>
        <v>0</v>
      </c>
      <c r="BC62" s="412">
        <f t="shared" si="24"/>
        <v>0</v>
      </c>
      <c r="BD62" s="412">
        <f t="shared" si="24"/>
        <v>0</v>
      </c>
      <c r="BE62" s="412">
        <f t="shared" si="24"/>
        <v>0</v>
      </c>
      <c r="BF62" s="412">
        <f t="shared" si="24"/>
        <v>0</v>
      </c>
      <c r="BG62" s="412">
        <f t="shared" si="24"/>
        <v>0</v>
      </c>
      <c r="BH62" s="412">
        <f t="shared" si="24"/>
        <v>0</v>
      </c>
      <c r="BI62" s="412">
        <f t="shared" si="24"/>
        <v>0</v>
      </c>
      <c r="BJ62" s="412">
        <f t="shared" si="24"/>
        <v>0</v>
      </c>
      <c r="BK62" s="412">
        <f t="shared" si="24"/>
        <v>0</v>
      </c>
      <c r="BL62" s="412">
        <f t="shared" si="24"/>
        <v>0</v>
      </c>
      <c r="BM62" s="412">
        <f t="shared" si="24"/>
        <v>0</v>
      </c>
      <c r="BN62" s="412">
        <f t="shared" si="24"/>
        <v>166381.07188480944</v>
      </c>
      <c r="BO62" s="412">
        <f t="shared" si="24"/>
        <v>0</v>
      </c>
      <c r="BP62" s="412">
        <f t="shared" si="24"/>
        <v>0</v>
      </c>
      <c r="BQ62" s="412">
        <f t="shared" si="24"/>
        <v>0</v>
      </c>
      <c r="BR62" s="412">
        <f t="shared" si="25"/>
        <v>0</v>
      </c>
      <c r="BS62" s="412">
        <f t="shared" si="25"/>
        <v>0</v>
      </c>
      <c r="BT62" s="412">
        <f t="shared" si="25"/>
        <v>0</v>
      </c>
      <c r="BU62" s="412">
        <f t="shared" si="25"/>
        <v>0</v>
      </c>
      <c r="BV62" s="412">
        <f t="shared" si="25"/>
        <v>0</v>
      </c>
      <c r="BW62" s="412">
        <f t="shared" si="25"/>
        <v>0</v>
      </c>
      <c r="BX62" s="412">
        <f t="shared" si="25"/>
        <v>0</v>
      </c>
      <c r="BY62" s="412">
        <f t="shared" si="25"/>
        <v>0</v>
      </c>
      <c r="BZ62" s="412">
        <f t="shared" si="25"/>
        <v>0</v>
      </c>
      <c r="CA62" s="412">
        <f t="shared" si="25"/>
        <v>0</v>
      </c>
      <c r="CB62" s="412">
        <f t="shared" si="25"/>
        <v>0</v>
      </c>
      <c r="CC62" s="412">
        <f t="shared" si="25"/>
        <v>0</v>
      </c>
      <c r="CD62" s="412">
        <f t="shared" si="25"/>
        <v>0</v>
      </c>
      <c r="CE62" s="412">
        <f t="shared" si="25"/>
        <v>0</v>
      </c>
      <c r="CF62" s="412">
        <f t="shared" si="25"/>
        <v>0</v>
      </c>
      <c r="CG62" s="412">
        <f t="shared" si="25"/>
        <v>0</v>
      </c>
      <c r="CH62" s="412">
        <f t="shared" si="25"/>
        <v>0</v>
      </c>
      <c r="CI62" s="412">
        <f t="shared" si="25"/>
        <v>0</v>
      </c>
      <c r="CJ62" s="412">
        <f t="shared" si="25"/>
        <v>0</v>
      </c>
      <c r="CK62" s="412">
        <f t="shared" si="25"/>
        <v>0</v>
      </c>
      <c r="CL62" s="412">
        <f t="shared" si="25"/>
        <v>0</v>
      </c>
      <c r="CM62" s="412">
        <f t="shared" si="25"/>
        <v>0</v>
      </c>
      <c r="CN62" s="412">
        <f t="shared" si="25"/>
        <v>0</v>
      </c>
      <c r="CO62" s="412">
        <f t="shared" si="25"/>
        <v>0</v>
      </c>
      <c r="CP62" s="412">
        <f t="shared" si="25"/>
        <v>0</v>
      </c>
      <c r="CQ62" s="412">
        <f t="shared" si="25"/>
        <v>0</v>
      </c>
      <c r="CR62" s="412">
        <f t="shared" si="25"/>
        <v>0</v>
      </c>
      <c r="CS62" s="412">
        <f t="shared" si="25"/>
        <v>0</v>
      </c>
      <c r="CT62" s="412">
        <f t="shared" si="25"/>
        <v>0</v>
      </c>
      <c r="CU62" s="412">
        <f t="shared" si="25"/>
        <v>0</v>
      </c>
      <c r="CV62" s="412">
        <f t="shared" si="25"/>
        <v>0</v>
      </c>
      <c r="CW62" s="412">
        <f t="shared" si="25"/>
        <v>0</v>
      </c>
      <c r="CX62" s="412">
        <f t="shared" si="25"/>
        <v>0</v>
      </c>
      <c r="CY62" s="412">
        <f t="shared" si="25"/>
        <v>0</v>
      </c>
      <c r="CZ62" s="412">
        <f t="shared" si="25"/>
        <v>0</v>
      </c>
      <c r="DA62" s="412">
        <f t="shared" si="25"/>
        <v>0</v>
      </c>
      <c r="DB62" s="412">
        <f t="shared" si="25"/>
        <v>0</v>
      </c>
      <c r="DC62" s="412">
        <f t="shared" si="25"/>
        <v>0</v>
      </c>
      <c r="DD62" s="412">
        <f t="shared" si="25"/>
        <v>0</v>
      </c>
      <c r="DE62" s="412">
        <f t="shared" si="25"/>
        <v>0</v>
      </c>
      <c r="DF62" s="412">
        <f t="shared" si="25"/>
        <v>0</v>
      </c>
      <c r="DG62" s="412">
        <f t="shared" si="25"/>
        <v>0</v>
      </c>
      <c r="DH62" s="412">
        <f t="shared" si="25"/>
        <v>0</v>
      </c>
      <c r="DI62" s="412">
        <f t="shared" si="25"/>
        <v>0</v>
      </c>
      <c r="DJ62" s="412">
        <f t="shared" si="25"/>
        <v>0</v>
      </c>
      <c r="DK62" s="412">
        <f t="shared" si="25"/>
        <v>0</v>
      </c>
      <c r="DL62" s="412">
        <f t="shared" si="25"/>
        <v>0</v>
      </c>
      <c r="DM62" s="412">
        <f t="shared" si="25"/>
        <v>0</v>
      </c>
      <c r="DN62" s="412">
        <f t="shared" si="25"/>
        <v>0</v>
      </c>
      <c r="DO62" s="412">
        <f t="shared" si="25"/>
        <v>0</v>
      </c>
      <c r="DP62" s="412">
        <f t="shared" si="25"/>
        <v>0</v>
      </c>
      <c r="DQ62" s="412">
        <f t="shared" si="25"/>
        <v>0</v>
      </c>
      <c r="DR62" s="412">
        <f t="shared" si="25"/>
        <v>0</v>
      </c>
      <c r="DS62" s="412">
        <f t="shared" si="25"/>
        <v>0</v>
      </c>
      <c r="DT62" s="412">
        <f t="shared" si="25"/>
        <v>0</v>
      </c>
      <c r="DU62" s="412">
        <f t="shared" si="25"/>
        <v>0</v>
      </c>
      <c r="DV62" s="412">
        <f t="shared" si="25"/>
        <v>0</v>
      </c>
      <c r="DW62" s="322" t="s">
        <v>372</v>
      </c>
    </row>
    <row r="63" spans="3:127" hidden="1" outlineLevel="1" x14ac:dyDescent="0.3">
      <c r="C63" s="406" t="s">
        <v>364</v>
      </c>
      <c r="D63" s="411">
        <f t="shared" si="21"/>
        <v>59596.846419014277</v>
      </c>
      <c r="E63" s="411"/>
      <c r="F63" s="438">
        <f t="shared" ref="F63:BQ64" si="26">F191</f>
        <v>0</v>
      </c>
      <c r="G63" s="412">
        <f t="shared" si="26"/>
        <v>0</v>
      </c>
      <c r="H63" s="412">
        <f t="shared" si="26"/>
        <v>0</v>
      </c>
      <c r="I63" s="412">
        <f t="shared" si="26"/>
        <v>0</v>
      </c>
      <c r="J63" s="412">
        <f t="shared" si="26"/>
        <v>0</v>
      </c>
      <c r="K63" s="412">
        <f t="shared" si="26"/>
        <v>0</v>
      </c>
      <c r="L63" s="412">
        <f t="shared" si="26"/>
        <v>0</v>
      </c>
      <c r="M63" s="412">
        <f t="shared" si="26"/>
        <v>0</v>
      </c>
      <c r="N63" s="412">
        <f t="shared" si="26"/>
        <v>0</v>
      </c>
      <c r="O63" s="412">
        <f t="shared" si="26"/>
        <v>0</v>
      </c>
      <c r="P63" s="412">
        <f t="shared" si="26"/>
        <v>0</v>
      </c>
      <c r="Q63" s="412">
        <f t="shared" si="26"/>
        <v>0</v>
      </c>
      <c r="R63" s="412">
        <f t="shared" si="26"/>
        <v>0</v>
      </c>
      <c r="S63" s="412">
        <f t="shared" si="26"/>
        <v>0</v>
      </c>
      <c r="T63" s="412">
        <f t="shared" si="26"/>
        <v>0</v>
      </c>
      <c r="U63" s="412">
        <f t="shared" si="26"/>
        <v>0</v>
      </c>
      <c r="V63" s="412">
        <f t="shared" si="26"/>
        <v>0</v>
      </c>
      <c r="W63" s="412">
        <f t="shared" si="26"/>
        <v>0</v>
      </c>
      <c r="X63" s="412">
        <f t="shared" si="26"/>
        <v>0</v>
      </c>
      <c r="Y63" s="412">
        <f t="shared" si="26"/>
        <v>0</v>
      </c>
      <c r="Z63" s="412">
        <f t="shared" si="26"/>
        <v>0</v>
      </c>
      <c r="AA63" s="412">
        <f t="shared" si="26"/>
        <v>0</v>
      </c>
      <c r="AB63" s="412">
        <f t="shared" si="26"/>
        <v>0</v>
      </c>
      <c r="AC63" s="412">
        <f t="shared" si="26"/>
        <v>0</v>
      </c>
      <c r="AD63" s="412">
        <f t="shared" si="26"/>
        <v>0</v>
      </c>
      <c r="AE63" s="412">
        <f t="shared" si="26"/>
        <v>0</v>
      </c>
      <c r="AF63" s="412">
        <f t="shared" si="26"/>
        <v>0</v>
      </c>
      <c r="AG63" s="412">
        <f t="shared" si="26"/>
        <v>0</v>
      </c>
      <c r="AH63" s="412">
        <f t="shared" si="26"/>
        <v>0</v>
      </c>
      <c r="AI63" s="412">
        <f t="shared" si="26"/>
        <v>0</v>
      </c>
      <c r="AJ63" s="412">
        <f t="shared" si="26"/>
        <v>0</v>
      </c>
      <c r="AK63" s="412">
        <f t="shared" si="26"/>
        <v>0</v>
      </c>
      <c r="AL63" s="412">
        <f t="shared" si="26"/>
        <v>0</v>
      </c>
      <c r="AM63" s="412">
        <f t="shared" si="26"/>
        <v>0</v>
      </c>
      <c r="AN63" s="412">
        <f t="shared" si="26"/>
        <v>0</v>
      </c>
      <c r="AO63" s="412">
        <f t="shared" si="26"/>
        <v>0</v>
      </c>
      <c r="AP63" s="412">
        <f t="shared" si="26"/>
        <v>0</v>
      </c>
      <c r="AQ63" s="412">
        <f t="shared" si="26"/>
        <v>0</v>
      </c>
      <c r="AR63" s="412">
        <f t="shared" si="26"/>
        <v>0</v>
      </c>
      <c r="AS63" s="412">
        <f t="shared" si="26"/>
        <v>0</v>
      </c>
      <c r="AT63" s="412">
        <f t="shared" si="26"/>
        <v>0</v>
      </c>
      <c r="AU63" s="412">
        <f t="shared" si="26"/>
        <v>0</v>
      </c>
      <c r="AV63" s="412">
        <f t="shared" si="26"/>
        <v>0</v>
      </c>
      <c r="AW63" s="412">
        <f t="shared" si="26"/>
        <v>0</v>
      </c>
      <c r="AX63" s="412">
        <f t="shared" si="26"/>
        <v>0</v>
      </c>
      <c r="AY63" s="412">
        <f t="shared" si="26"/>
        <v>0</v>
      </c>
      <c r="AZ63" s="412">
        <f t="shared" si="26"/>
        <v>0</v>
      </c>
      <c r="BA63" s="412">
        <f t="shared" si="26"/>
        <v>0</v>
      </c>
      <c r="BB63" s="412">
        <f t="shared" si="26"/>
        <v>0</v>
      </c>
      <c r="BC63" s="412">
        <f t="shared" si="26"/>
        <v>0</v>
      </c>
      <c r="BD63" s="412">
        <f t="shared" si="26"/>
        <v>0</v>
      </c>
      <c r="BE63" s="412">
        <f t="shared" si="26"/>
        <v>0</v>
      </c>
      <c r="BF63" s="412">
        <f t="shared" si="26"/>
        <v>0</v>
      </c>
      <c r="BG63" s="412">
        <f t="shared" si="26"/>
        <v>0</v>
      </c>
      <c r="BH63" s="412">
        <f t="shared" si="26"/>
        <v>0</v>
      </c>
      <c r="BI63" s="412">
        <f t="shared" si="26"/>
        <v>0</v>
      </c>
      <c r="BJ63" s="412">
        <f t="shared" si="26"/>
        <v>0</v>
      </c>
      <c r="BK63" s="412">
        <f t="shared" si="26"/>
        <v>0</v>
      </c>
      <c r="BL63" s="412">
        <f t="shared" si="26"/>
        <v>0</v>
      </c>
      <c r="BM63" s="412">
        <f t="shared" si="26"/>
        <v>0</v>
      </c>
      <c r="BN63" s="412">
        <f t="shared" si="26"/>
        <v>59596.846419014277</v>
      </c>
      <c r="BO63" s="412">
        <f t="shared" si="26"/>
        <v>0</v>
      </c>
      <c r="BP63" s="412">
        <f t="shared" si="26"/>
        <v>0</v>
      </c>
      <c r="BQ63" s="412">
        <f t="shared" si="26"/>
        <v>0</v>
      </c>
      <c r="BR63" s="412">
        <f t="shared" ref="BR63:DV64" si="27">BR191</f>
        <v>0</v>
      </c>
      <c r="BS63" s="412">
        <f t="shared" si="27"/>
        <v>0</v>
      </c>
      <c r="BT63" s="412">
        <f t="shared" si="27"/>
        <v>0</v>
      </c>
      <c r="BU63" s="412">
        <f t="shared" si="27"/>
        <v>0</v>
      </c>
      <c r="BV63" s="412">
        <f t="shared" si="27"/>
        <v>0</v>
      </c>
      <c r="BW63" s="412">
        <f t="shared" si="27"/>
        <v>0</v>
      </c>
      <c r="BX63" s="412">
        <f t="shared" si="27"/>
        <v>0</v>
      </c>
      <c r="BY63" s="412">
        <f t="shared" si="27"/>
        <v>0</v>
      </c>
      <c r="BZ63" s="412">
        <f t="shared" si="27"/>
        <v>0</v>
      </c>
      <c r="CA63" s="412">
        <f t="shared" si="27"/>
        <v>0</v>
      </c>
      <c r="CB63" s="412">
        <f t="shared" si="27"/>
        <v>0</v>
      </c>
      <c r="CC63" s="412">
        <f t="shared" si="27"/>
        <v>0</v>
      </c>
      <c r="CD63" s="412">
        <f t="shared" si="27"/>
        <v>0</v>
      </c>
      <c r="CE63" s="412">
        <f t="shared" si="27"/>
        <v>0</v>
      </c>
      <c r="CF63" s="412">
        <f t="shared" si="27"/>
        <v>0</v>
      </c>
      <c r="CG63" s="412">
        <f t="shared" si="27"/>
        <v>0</v>
      </c>
      <c r="CH63" s="412">
        <f t="shared" si="27"/>
        <v>0</v>
      </c>
      <c r="CI63" s="412">
        <f t="shared" si="27"/>
        <v>0</v>
      </c>
      <c r="CJ63" s="412">
        <f t="shared" si="27"/>
        <v>0</v>
      </c>
      <c r="CK63" s="412">
        <f t="shared" si="27"/>
        <v>0</v>
      </c>
      <c r="CL63" s="412">
        <f t="shared" si="27"/>
        <v>0</v>
      </c>
      <c r="CM63" s="412">
        <f t="shared" si="27"/>
        <v>0</v>
      </c>
      <c r="CN63" s="412">
        <f t="shared" si="27"/>
        <v>0</v>
      </c>
      <c r="CO63" s="412">
        <f t="shared" si="27"/>
        <v>0</v>
      </c>
      <c r="CP63" s="412">
        <f t="shared" si="27"/>
        <v>0</v>
      </c>
      <c r="CQ63" s="412">
        <f t="shared" si="27"/>
        <v>0</v>
      </c>
      <c r="CR63" s="412">
        <f t="shared" si="27"/>
        <v>0</v>
      </c>
      <c r="CS63" s="412">
        <f t="shared" si="27"/>
        <v>0</v>
      </c>
      <c r="CT63" s="412">
        <f t="shared" si="27"/>
        <v>0</v>
      </c>
      <c r="CU63" s="412">
        <f t="shared" si="27"/>
        <v>0</v>
      </c>
      <c r="CV63" s="412">
        <f t="shared" si="27"/>
        <v>0</v>
      </c>
      <c r="CW63" s="412">
        <f t="shared" si="27"/>
        <v>0</v>
      </c>
      <c r="CX63" s="412">
        <f t="shared" si="27"/>
        <v>0</v>
      </c>
      <c r="CY63" s="412">
        <f t="shared" si="27"/>
        <v>0</v>
      </c>
      <c r="CZ63" s="412">
        <f t="shared" si="27"/>
        <v>0</v>
      </c>
      <c r="DA63" s="412">
        <f t="shared" si="27"/>
        <v>0</v>
      </c>
      <c r="DB63" s="412">
        <f t="shared" si="27"/>
        <v>0</v>
      </c>
      <c r="DC63" s="412">
        <f t="shared" si="27"/>
        <v>0</v>
      </c>
      <c r="DD63" s="412">
        <f t="shared" si="27"/>
        <v>0</v>
      </c>
      <c r="DE63" s="412">
        <f t="shared" si="27"/>
        <v>0</v>
      </c>
      <c r="DF63" s="412">
        <f t="shared" si="27"/>
        <v>0</v>
      </c>
      <c r="DG63" s="412">
        <f t="shared" si="27"/>
        <v>0</v>
      </c>
      <c r="DH63" s="412">
        <f t="shared" si="27"/>
        <v>0</v>
      </c>
      <c r="DI63" s="412">
        <f t="shared" si="27"/>
        <v>0</v>
      </c>
      <c r="DJ63" s="412">
        <f t="shared" si="27"/>
        <v>0</v>
      </c>
      <c r="DK63" s="412">
        <f t="shared" si="27"/>
        <v>0</v>
      </c>
      <c r="DL63" s="412">
        <f t="shared" si="27"/>
        <v>0</v>
      </c>
      <c r="DM63" s="412">
        <f t="shared" si="27"/>
        <v>0</v>
      </c>
      <c r="DN63" s="412">
        <f t="shared" si="27"/>
        <v>0</v>
      </c>
      <c r="DO63" s="412">
        <f t="shared" si="27"/>
        <v>0</v>
      </c>
      <c r="DP63" s="412">
        <f t="shared" si="27"/>
        <v>0</v>
      </c>
      <c r="DQ63" s="412">
        <f t="shared" si="27"/>
        <v>0</v>
      </c>
      <c r="DR63" s="412">
        <f t="shared" si="27"/>
        <v>0</v>
      </c>
      <c r="DS63" s="412">
        <f t="shared" si="27"/>
        <v>0</v>
      </c>
      <c r="DT63" s="412">
        <f t="shared" si="27"/>
        <v>0</v>
      </c>
      <c r="DU63" s="412">
        <f t="shared" si="27"/>
        <v>0</v>
      </c>
      <c r="DV63" s="412">
        <f t="shared" si="27"/>
        <v>0</v>
      </c>
      <c r="DW63" s="322" t="s">
        <v>372</v>
      </c>
    </row>
    <row r="64" spans="3:127" hidden="1" outlineLevel="1" x14ac:dyDescent="0.3">
      <c r="C64" s="406" t="s">
        <v>394</v>
      </c>
      <c r="D64" s="411">
        <f t="shared" si="21"/>
        <v>198656.15473004771</v>
      </c>
      <c r="E64" s="411"/>
      <c r="F64" s="438">
        <f t="shared" si="26"/>
        <v>0</v>
      </c>
      <c r="G64" s="412">
        <f t="shared" si="26"/>
        <v>0</v>
      </c>
      <c r="H64" s="412">
        <f t="shared" si="26"/>
        <v>0</v>
      </c>
      <c r="I64" s="412">
        <f t="shared" si="26"/>
        <v>0</v>
      </c>
      <c r="J64" s="412">
        <f t="shared" si="26"/>
        <v>0</v>
      </c>
      <c r="K64" s="412">
        <f t="shared" si="26"/>
        <v>0</v>
      </c>
      <c r="L64" s="412">
        <f t="shared" si="26"/>
        <v>0</v>
      </c>
      <c r="M64" s="412">
        <f t="shared" si="26"/>
        <v>0</v>
      </c>
      <c r="N64" s="412">
        <f t="shared" si="26"/>
        <v>0</v>
      </c>
      <c r="O64" s="412">
        <f t="shared" si="26"/>
        <v>0</v>
      </c>
      <c r="P64" s="412">
        <f t="shared" si="26"/>
        <v>0</v>
      </c>
      <c r="Q64" s="412">
        <f t="shared" si="26"/>
        <v>0</v>
      </c>
      <c r="R64" s="412">
        <f t="shared" si="26"/>
        <v>0</v>
      </c>
      <c r="S64" s="412">
        <f t="shared" si="26"/>
        <v>0</v>
      </c>
      <c r="T64" s="412">
        <f t="shared" si="26"/>
        <v>0</v>
      </c>
      <c r="U64" s="412">
        <f t="shared" si="26"/>
        <v>0</v>
      </c>
      <c r="V64" s="412">
        <f t="shared" si="26"/>
        <v>0</v>
      </c>
      <c r="W64" s="412">
        <f t="shared" si="26"/>
        <v>0</v>
      </c>
      <c r="X64" s="412">
        <f t="shared" si="26"/>
        <v>0</v>
      </c>
      <c r="Y64" s="412">
        <f t="shared" si="26"/>
        <v>0</v>
      </c>
      <c r="Z64" s="412">
        <f t="shared" si="26"/>
        <v>0</v>
      </c>
      <c r="AA64" s="412">
        <f t="shared" si="26"/>
        <v>0</v>
      </c>
      <c r="AB64" s="412">
        <f t="shared" si="26"/>
        <v>0</v>
      </c>
      <c r="AC64" s="412">
        <f t="shared" si="26"/>
        <v>0</v>
      </c>
      <c r="AD64" s="412">
        <f t="shared" si="26"/>
        <v>0</v>
      </c>
      <c r="AE64" s="412">
        <f t="shared" si="26"/>
        <v>0</v>
      </c>
      <c r="AF64" s="412">
        <f t="shared" si="26"/>
        <v>0</v>
      </c>
      <c r="AG64" s="412">
        <f t="shared" si="26"/>
        <v>0</v>
      </c>
      <c r="AH64" s="412">
        <f t="shared" si="26"/>
        <v>0</v>
      </c>
      <c r="AI64" s="412">
        <f t="shared" si="26"/>
        <v>0</v>
      </c>
      <c r="AJ64" s="412">
        <f t="shared" si="26"/>
        <v>0</v>
      </c>
      <c r="AK64" s="412">
        <f t="shared" si="26"/>
        <v>0</v>
      </c>
      <c r="AL64" s="412">
        <f t="shared" si="26"/>
        <v>0</v>
      </c>
      <c r="AM64" s="412">
        <f t="shared" si="26"/>
        <v>0</v>
      </c>
      <c r="AN64" s="412">
        <f t="shared" si="26"/>
        <v>0</v>
      </c>
      <c r="AO64" s="412">
        <f t="shared" si="26"/>
        <v>0</v>
      </c>
      <c r="AP64" s="412">
        <f t="shared" si="26"/>
        <v>0</v>
      </c>
      <c r="AQ64" s="412">
        <f t="shared" si="26"/>
        <v>0</v>
      </c>
      <c r="AR64" s="412">
        <f t="shared" si="26"/>
        <v>0</v>
      </c>
      <c r="AS64" s="412">
        <f t="shared" si="26"/>
        <v>0</v>
      </c>
      <c r="AT64" s="412">
        <f t="shared" si="26"/>
        <v>0</v>
      </c>
      <c r="AU64" s="412">
        <f t="shared" si="26"/>
        <v>0</v>
      </c>
      <c r="AV64" s="412">
        <f t="shared" si="26"/>
        <v>0</v>
      </c>
      <c r="AW64" s="412">
        <f t="shared" si="26"/>
        <v>0</v>
      </c>
      <c r="AX64" s="412">
        <f t="shared" si="26"/>
        <v>0</v>
      </c>
      <c r="AY64" s="412">
        <f t="shared" si="26"/>
        <v>0</v>
      </c>
      <c r="AZ64" s="412">
        <f t="shared" si="26"/>
        <v>0</v>
      </c>
      <c r="BA64" s="412">
        <f t="shared" si="26"/>
        <v>0</v>
      </c>
      <c r="BB64" s="412">
        <f t="shared" si="26"/>
        <v>0</v>
      </c>
      <c r="BC64" s="412">
        <f t="shared" si="26"/>
        <v>0</v>
      </c>
      <c r="BD64" s="412">
        <f t="shared" si="26"/>
        <v>0</v>
      </c>
      <c r="BE64" s="412">
        <f t="shared" si="26"/>
        <v>0</v>
      </c>
      <c r="BF64" s="412">
        <f t="shared" si="26"/>
        <v>0</v>
      </c>
      <c r="BG64" s="412">
        <f t="shared" si="26"/>
        <v>0</v>
      </c>
      <c r="BH64" s="412">
        <f t="shared" si="26"/>
        <v>0</v>
      </c>
      <c r="BI64" s="412">
        <f t="shared" si="26"/>
        <v>0</v>
      </c>
      <c r="BJ64" s="412">
        <f t="shared" si="26"/>
        <v>0</v>
      </c>
      <c r="BK64" s="412">
        <f t="shared" si="26"/>
        <v>0</v>
      </c>
      <c r="BL64" s="412">
        <f t="shared" si="26"/>
        <v>0</v>
      </c>
      <c r="BM64" s="412">
        <f t="shared" si="26"/>
        <v>0</v>
      </c>
      <c r="BN64" s="412">
        <f t="shared" si="26"/>
        <v>198656.15473004771</v>
      </c>
      <c r="BO64" s="412">
        <f t="shared" si="26"/>
        <v>0</v>
      </c>
      <c r="BP64" s="412">
        <f t="shared" si="26"/>
        <v>0</v>
      </c>
      <c r="BQ64" s="412">
        <f t="shared" si="26"/>
        <v>0</v>
      </c>
      <c r="BR64" s="412">
        <f t="shared" si="27"/>
        <v>0</v>
      </c>
      <c r="BS64" s="412">
        <f t="shared" si="27"/>
        <v>0</v>
      </c>
      <c r="BT64" s="412">
        <f t="shared" si="27"/>
        <v>0</v>
      </c>
      <c r="BU64" s="412">
        <f t="shared" si="27"/>
        <v>0</v>
      </c>
      <c r="BV64" s="412">
        <f t="shared" si="27"/>
        <v>0</v>
      </c>
      <c r="BW64" s="412">
        <f t="shared" si="27"/>
        <v>0</v>
      </c>
      <c r="BX64" s="412">
        <f t="shared" si="27"/>
        <v>0</v>
      </c>
      <c r="BY64" s="412">
        <f t="shared" si="27"/>
        <v>0</v>
      </c>
      <c r="BZ64" s="412">
        <f t="shared" si="27"/>
        <v>0</v>
      </c>
      <c r="CA64" s="412">
        <f t="shared" si="27"/>
        <v>0</v>
      </c>
      <c r="CB64" s="412">
        <f t="shared" si="27"/>
        <v>0</v>
      </c>
      <c r="CC64" s="412">
        <f t="shared" si="27"/>
        <v>0</v>
      </c>
      <c r="CD64" s="412">
        <f t="shared" si="27"/>
        <v>0</v>
      </c>
      <c r="CE64" s="412">
        <f t="shared" si="27"/>
        <v>0</v>
      </c>
      <c r="CF64" s="412">
        <f t="shared" si="27"/>
        <v>0</v>
      </c>
      <c r="CG64" s="412">
        <f t="shared" si="27"/>
        <v>0</v>
      </c>
      <c r="CH64" s="412">
        <f t="shared" si="27"/>
        <v>0</v>
      </c>
      <c r="CI64" s="412">
        <f t="shared" si="27"/>
        <v>0</v>
      </c>
      <c r="CJ64" s="412">
        <f t="shared" si="27"/>
        <v>0</v>
      </c>
      <c r="CK64" s="412">
        <f t="shared" si="27"/>
        <v>0</v>
      </c>
      <c r="CL64" s="412">
        <f t="shared" si="27"/>
        <v>0</v>
      </c>
      <c r="CM64" s="412">
        <f t="shared" si="27"/>
        <v>0</v>
      </c>
      <c r="CN64" s="412">
        <f t="shared" si="27"/>
        <v>0</v>
      </c>
      <c r="CO64" s="412">
        <f t="shared" si="27"/>
        <v>0</v>
      </c>
      <c r="CP64" s="412">
        <f t="shared" si="27"/>
        <v>0</v>
      </c>
      <c r="CQ64" s="412">
        <f t="shared" si="27"/>
        <v>0</v>
      </c>
      <c r="CR64" s="412">
        <f t="shared" si="27"/>
        <v>0</v>
      </c>
      <c r="CS64" s="412">
        <f t="shared" si="27"/>
        <v>0</v>
      </c>
      <c r="CT64" s="412">
        <f t="shared" si="27"/>
        <v>0</v>
      </c>
      <c r="CU64" s="412">
        <f t="shared" si="27"/>
        <v>0</v>
      </c>
      <c r="CV64" s="412">
        <f t="shared" si="27"/>
        <v>0</v>
      </c>
      <c r="CW64" s="412">
        <f t="shared" si="27"/>
        <v>0</v>
      </c>
      <c r="CX64" s="412">
        <f t="shared" si="27"/>
        <v>0</v>
      </c>
      <c r="CY64" s="412">
        <f t="shared" si="27"/>
        <v>0</v>
      </c>
      <c r="CZ64" s="412">
        <f t="shared" si="27"/>
        <v>0</v>
      </c>
      <c r="DA64" s="412">
        <f t="shared" si="27"/>
        <v>0</v>
      </c>
      <c r="DB64" s="412">
        <f t="shared" si="27"/>
        <v>0</v>
      </c>
      <c r="DC64" s="412">
        <f t="shared" si="27"/>
        <v>0</v>
      </c>
      <c r="DD64" s="412">
        <f t="shared" si="27"/>
        <v>0</v>
      </c>
      <c r="DE64" s="412">
        <f t="shared" si="27"/>
        <v>0</v>
      </c>
      <c r="DF64" s="412">
        <f t="shared" si="27"/>
        <v>0</v>
      </c>
      <c r="DG64" s="412">
        <f t="shared" si="27"/>
        <v>0</v>
      </c>
      <c r="DH64" s="412">
        <f t="shared" si="27"/>
        <v>0</v>
      </c>
      <c r="DI64" s="412">
        <f t="shared" si="27"/>
        <v>0</v>
      </c>
      <c r="DJ64" s="412">
        <f t="shared" si="27"/>
        <v>0</v>
      </c>
      <c r="DK64" s="412">
        <f t="shared" si="27"/>
        <v>0</v>
      </c>
      <c r="DL64" s="412">
        <f t="shared" si="27"/>
        <v>0</v>
      </c>
      <c r="DM64" s="412">
        <f t="shared" si="27"/>
        <v>0</v>
      </c>
      <c r="DN64" s="412">
        <f t="shared" si="27"/>
        <v>0</v>
      </c>
      <c r="DO64" s="412">
        <f t="shared" si="27"/>
        <v>0</v>
      </c>
      <c r="DP64" s="412">
        <f t="shared" si="27"/>
        <v>0</v>
      </c>
      <c r="DQ64" s="412">
        <f t="shared" si="27"/>
        <v>0</v>
      </c>
      <c r="DR64" s="412">
        <f t="shared" si="27"/>
        <v>0</v>
      </c>
      <c r="DS64" s="412">
        <f t="shared" si="27"/>
        <v>0</v>
      </c>
      <c r="DT64" s="412">
        <f t="shared" si="27"/>
        <v>0</v>
      </c>
      <c r="DU64" s="412">
        <f t="shared" si="27"/>
        <v>0</v>
      </c>
      <c r="DV64" s="412">
        <f t="shared" si="27"/>
        <v>0</v>
      </c>
      <c r="DW64" s="322" t="s">
        <v>372</v>
      </c>
    </row>
    <row r="65" spans="3:127" hidden="1" outlineLevel="1" x14ac:dyDescent="0.3">
      <c r="C65" s="406" t="s">
        <v>365</v>
      </c>
      <c r="D65" s="411">
        <f t="shared" si="21"/>
        <v>15513.783751825918</v>
      </c>
      <c r="E65" s="411"/>
      <c r="F65" s="438">
        <f t="shared" ref="F65:BQ66" si="28">F209</f>
        <v>0</v>
      </c>
      <c r="G65" s="412">
        <f t="shared" si="28"/>
        <v>0</v>
      </c>
      <c r="H65" s="412">
        <f t="shared" si="28"/>
        <v>0</v>
      </c>
      <c r="I65" s="412">
        <f t="shared" si="28"/>
        <v>0</v>
      </c>
      <c r="J65" s="412">
        <f t="shared" si="28"/>
        <v>0</v>
      </c>
      <c r="K65" s="412">
        <f t="shared" si="28"/>
        <v>0</v>
      </c>
      <c r="L65" s="412">
        <f t="shared" si="28"/>
        <v>0</v>
      </c>
      <c r="M65" s="412">
        <f t="shared" si="28"/>
        <v>0</v>
      </c>
      <c r="N65" s="412">
        <f t="shared" si="28"/>
        <v>0</v>
      </c>
      <c r="O65" s="412">
        <f t="shared" si="28"/>
        <v>0</v>
      </c>
      <c r="P65" s="412">
        <f t="shared" si="28"/>
        <v>0</v>
      </c>
      <c r="Q65" s="412">
        <f t="shared" si="28"/>
        <v>0</v>
      </c>
      <c r="R65" s="412">
        <f t="shared" si="28"/>
        <v>0</v>
      </c>
      <c r="S65" s="412">
        <f t="shared" si="28"/>
        <v>0</v>
      </c>
      <c r="T65" s="412">
        <f t="shared" si="28"/>
        <v>0</v>
      </c>
      <c r="U65" s="412">
        <f t="shared" si="28"/>
        <v>0</v>
      </c>
      <c r="V65" s="412">
        <f t="shared" si="28"/>
        <v>0</v>
      </c>
      <c r="W65" s="412">
        <f t="shared" si="28"/>
        <v>0</v>
      </c>
      <c r="X65" s="412">
        <f t="shared" si="28"/>
        <v>0</v>
      </c>
      <c r="Y65" s="412">
        <f t="shared" si="28"/>
        <v>0</v>
      </c>
      <c r="Z65" s="412">
        <f t="shared" si="28"/>
        <v>0</v>
      </c>
      <c r="AA65" s="412">
        <f t="shared" si="28"/>
        <v>0</v>
      </c>
      <c r="AB65" s="412">
        <f t="shared" si="28"/>
        <v>0</v>
      </c>
      <c r="AC65" s="412">
        <f t="shared" si="28"/>
        <v>0</v>
      </c>
      <c r="AD65" s="412">
        <f t="shared" si="28"/>
        <v>0</v>
      </c>
      <c r="AE65" s="412">
        <f t="shared" si="28"/>
        <v>0</v>
      </c>
      <c r="AF65" s="412">
        <f t="shared" si="28"/>
        <v>0</v>
      </c>
      <c r="AG65" s="412">
        <f t="shared" si="28"/>
        <v>0</v>
      </c>
      <c r="AH65" s="412">
        <f t="shared" si="28"/>
        <v>0</v>
      </c>
      <c r="AI65" s="412">
        <f t="shared" si="28"/>
        <v>0</v>
      </c>
      <c r="AJ65" s="412">
        <f t="shared" si="28"/>
        <v>0</v>
      </c>
      <c r="AK65" s="412">
        <f t="shared" si="28"/>
        <v>0</v>
      </c>
      <c r="AL65" s="412">
        <f t="shared" si="28"/>
        <v>0</v>
      </c>
      <c r="AM65" s="412">
        <f t="shared" si="28"/>
        <v>0</v>
      </c>
      <c r="AN65" s="412">
        <f t="shared" si="28"/>
        <v>0</v>
      </c>
      <c r="AO65" s="412">
        <f t="shared" si="28"/>
        <v>0</v>
      </c>
      <c r="AP65" s="412">
        <f t="shared" si="28"/>
        <v>0</v>
      </c>
      <c r="AQ65" s="412">
        <f t="shared" si="28"/>
        <v>0</v>
      </c>
      <c r="AR65" s="412">
        <f t="shared" si="28"/>
        <v>0</v>
      </c>
      <c r="AS65" s="412">
        <f t="shared" si="28"/>
        <v>0</v>
      </c>
      <c r="AT65" s="412">
        <f t="shared" si="28"/>
        <v>0</v>
      </c>
      <c r="AU65" s="412">
        <f t="shared" si="28"/>
        <v>0</v>
      </c>
      <c r="AV65" s="412">
        <f t="shared" si="28"/>
        <v>0</v>
      </c>
      <c r="AW65" s="412">
        <f t="shared" si="28"/>
        <v>0</v>
      </c>
      <c r="AX65" s="412">
        <f t="shared" si="28"/>
        <v>0</v>
      </c>
      <c r="AY65" s="412">
        <f t="shared" si="28"/>
        <v>0</v>
      </c>
      <c r="AZ65" s="412">
        <f t="shared" si="28"/>
        <v>0</v>
      </c>
      <c r="BA65" s="412">
        <f t="shared" si="28"/>
        <v>0</v>
      </c>
      <c r="BB65" s="412">
        <f t="shared" si="28"/>
        <v>0</v>
      </c>
      <c r="BC65" s="412">
        <f t="shared" si="28"/>
        <v>0</v>
      </c>
      <c r="BD65" s="412">
        <f t="shared" si="28"/>
        <v>0</v>
      </c>
      <c r="BE65" s="412">
        <f t="shared" si="28"/>
        <v>0</v>
      </c>
      <c r="BF65" s="412">
        <f t="shared" si="28"/>
        <v>0</v>
      </c>
      <c r="BG65" s="412">
        <f t="shared" si="28"/>
        <v>0</v>
      </c>
      <c r="BH65" s="412">
        <f t="shared" si="28"/>
        <v>0</v>
      </c>
      <c r="BI65" s="412">
        <f t="shared" si="28"/>
        <v>0</v>
      </c>
      <c r="BJ65" s="412">
        <f t="shared" si="28"/>
        <v>0</v>
      </c>
      <c r="BK65" s="412">
        <f t="shared" si="28"/>
        <v>0</v>
      </c>
      <c r="BL65" s="412">
        <f t="shared" si="28"/>
        <v>0</v>
      </c>
      <c r="BM65" s="412">
        <f t="shared" si="28"/>
        <v>0</v>
      </c>
      <c r="BN65" s="412">
        <f t="shared" si="28"/>
        <v>15513.783751825918</v>
      </c>
      <c r="BO65" s="412">
        <f t="shared" si="28"/>
        <v>0</v>
      </c>
      <c r="BP65" s="412">
        <f t="shared" si="28"/>
        <v>0</v>
      </c>
      <c r="BQ65" s="412">
        <f t="shared" si="28"/>
        <v>0</v>
      </c>
      <c r="BR65" s="412">
        <f t="shared" ref="BR65:DV66" si="29">BR209</f>
        <v>0</v>
      </c>
      <c r="BS65" s="412">
        <f t="shared" si="29"/>
        <v>0</v>
      </c>
      <c r="BT65" s="412">
        <f t="shared" si="29"/>
        <v>0</v>
      </c>
      <c r="BU65" s="412">
        <f t="shared" si="29"/>
        <v>0</v>
      </c>
      <c r="BV65" s="412">
        <f t="shared" si="29"/>
        <v>0</v>
      </c>
      <c r="BW65" s="412">
        <f t="shared" si="29"/>
        <v>0</v>
      </c>
      <c r="BX65" s="412">
        <f t="shared" si="29"/>
        <v>0</v>
      </c>
      <c r="BY65" s="412">
        <f t="shared" si="29"/>
        <v>0</v>
      </c>
      <c r="BZ65" s="412">
        <f t="shared" si="29"/>
        <v>0</v>
      </c>
      <c r="CA65" s="412">
        <f t="shared" si="29"/>
        <v>0</v>
      </c>
      <c r="CB65" s="412">
        <f t="shared" si="29"/>
        <v>0</v>
      </c>
      <c r="CC65" s="412">
        <f t="shared" si="29"/>
        <v>0</v>
      </c>
      <c r="CD65" s="412">
        <f t="shared" si="29"/>
        <v>0</v>
      </c>
      <c r="CE65" s="412">
        <f t="shared" si="29"/>
        <v>0</v>
      </c>
      <c r="CF65" s="412">
        <f t="shared" si="29"/>
        <v>0</v>
      </c>
      <c r="CG65" s="412">
        <f t="shared" si="29"/>
        <v>0</v>
      </c>
      <c r="CH65" s="412">
        <f t="shared" si="29"/>
        <v>0</v>
      </c>
      <c r="CI65" s="412">
        <f t="shared" si="29"/>
        <v>0</v>
      </c>
      <c r="CJ65" s="412">
        <f t="shared" si="29"/>
        <v>0</v>
      </c>
      <c r="CK65" s="412">
        <f t="shared" si="29"/>
        <v>0</v>
      </c>
      <c r="CL65" s="412">
        <f t="shared" si="29"/>
        <v>0</v>
      </c>
      <c r="CM65" s="412">
        <f t="shared" si="29"/>
        <v>0</v>
      </c>
      <c r="CN65" s="412">
        <f t="shared" si="29"/>
        <v>0</v>
      </c>
      <c r="CO65" s="412">
        <f t="shared" si="29"/>
        <v>0</v>
      </c>
      <c r="CP65" s="412">
        <f t="shared" si="29"/>
        <v>0</v>
      </c>
      <c r="CQ65" s="412">
        <f t="shared" si="29"/>
        <v>0</v>
      </c>
      <c r="CR65" s="412">
        <f t="shared" si="29"/>
        <v>0</v>
      </c>
      <c r="CS65" s="412">
        <f t="shared" si="29"/>
        <v>0</v>
      </c>
      <c r="CT65" s="412">
        <f t="shared" si="29"/>
        <v>0</v>
      </c>
      <c r="CU65" s="412">
        <f t="shared" si="29"/>
        <v>0</v>
      </c>
      <c r="CV65" s="412">
        <f t="shared" si="29"/>
        <v>0</v>
      </c>
      <c r="CW65" s="412">
        <f t="shared" si="29"/>
        <v>0</v>
      </c>
      <c r="CX65" s="412">
        <f t="shared" si="29"/>
        <v>0</v>
      </c>
      <c r="CY65" s="412">
        <f t="shared" si="29"/>
        <v>0</v>
      </c>
      <c r="CZ65" s="412">
        <f t="shared" si="29"/>
        <v>0</v>
      </c>
      <c r="DA65" s="412">
        <f t="shared" si="29"/>
        <v>0</v>
      </c>
      <c r="DB65" s="412">
        <f t="shared" si="29"/>
        <v>0</v>
      </c>
      <c r="DC65" s="412">
        <f t="shared" si="29"/>
        <v>0</v>
      </c>
      <c r="DD65" s="412">
        <f t="shared" si="29"/>
        <v>0</v>
      </c>
      <c r="DE65" s="412">
        <f t="shared" si="29"/>
        <v>0</v>
      </c>
      <c r="DF65" s="412">
        <f t="shared" si="29"/>
        <v>0</v>
      </c>
      <c r="DG65" s="412">
        <f t="shared" si="29"/>
        <v>0</v>
      </c>
      <c r="DH65" s="412">
        <f t="shared" si="29"/>
        <v>0</v>
      </c>
      <c r="DI65" s="412">
        <f t="shared" si="29"/>
        <v>0</v>
      </c>
      <c r="DJ65" s="412">
        <f t="shared" si="29"/>
        <v>0</v>
      </c>
      <c r="DK65" s="412">
        <f t="shared" si="29"/>
        <v>0</v>
      </c>
      <c r="DL65" s="412">
        <f t="shared" si="29"/>
        <v>0</v>
      </c>
      <c r="DM65" s="412">
        <f t="shared" si="29"/>
        <v>0</v>
      </c>
      <c r="DN65" s="412">
        <f t="shared" si="29"/>
        <v>0</v>
      </c>
      <c r="DO65" s="412">
        <f t="shared" si="29"/>
        <v>0</v>
      </c>
      <c r="DP65" s="412">
        <f t="shared" si="29"/>
        <v>0</v>
      </c>
      <c r="DQ65" s="412">
        <f t="shared" si="29"/>
        <v>0</v>
      </c>
      <c r="DR65" s="412">
        <f t="shared" si="29"/>
        <v>0</v>
      </c>
      <c r="DS65" s="412">
        <f t="shared" si="29"/>
        <v>0</v>
      </c>
      <c r="DT65" s="412">
        <f t="shared" si="29"/>
        <v>0</v>
      </c>
      <c r="DU65" s="412">
        <f t="shared" si="29"/>
        <v>0</v>
      </c>
      <c r="DV65" s="412">
        <f t="shared" si="29"/>
        <v>0</v>
      </c>
      <c r="DW65" s="322" t="s">
        <v>372</v>
      </c>
    </row>
    <row r="66" spans="3:127" hidden="1" outlineLevel="1" x14ac:dyDescent="0.3">
      <c r="C66" s="406" t="s">
        <v>395</v>
      </c>
      <c r="D66" s="411">
        <f t="shared" si="21"/>
        <v>66487.644650682443</v>
      </c>
      <c r="E66" s="411"/>
      <c r="F66" s="438">
        <f t="shared" si="28"/>
        <v>0</v>
      </c>
      <c r="G66" s="412">
        <f t="shared" si="28"/>
        <v>0</v>
      </c>
      <c r="H66" s="412">
        <f t="shared" si="28"/>
        <v>0</v>
      </c>
      <c r="I66" s="412">
        <f t="shared" si="28"/>
        <v>0</v>
      </c>
      <c r="J66" s="412">
        <f t="shared" si="28"/>
        <v>0</v>
      </c>
      <c r="K66" s="412">
        <f t="shared" si="28"/>
        <v>0</v>
      </c>
      <c r="L66" s="412">
        <f t="shared" si="28"/>
        <v>0</v>
      </c>
      <c r="M66" s="412">
        <f t="shared" si="28"/>
        <v>0</v>
      </c>
      <c r="N66" s="412">
        <f t="shared" si="28"/>
        <v>0</v>
      </c>
      <c r="O66" s="412">
        <f t="shared" si="28"/>
        <v>0</v>
      </c>
      <c r="P66" s="412">
        <f t="shared" si="28"/>
        <v>0</v>
      </c>
      <c r="Q66" s="412">
        <f t="shared" si="28"/>
        <v>0</v>
      </c>
      <c r="R66" s="412">
        <f t="shared" si="28"/>
        <v>0</v>
      </c>
      <c r="S66" s="412">
        <f t="shared" si="28"/>
        <v>0</v>
      </c>
      <c r="T66" s="412">
        <f t="shared" si="28"/>
        <v>0</v>
      </c>
      <c r="U66" s="412">
        <f t="shared" si="28"/>
        <v>0</v>
      </c>
      <c r="V66" s="412">
        <f t="shared" si="28"/>
        <v>0</v>
      </c>
      <c r="W66" s="412">
        <f t="shared" si="28"/>
        <v>0</v>
      </c>
      <c r="X66" s="412">
        <f t="shared" si="28"/>
        <v>0</v>
      </c>
      <c r="Y66" s="412">
        <f t="shared" si="28"/>
        <v>0</v>
      </c>
      <c r="Z66" s="412">
        <f t="shared" si="28"/>
        <v>0</v>
      </c>
      <c r="AA66" s="412">
        <f t="shared" si="28"/>
        <v>0</v>
      </c>
      <c r="AB66" s="412">
        <f t="shared" si="28"/>
        <v>0</v>
      </c>
      <c r="AC66" s="412">
        <f t="shared" si="28"/>
        <v>0</v>
      </c>
      <c r="AD66" s="412">
        <f t="shared" si="28"/>
        <v>0</v>
      </c>
      <c r="AE66" s="412">
        <f t="shared" si="28"/>
        <v>0</v>
      </c>
      <c r="AF66" s="412">
        <f t="shared" si="28"/>
        <v>0</v>
      </c>
      <c r="AG66" s="412">
        <f t="shared" si="28"/>
        <v>0</v>
      </c>
      <c r="AH66" s="412">
        <f t="shared" si="28"/>
        <v>0</v>
      </c>
      <c r="AI66" s="412">
        <f t="shared" si="28"/>
        <v>0</v>
      </c>
      <c r="AJ66" s="412">
        <f t="shared" si="28"/>
        <v>0</v>
      </c>
      <c r="AK66" s="412">
        <f t="shared" si="28"/>
        <v>0</v>
      </c>
      <c r="AL66" s="412">
        <f t="shared" si="28"/>
        <v>0</v>
      </c>
      <c r="AM66" s="412">
        <f t="shared" si="28"/>
        <v>0</v>
      </c>
      <c r="AN66" s="412">
        <f t="shared" si="28"/>
        <v>0</v>
      </c>
      <c r="AO66" s="412">
        <f t="shared" si="28"/>
        <v>0</v>
      </c>
      <c r="AP66" s="412">
        <f t="shared" si="28"/>
        <v>0</v>
      </c>
      <c r="AQ66" s="412">
        <f t="shared" si="28"/>
        <v>0</v>
      </c>
      <c r="AR66" s="412">
        <f t="shared" si="28"/>
        <v>0</v>
      </c>
      <c r="AS66" s="412">
        <f t="shared" si="28"/>
        <v>0</v>
      </c>
      <c r="AT66" s="412">
        <f t="shared" si="28"/>
        <v>0</v>
      </c>
      <c r="AU66" s="412">
        <f t="shared" si="28"/>
        <v>0</v>
      </c>
      <c r="AV66" s="412">
        <f t="shared" si="28"/>
        <v>0</v>
      </c>
      <c r="AW66" s="412">
        <f t="shared" si="28"/>
        <v>0</v>
      </c>
      <c r="AX66" s="412">
        <f t="shared" si="28"/>
        <v>0</v>
      </c>
      <c r="AY66" s="412">
        <f t="shared" si="28"/>
        <v>0</v>
      </c>
      <c r="AZ66" s="412">
        <f t="shared" si="28"/>
        <v>0</v>
      </c>
      <c r="BA66" s="412">
        <f t="shared" si="28"/>
        <v>0</v>
      </c>
      <c r="BB66" s="412">
        <f t="shared" si="28"/>
        <v>0</v>
      </c>
      <c r="BC66" s="412">
        <f t="shared" si="28"/>
        <v>0</v>
      </c>
      <c r="BD66" s="412">
        <f t="shared" si="28"/>
        <v>0</v>
      </c>
      <c r="BE66" s="412">
        <f t="shared" si="28"/>
        <v>0</v>
      </c>
      <c r="BF66" s="412">
        <f t="shared" si="28"/>
        <v>0</v>
      </c>
      <c r="BG66" s="412">
        <f t="shared" si="28"/>
        <v>0</v>
      </c>
      <c r="BH66" s="412">
        <f t="shared" si="28"/>
        <v>0</v>
      </c>
      <c r="BI66" s="412">
        <f t="shared" si="28"/>
        <v>0</v>
      </c>
      <c r="BJ66" s="412">
        <f t="shared" si="28"/>
        <v>0</v>
      </c>
      <c r="BK66" s="412">
        <f t="shared" si="28"/>
        <v>0</v>
      </c>
      <c r="BL66" s="412">
        <f t="shared" si="28"/>
        <v>0</v>
      </c>
      <c r="BM66" s="412">
        <f t="shared" si="28"/>
        <v>0</v>
      </c>
      <c r="BN66" s="412">
        <f t="shared" si="28"/>
        <v>66487.644650682443</v>
      </c>
      <c r="BO66" s="412">
        <f t="shared" si="28"/>
        <v>0</v>
      </c>
      <c r="BP66" s="412">
        <f t="shared" si="28"/>
        <v>0</v>
      </c>
      <c r="BQ66" s="412">
        <f t="shared" si="28"/>
        <v>0</v>
      </c>
      <c r="BR66" s="412">
        <f t="shared" si="29"/>
        <v>0</v>
      </c>
      <c r="BS66" s="412">
        <f t="shared" si="29"/>
        <v>0</v>
      </c>
      <c r="BT66" s="412">
        <f t="shared" si="29"/>
        <v>0</v>
      </c>
      <c r="BU66" s="412">
        <f t="shared" si="29"/>
        <v>0</v>
      </c>
      <c r="BV66" s="412">
        <f t="shared" si="29"/>
        <v>0</v>
      </c>
      <c r="BW66" s="412">
        <f t="shared" si="29"/>
        <v>0</v>
      </c>
      <c r="BX66" s="412">
        <f t="shared" si="29"/>
        <v>0</v>
      </c>
      <c r="BY66" s="412">
        <f t="shared" si="29"/>
        <v>0</v>
      </c>
      <c r="BZ66" s="412">
        <f t="shared" si="29"/>
        <v>0</v>
      </c>
      <c r="CA66" s="412">
        <f t="shared" si="29"/>
        <v>0</v>
      </c>
      <c r="CB66" s="412">
        <f t="shared" si="29"/>
        <v>0</v>
      </c>
      <c r="CC66" s="412">
        <f t="shared" si="29"/>
        <v>0</v>
      </c>
      <c r="CD66" s="412">
        <f t="shared" si="29"/>
        <v>0</v>
      </c>
      <c r="CE66" s="412">
        <f t="shared" si="29"/>
        <v>0</v>
      </c>
      <c r="CF66" s="412">
        <f t="shared" si="29"/>
        <v>0</v>
      </c>
      <c r="CG66" s="412">
        <f t="shared" si="29"/>
        <v>0</v>
      </c>
      <c r="CH66" s="412">
        <f t="shared" si="29"/>
        <v>0</v>
      </c>
      <c r="CI66" s="412">
        <f t="shared" si="29"/>
        <v>0</v>
      </c>
      <c r="CJ66" s="412">
        <f t="shared" si="29"/>
        <v>0</v>
      </c>
      <c r="CK66" s="412">
        <f t="shared" si="29"/>
        <v>0</v>
      </c>
      <c r="CL66" s="412">
        <f t="shared" si="29"/>
        <v>0</v>
      </c>
      <c r="CM66" s="412">
        <f t="shared" si="29"/>
        <v>0</v>
      </c>
      <c r="CN66" s="412">
        <f t="shared" si="29"/>
        <v>0</v>
      </c>
      <c r="CO66" s="412">
        <f t="shared" si="29"/>
        <v>0</v>
      </c>
      <c r="CP66" s="412">
        <f t="shared" si="29"/>
        <v>0</v>
      </c>
      <c r="CQ66" s="412">
        <f t="shared" si="29"/>
        <v>0</v>
      </c>
      <c r="CR66" s="412">
        <f t="shared" si="29"/>
        <v>0</v>
      </c>
      <c r="CS66" s="412">
        <f t="shared" si="29"/>
        <v>0</v>
      </c>
      <c r="CT66" s="412">
        <f t="shared" si="29"/>
        <v>0</v>
      </c>
      <c r="CU66" s="412">
        <f t="shared" si="29"/>
        <v>0</v>
      </c>
      <c r="CV66" s="412">
        <f t="shared" si="29"/>
        <v>0</v>
      </c>
      <c r="CW66" s="412">
        <f t="shared" si="29"/>
        <v>0</v>
      </c>
      <c r="CX66" s="412">
        <f t="shared" si="29"/>
        <v>0</v>
      </c>
      <c r="CY66" s="412">
        <f t="shared" si="29"/>
        <v>0</v>
      </c>
      <c r="CZ66" s="412">
        <f t="shared" si="29"/>
        <v>0</v>
      </c>
      <c r="DA66" s="412">
        <f t="shared" si="29"/>
        <v>0</v>
      </c>
      <c r="DB66" s="412">
        <f t="shared" si="29"/>
        <v>0</v>
      </c>
      <c r="DC66" s="412">
        <f t="shared" si="29"/>
        <v>0</v>
      </c>
      <c r="DD66" s="412">
        <f t="shared" si="29"/>
        <v>0</v>
      </c>
      <c r="DE66" s="412">
        <f t="shared" si="29"/>
        <v>0</v>
      </c>
      <c r="DF66" s="412">
        <f t="shared" si="29"/>
        <v>0</v>
      </c>
      <c r="DG66" s="412">
        <f t="shared" si="29"/>
        <v>0</v>
      </c>
      <c r="DH66" s="412">
        <f t="shared" si="29"/>
        <v>0</v>
      </c>
      <c r="DI66" s="412">
        <f t="shared" si="29"/>
        <v>0</v>
      </c>
      <c r="DJ66" s="412">
        <f t="shared" si="29"/>
        <v>0</v>
      </c>
      <c r="DK66" s="412">
        <f t="shared" si="29"/>
        <v>0</v>
      </c>
      <c r="DL66" s="412">
        <f t="shared" si="29"/>
        <v>0</v>
      </c>
      <c r="DM66" s="412">
        <f t="shared" si="29"/>
        <v>0</v>
      </c>
      <c r="DN66" s="412">
        <f t="shared" si="29"/>
        <v>0</v>
      </c>
      <c r="DO66" s="412">
        <f t="shared" si="29"/>
        <v>0</v>
      </c>
      <c r="DP66" s="412">
        <f t="shared" si="29"/>
        <v>0</v>
      </c>
      <c r="DQ66" s="412">
        <f t="shared" si="29"/>
        <v>0</v>
      </c>
      <c r="DR66" s="412">
        <f t="shared" si="29"/>
        <v>0</v>
      </c>
      <c r="DS66" s="412">
        <f t="shared" si="29"/>
        <v>0</v>
      </c>
      <c r="DT66" s="412">
        <f t="shared" si="29"/>
        <v>0</v>
      </c>
      <c r="DU66" s="412">
        <f t="shared" si="29"/>
        <v>0</v>
      </c>
      <c r="DV66" s="412">
        <f t="shared" si="29"/>
        <v>0</v>
      </c>
      <c r="DW66" s="322" t="s">
        <v>372</v>
      </c>
    </row>
    <row r="67" spans="3:127" hidden="1" outlineLevel="1" x14ac:dyDescent="0.3">
      <c r="C67" s="406" t="s">
        <v>391</v>
      </c>
      <c r="D67" s="411">
        <f t="shared" si="21"/>
        <v>0</v>
      </c>
      <c r="E67" s="411"/>
      <c r="F67" s="438">
        <f t="shared" ref="F67:BQ68" si="30">F218</f>
        <v>0</v>
      </c>
      <c r="G67" s="412">
        <f t="shared" si="30"/>
        <v>0</v>
      </c>
      <c r="H67" s="412">
        <f t="shared" si="30"/>
        <v>0</v>
      </c>
      <c r="I67" s="412">
        <f t="shared" si="30"/>
        <v>0</v>
      </c>
      <c r="J67" s="412">
        <f t="shared" si="30"/>
        <v>0</v>
      </c>
      <c r="K67" s="412">
        <f t="shared" si="30"/>
        <v>0</v>
      </c>
      <c r="L67" s="412">
        <f t="shared" si="30"/>
        <v>0</v>
      </c>
      <c r="M67" s="412">
        <f t="shared" si="30"/>
        <v>0</v>
      </c>
      <c r="N67" s="412">
        <f t="shared" si="30"/>
        <v>0</v>
      </c>
      <c r="O67" s="412">
        <f t="shared" si="30"/>
        <v>0</v>
      </c>
      <c r="P67" s="412">
        <f t="shared" si="30"/>
        <v>0</v>
      </c>
      <c r="Q67" s="412">
        <f t="shared" si="30"/>
        <v>0</v>
      </c>
      <c r="R67" s="412">
        <f t="shared" si="30"/>
        <v>0</v>
      </c>
      <c r="S67" s="412">
        <f t="shared" si="30"/>
        <v>0</v>
      </c>
      <c r="T67" s="412">
        <f t="shared" si="30"/>
        <v>0</v>
      </c>
      <c r="U67" s="412">
        <f t="shared" si="30"/>
        <v>0</v>
      </c>
      <c r="V67" s="412">
        <f t="shared" si="30"/>
        <v>0</v>
      </c>
      <c r="W67" s="412">
        <f t="shared" si="30"/>
        <v>0</v>
      </c>
      <c r="X67" s="412">
        <f t="shared" si="30"/>
        <v>0</v>
      </c>
      <c r="Y67" s="412">
        <f t="shared" si="30"/>
        <v>0</v>
      </c>
      <c r="Z67" s="412">
        <f t="shared" si="30"/>
        <v>0</v>
      </c>
      <c r="AA67" s="412">
        <f t="shared" si="30"/>
        <v>0</v>
      </c>
      <c r="AB67" s="412">
        <f t="shared" si="30"/>
        <v>0</v>
      </c>
      <c r="AC67" s="412">
        <f t="shared" si="30"/>
        <v>0</v>
      </c>
      <c r="AD67" s="412">
        <f t="shared" si="30"/>
        <v>0</v>
      </c>
      <c r="AE67" s="412">
        <f t="shared" si="30"/>
        <v>0</v>
      </c>
      <c r="AF67" s="412">
        <f t="shared" si="30"/>
        <v>0</v>
      </c>
      <c r="AG67" s="412">
        <f t="shared" si="30"/>
        <v>0</v>
      </c>
      <c r="AH67" s="412">
        <f t="shared" si="30"/>
        <v>0</v>
      </c>
      <c r="AI67" s="412">
        <f t="shared" si="30"/>
        <v>0</v>
      </c>
      <c r="AJ67" s="412">
        <f t="shared" si="30"/>
        <v>0</v>
      </c>
      <c r="AK67" s="412">
        <f t="shared" si="30"/>
        <v>0</v>
      </c>
      <c r="AL67" s="412">
        <f t="shared" si="30"/>
        <v>0</v>
      </c>
      <c r="AM67" s="412">
        <f t="shared" si="30"/>
        <v>0</v>
      </c>
      <c r="AN67" s="412">
        <f t="shared" si="30"/>
        <v>0</v>
      </c>
      <c r="AO67" s="412">
        <f t="shared" si="30"/>
        <v>0</v>
      </c>
      <c r="AP67" s="412">
        <f t="shared" si="30"/>
        <v>0</v>
      </c>
      <c r="AQ67" s="412">
        <f t="shared" si="30"/>
        <v>0</v>
      </c>
      <c r="AR67" s="412">
        <f t="shared" si="30"/>
        <v>0</v>
      </c>
      <c r="AS67" s="412">
        <f t="shared" si="30"/>
        <v>0</v>
      </c>
      <c r="AT67" s="412">
        <f t="shared" si="30"/>
        <v>0</v>
      </c>
      <c r="AU67" s="412">
        <f t="shared" si="30"/>
        <v>0</v>
      </c>
      <c r="AV67" s="412">
        <f t="shared" si="30"/>
        <v>0</v>
      </c>
      <c r="AW67" s="412">
        <f t="shared" si="30"/>
        <v>0</v>
      </c>
      <c r="AX67" s="412">
        <f t="shared" si="30"/>
        <v>0</v>
      </c>
      <c r="AY67" s="412">
        <f t="shared" si="30"/>
        <v>0</v>
      </c>
      <c r="AZ67" s="412">
        <f t="shared" si="30"/>
        <v>0</v>
      </c>
      <c r="BA67" s="412">
        <f t="shared" si="30"/>
        <v>0</v>
      </c>
      <c r="BB67" s="412">
        <f t="shared" si="30"/>
        <v>0</v>
      </c>
      <c r="BC67" s="412">
        <f t="shared" si="30"/>
        <v>0</v>
      </c>
      <c r="BD67" s="412">
        <f t="shared" si="30"/>
        <v>0</v>
      </c>
      <c r="BE67" s="412">
        <f t="shared" si="30"/>
        <v>0</v>
      </c>
      <c r="BF67" s="412">
        <f t="shared" si="30"/>
        <v>0</v>
      </c>
      <c r="BG67" s="412">
        <f t="shared" si="30"/>
        <v>0</v>
      </c>
      <c r="BH67" s="412">
        <f t="shared" si="30"/>
        <v>0</v>
      </c>
      <c r="BI67" s="412">
        <f t="shared" si="30"/>
        <v>0</v>
      </c>
      <c r="BJ67" s="412">
        <f t="shared" si="30"/>
        <v>0</v>
      </c>
      <c r="BK67" s="412">
        <f t="shared" si="30"/>
        <v>0</v>
      </c>
      <c r="BL67" s="412">
        <f t="shared" si="30"/>
        <v>0</v>
      </c>
      <c r="BM67" s="412">
        <f t="shared" si="30"/>
        <v>0</v>
      </c>
      <c r="BN67" s="412">
        <f t="shared" si="30"/>
        <v>0</v>
      </c>
      <c r="BO67" s="412">
        <f t="shared" si="30"/>
        <v>0</v>
      </c>
      <c r="BP67" s="412">
        <f t="shared" si="30"/>
        <v>0</v>
      </c>
      <c r="BQ67" s="412">
        <f t="shared" si="30"/>
        <v>0</v>
      </c>
      <c r="BR67" s="412">
        <f t="shared" ref="BR67:DV68" si="31">BR218</f>
        <v>0</v>
      </c>
      <c r="BS67" s="412">
        <f t="shared" si="31"/>
        <v>0</v>
      </c>
      <c r="BT67" s="412">
        <f t="shared" si="31"/>
        <v>0</v>
      </c>
      <c r="BU67" s="412">
        <f t="shared" si="31"/>
        <v>0</v>
      </c>
      <c r="BV67" s="412">
        <f t="shared" si="31"/>
        <v>0</v>
      </c>
      <c r="BW67" s="412">
        <f t="shared" si="31"/>
        <v>0</v>
      </c>
      <c r="BX67" s="412">
        <f t="shared" si="31"/>
        <v>0</v>
      </c>
      <c r="BY67" s="412">
        <f t="shared" si="31"/>
        <v>0</v>
      </c>
      <c r="BZ67" s="412">
        <f t="shared" si="31"/>
        <v>0</v>
      </c>
      <c r="CA67" s="412">
        <f t="shared" si="31"/>
        <v>0</v>
      </c>
      <c r="CB67" s="412">
        <f t="shared" si="31"/>
        <v>0</v>
      </c>
      <c r="CC67" s="412">
        <f t="shared" si="31"/>
        <v>0</v>
      </c>
      <c r="CD67" s="412">
        <f t="shared" si="31"/>
        <v>0</v>
      </c>
      <c r="CE67" s="412">
        <f t="shared" si="31"/>
        <v>0</v>
      </c>
      <c r="CF67" s="412">
        <f t="shared" si="31"/>
        <v>0</v>
      </c>
      <c r="CG67" s="412">
        <f t="shared" si="31"/>
        <v>0</v>
      </c>
      <c r="CH67" s="412">
        <f t="shared" si="31"/>
        <v>0</v>
      </c>
      <c r="CI67" s="412">
        <f t="shared" si="31"/>
        <v>0</v>
      </c>
      <c r="CJ67" s="412">
        <f t="shared" si="31"/>
        <v>0</v>
      </c>
      <c r="CK67" s="412">
        <f t="shared" si="31"/>
        <v>0</v>
      </c>
      <c r="CL67" s="412">
        <f t="shared" si="31"/>
        <v>0</v>
      </c>
      <c r="CM67" s="412">
        <f t="shared" si="31"/>
        <v>0</v>
      </c>
      <c r="CN67" s="412">
        <f t="shared" si="31"/>
        <v>0</v>
      </c>
      <c r="CO67" s="412">
        <f t="shared" si="31"/>
        <v>0</v>
      </c>
      <c r="CP67" s="412">
        <f t="shared" si="31"/>
        <v>0</v>
      </c>
      <c r="CQ67" s="412">
        <f t="shared" si="31"/>
        <v>0</v>
      </c>
      <c r="CR67" s="412">
        <f t="shared" si="31"/>
        <v>0</v>
      </c>
      <c r="CS67" s="412">
        <f t="shared" si="31"/>
        <v>0</v>
      </c>
      <c r="CT67" s="412">
        <f t="shared" si="31"/>
        <v>0</v>
      </c>
      <c r="CU67" s="412">
        <f t="shared" si="31"/>
        <v>0</v>
      </c>
      <c r="CV67" s="412">
        <f t="shared" si="31"/>
        <v>0</v>
      </c>
      <c r="CW67" s="412">
        <f t="shared" si="31"/>
        <v>0</v>
      </c>
      <c r="CX67" s="412">
        <f t="shared" si="31"/>
        <v>0</v>
      </c>
      <c r="CY67" s="412">
        <f t="shared" si="31"/>
        <v>0</v>
      </c>
      <c r="CZ67" s="412">
        <f t="shared" si="31"/>
        <v>0</v>
      </c>
      <c r="DA67" s="412">
        <f t="shared" si="31"/>
        <v>0</v>
      </c>
      <c r="DB67" s="412">
        <f t="shared" si="31"/>
        <v>0</v>
      </c>
      <c r="DC67" s="412">
        <f t="shared" si="31"/>
        <v>0</v>
      </c>
      <c r="DD67" s="412">
        <f t="shared" si="31"/>
        <v>0</v>
      </c>
      <c r="DE67" s="412">
        <f t="shared" si="31"/>
        <v>0</v>
      </c>
      <c r="DF67" s="412">
        <f t="shared" si="31"/>
        <v>0</v>
      </c>
      <c r="DG67" s="412">
        <f t="shared" si="31"/>
        <v>0</v>
      </c>
      <c r="DH67" s="412">
        <f t="shared" si="31"/>
        <v>0</v>
      </c>
      <c r="DI67" s="412">
        <f t="shared" si="31"/>
        <v>0</v>
      </c>
      <c r="DJ67" s="412">
        <f t="shared" si="31"/>
        <v>0</v>
      </c>
      <c r="DK67" s="412">
        <f t="shared" si="31"/>
        <v>0</v>
      </c>
      <c r="DL67" s="412">
        <f t="shared" si="31"/>
        <v>0</v>
      </c>
      <c r="DM67" s="412">
        <f t="shared" si="31"/>
        <v>0</v>
      </c>
      <c r="DN67" s="412">
        <f t="shared" si="31"/>
        <v>0</v>
      </c>
      <c r="DO67" s="412">
        <f t="shared" si="31"/>
        <v>0</v>
      </c>
      <c r="DP67" s="412">
        <f t="shared" si="31"/>
        <v>0</v>
      </c>
      <c r="DQ67" s="412">
        <f t="shared" si="31"/>
        <v>0</v>
      </c>
      <c r="DR67" s="412">
        <f t="shared" si="31"/>
        <v>0</v>
      </c>
      <c r="DS67" s="412">
        <f t="shared" si="31"/>
        <v>0</v>
      </c>
      <c r="DT67" s="412">
        <f t="shared" si="31"/>
        <v>0</v>
      </c>
      <c r="DU67" s="412">
        <f t="shared" si="31"/>
        <v>0</v>
      </c>
      <c r="DV67" s="412">
        <f t="shared" si="31"/>
        <v>0</v>
      </c>
      <c r="DW67" s="322" t="s">
        <v>372</v>
      </c>
    </row>
    <row r="68" spans="3:127" hidden="1" outlineLevel="1" x14ac:dyDescent="0.3">
      <c r="C68" s="406" t="s">
        <v>396</v>
      </c>
      <c r="D68" s="411">
        <f t="shared" si="21"/>
        <v>0</v>
      </c>
      <c r="E68" s="411"/>
      <c r="F68" s="439">
        <f t="shared" si="30"/>
        <v>0</v>
      </c>
      <c r="G68" s="440">
        <f t="shared" si="30"/>
        <v>0</v>
      </c>
      <c r="H68" s="440">
        <f t="shared" si="30"/>
        <v>0</v>
      </c>
      <c r="I68" s="440">
        <f t="shared" si="30"/>
        <v>0</v>
      </c>
      <c r="J68" s="440">
        <f t="shared" si="30"/>
        <v>0</v>
      </c>
      <c r="K68" s="440">
        <f t="shared" si="30"/>
        <v>0</v>
      </c>
      <c r="L68" s="440">
        <f t="shared" si="30"/>
        <v>0</v>
      </c>
      <c r="M68" s="440">
        <f t="shared" si="30"/>
        <v>0</v>
      </c>
      <c r="N68" s="440">
        <f t="shared" si="30"/>
        <v>0</v>
      </c>
      <c r="O68" s="440">
        <f t="shared" si="30"/>
        <v>0</v>
      </c>
      <c r="P68" s="440">
        <f t="shared" si="30"/>
        <v>0</v>
      </c>
      <c r="Q68" s="440">
        <f t="shared" si="30"/>
        <v>0</v>
      </c>
      <c r="R68" s="440">
        <f t="shared" si="30"/>
        <v>0</v>
      </c>
      <c r="S68" s="440">
        <f t="shared" si="30"/>
        <v>0</v>
      </c>
      <c r="T68" s="440">
        <f t="shared" si="30"/>
        <v>0</v>
      </c>
      <c r="U68" s="440">
        <f t="shared" si="30"/>
        <v>0</v>
      </c>
      <c r="V68" s="440">
        <f t="shared" si="30"/>
        <v>0</v>
      </c>
      <c r="W68" s="440">
        <f t="shared" si="30"/>
        <v>0</v>
      </c>
      <c r="X68" s="440">
        <f t="shared" si="30"/>
        <v>0</v>
      </c>
      <c r="Y68" s="440">
        <f t="shared" si="30"/>
        <v>0</v>
      </c>
      <c r="Z68" s="440">
        <f t="shared" si="30"/>
        <v>0</v>
      </c>
      <c r="AA68" s="440">
        <f t="shared" si="30"/>
        <v>0</v>
      </c>
      <c r="AB68" s="440">
        <f t="shared" si="30"/>
        <v>0</v>
      </c>
      <c r="AC68" s="440">
        <f t="shared" si="30"/>
        <v>0</v>
      </c>
      <c r="AD68" s="440">
        <f t="shared" si="30"/>
        <v>0</v>
      </c>
      <c r="AE68" s="440">
        <f t="shared" si="30"/>
        <v>0</v>
      </c>
      <c r="AF68" s="440">
        <f t="shared" si="30"/>
        <v>0</v>
      </c>
      <c r="AG68" s="440">
        <f t="shared" si="30"/>
        <v>0</v>
      </c>
      <c r="AH68" s="440">
        <f t="shared" si="30"/>
        <v>0</v>
      </c>
      <c r="AI68" s="440">
        <f t="shared" si="30"/>
        <v>0</v>
      </c>
      <c r="AJ68" s="440">
        <f t="shared" si="30"/>
        <v>0</v>
      </c>
      <c r="AK68" s="440">
        <f t="shared" si="30"/>
        <v>0</v>
      </c>
      <c r="AL68" s="440">
        <f t="shared" si="30"/>
        <v>0</v>
      </c>
      <c r="AM68" s="440">
        <f t="shared" si="30"/>
        <v>0</v>
      </c>
      <c r="AN68" s="440">
        <f t="shared" si="30"/>
        <v>0</v>
      </c>
      <c r="AO68" s="440">
        <f t="shared" si="30"/>
        <v>0</v>
      </c>
      <c r="AP68" s="440">
        <f t="shared" si="30"/>
        <v>0</v>
      </c>
      <c r="AQ68" s="440">
        <f t="shared" si="30"/>
        <v>0</v>
      </c>
      <c r="AR68" s="440">
        <f t="shared" si="30"/>
        <v>0</v>
      </c>
      <c r="AS68" s="440">
        <f t="shared" si="30"/>
        <v>0</v>
      </c>
      <c r="AT68" s="440">
        <f t="shared" si="30"/>
        <v>0</v>
      </c>
      <c r="AU68" s="440">
        <f t="shared" si="30"/>
        <v>0</v>
      </c>
      <c r="AV68" s="440">
        <f t="shared" si="30"/>
        <v>0</v>
      </c>
      <c r="AW68" s="440">
        <f t="shared" si="30"/>
        <v>0</v>
      </c>
      <c r="AX68" s="440">
        <f t="shared" si="30"/>
        <v>0</v>
      </c>
      <c r="AY68" s="440">
        <f t="shared" si="30"/>
        <v>0</v>
      </c>
      <c r="AZ68" s="440">
        <f t="shared" si="30"/>
        <v>0</v>
      </c>
      <c r="BA68" s="440">
        <f t="shared" si="30"/>
        <v>0</v>
      </c>
      <c r="BB68" s="440">
        <f t="shared" si="30"/>
        <v>0</v>
      </c>
      <c r="BC68" s="440">
        <f t="shared" si="30"/>
        <v>0</v>
      </c>
      <c r="BD68" s="440">
        <f t="shared" si="30"/>
        <v>0</v>
      </c>
      <c r="BE68" s="440">
        <f t="shared" si="30"/>
        <v>0</v>
      </c>
      <c r="BF68" s="440">
        <f t="shared" si="30"/>
        <v>0</v>
      </c>
      <c r="BG68" s="440">
        <f t="shared" si="30"/>
        <v>0</v>
      </c>
      <c r="BH68" s="440">
        <f t="shared" si="30"/>
        <v>0</v>
      </c>
      <c r="BI68" s="440">
        <f t="shared" si="30"/>
        <v>0</v>
      </c>
      <c r="BJ68" s="440">
        <f t="shared" si="30"/>
        <v>0</v>
      </c>
      <c r="BK68" s="440">
        <f t="shared" si="30"/>
        <v>0</v>
      </c>
      <c r="BL68" s="440">
        <f t="shared" si="30"/>
        <v>0</v>
      </c>
      <c r="BM68" s="440">
        <f t="shared" si="30"/>
        <v>0</v>
      </c>
      <c r="BN68" s="440">
        <f t="shared" si="30"/>
        <v>0</v>
      </c>
      <c r="BO68" s="440">
        <f t="shared" si="30"/>
        <v>0</v>
      </c>
      <c r="BP68" s="440">
        <f t="shared" si="30"/>
        <v>0</v>
      </c>
      <c r="BQ68" s="440">
        <f t="shared" si="30"/>
        <v>0</v>
      </c>
      <c r="BR68" s="440">
        <f t="shared" si="31"/>
        <v>0</v>
      </c>
      <c r="BS68" s="440">
        <f t="shared" si="31"/>
        <v>0</v>
      </c>
      <c r="BT68" s="440">
        <f t="shared" si="31"/>
        <v>0</v>
      </c>
      <c r="BU68" s="440">
        <f t="shared" si="31"/>
        <v>0</v>
      </c>
      <c r="BV68" s="440">
        <f t="shared" si="31"/>
        <v>0</v>
      </c>
      <c r="BW68" s="440">
        <f t="shared" si="31"/>
        <v>0</v>
      </c>
      <c r="BX68" s="440">
        <f t="shared" si="31"/>
        <v>0</v>
      </c>
      <c r="BY68" s="440">
        <f t="shared" si="31"/>
        <v>0</v>
      </c>
      <c r="BZ68" s="440">
        <f t="shared" si="31"/>
        <v>0</v>
      </c>
      <c r="CA68" s="440">
        <f t="shared" si="31"/>
        <v>0</v>
      </c>
      <c r="CB68" s="440">
        <f t="shared" si="31"/>
        <v>0</v>
      </c>
      <c r="CC68" s="440">
        <f t="shared" si="31"/>
        <v>0</v>
      </c>
      <c r="CD68" s="440">
        <f t="shared" si="31"/>
        <v>0</v>
      </c>
      <c r="CE68" s="440">
        <f t="shared" si="31"/>
        <v>0</v>
      </c>
      <c r="CF68" s="440">
        <f t="shared" si="31"/>
        <v>0</v>
      </c>
      <c r="CG68" s="440">
        <f t="shared" si="31"/>
        <v>0</v>
      </c>
      <c r="CH68" s="440">
        <f t="shared" si="31"/>
        <v>0</v>
      </c>
      <c r="CI68" s="440">
        <f t="shared" si="31"/>
        <v>0</v>
      </c>
      <c r="CJ68" s="440">
        <f t="shared" si="31"/>
        <v>0</v>
      </c>
      <c r="CK68" s="440">
        <f t="shared" si="31"/>
        <v>0</v>
      </c>
      <c r="CL68" s="440">
        <f t="shared" si="31"/>
        <v>0</v>
      </c>
      <c r="CM68" s="440">
        <f t="shared" si="31"/>
        <v>0</v>
      </c>
      <c r="CN68" s="440">
        <f t="shared" si="31"/>
        <v>0</v>
      </c>
      <c r="CO68" s="440">
        <f t="shared" si="31"/>
        <v>0</v>
      </c>
      <c r="CP68" s="440">
        <f t="shared" si="31"/>
        <v>0</v>
      </c>
      <c r="CQ68" s="440">
        <f t="shared" si="31"/>
        <v>0</v>
      </c>
      <c r="CR68" s="440">
        <f t="shared" si="31"/>
        <v>0</v>
      </c>
      <c r="CS68" s="440">
        <f t="shared" si="31"/>
        <v>0</v>
      </c>
      <c r="CT68" s="440">
        <f t="shared" si="31"/>
        <v>0</v>
      </c>
      <c r="CU68" s="440">
        <f t="shared" si="31"/>
        <v>0</v>
      </c>
      <c r="CV68" s="440">
        <f t="shared" si="31"/>
        <v>0</v>
      </c>
      <c r="CW68" s="440">
        <f t="shared" si="31"/>
        <v>0</v>
      </c>
      <c r="CX68" s="440">
        <f t="shared" si="31"/>
        <v>0</v>
      </c>
      <c r="CY68" s="440">
        <f t="shared" si="31"/>
        <v>0</v>
      </c>
      <c r="CZ68" s="440">
        <f t="shared" si="31"/>
        <v>0</v>
      </c>
      <c r="DA68" s="440">
        <f t="shared" si="31"/>
        <v>0</v>
      </c>
      <c r="DB68" s="440">
        <f t="shared" si="31"/>
        <v>0</v>
      </c>
      <c r="DC68" s="440">
        <f t="shared" si="31"/>
        <v>0</v>
      </c>
      <c r="DD68" s="440">
        <f t="shared" si="31"/>
        <v>0</v>
      </c>
      <c r="DE68" s="440">
        <f t="shared" si="31"/>
        <v>0</v>
      </c>
      <c r="DF68" s="440">
        <f t="shared" si="31"/>
        <v>0</v>
      </c>
      <c r="DG68" s="440">
        <f t="shared" si="31"/>
        <v>0</v>
      </c>
      <c r="DH68" s="440">
        <f t="shared" si="31"/>
        <v>0</v>
      </c>
      <c r="DI68" s="440">
        <f t="shared" si="31"/>
        <v>0</v>
      </c>
      <c r="DJ68" s="440">
        <f t="shared" si="31"/>
        <v>0</v>
      </c>
      <c r="DK68" s="440">
        <f t="shared" si="31"/>
        <v>0</v>
      </c>
      <c r="DL68" s="440">
        <f t="shared" si="31"/>
        <v>0</v>
      </c>
      <c r="DM68" s="440">
        <f t="shared" si="31"/>
        <v>0</v>
      </c>
      <c r="DN68" s="440">
        <f t="shared" si="31"/>
        <v>0</v>
      </c>
      <c r="DO68" s="440">
        <f t="shared" si="31"/>
        <v>0</v>
      </c>
      <c r="DP68" s="440">
        <f t="shared" si="31"/>
        <v>0</v>
      </c>
      <c r="DQ68" s="440">
        <f t="shared" si="31"/>
        <v>0</v>
      </c>
      <c r="DR68" s="440">
        <f t="shared" si="31"/>
        <v>0</v>
      </c>
      <c r="DS68" s="440">
        <f t="shared" si="31"/>
        <v>0</v>
      </c>
      <c r="DT68" s="440">
        <f t="shared" si="31"/>
        <v>0</v>
      </c>
      <c r="DU68" s="440">
        <f t="shared" si="31"/>
        <v>0</v>
      </c>
      <c r="DV68" s="440">
        <f t="shared" si="31"/>
        <v>0</v>
      </c>
      <c r="DW68" s="322" t="s">
        <v>372</v>
      </c>
    </row>
    <row r="69" spans="3:127" ht="17.25" hidden="1" outlineLevel="1" thickBot="1" x14ac:dyDescent="0.35">
      <c r="C69" s="441" t="s">
        <v>65</v>
      </c>
      <c r="D69" s="442">
        <f>SUM(D60:D68)</f>
        <v>741376.1843563458</v>
      </c>
      <c r="E69" s="443"/>
      <c r="F69" s="444">
        <f t="shared" ref="F69:BQ69" si="32">SUM(F60:F68)</f>
        <v>-455750</v>
      </c>
      <c r="G69" s="444">
        <f t="shared" si="32"/>
        <v>3218.5414583333331</v>
      </c>
      <c r="H69" s="444">
        <f t="shared" si="32"/>
        <v>3218.5414583333331</v>
      </c>
      <c r="I69" s="444">
        <f t="shared" si="32"/>
        <v>3218.5414583333331</v>
      </c>
      <c r="J69" s="444">
        <f t="shared" si="32"/>
        <v>3218.5414583333331</v>
      </c>
      <c r="K69" s="444">
        <f t="shared" si="32"/>
        <v>3218.5414583333331</v>
      </c>
      <c r="L69" s="444">
        <f t="shared" si="32"/>
        <v>3218.5414583333331</v>
      </c>
      <c r="M69" s="444">
        <f t="shared" si="32"/>
        <v>3218.5414583333331</v>
      </c>
      <c r="N69" s="444">
        <f t="shared" si="32"/>
        <v>3218.5414583333331</v>
      </c>
      <c r="O69" s="444">
        <f t="shared" si="32"/>
        <v>3218.5414583333331</v>
      </c>
      <c r="P69" s="444">
        <f t="shared" si="32"/>
        <v>3218.5414583333331</v>
      </c>
      <c r="Q69" s="444">
        <f t="shared" si="32"/>
        <v>3218.5414583333331</v>
      </c>
      <c r="R69" s="444">
        <f t="shared" si="32"/>
        <v>3218.5414583333331</v>
      </c>
      <c r="S69" s="444">
        <f t="shared" si="32"/>
        <v>3442.1445770833343</v>
      </c>
      <c r="T69" s="444">
        <f t="shared" si="32"/>
        <v>3442.1445770833343</v>
      </c>
      <c r="U69" s="444">
        <f t="shared" si="32"/>
        <v>3442.1445770833343</v>
      </c>
      <c r="V69" s="444">
        <f t="shared" si="32"/>
        <v>3442.1445770833343</v>
      </c>
      <c r="W69" s="444">
        <f t="shared" si="32"/>
        <v>3442.1445770833343</v>
      </c>
      <c r="X69" s="444">
        <f t="shared" si="32"/>
        <v>3442.1445770833343</v>
      </c>
      <c r="Y69" s="444">
        <f t="shared" si="32"/>
        <v>3442.1445770833343</v>
      </c>
      <c r="Z69" s="444">
        <f t="shared" si="32"/>
        <v>3442.1445770833343</v>
      </c>
      <c r="AA69" s="444">
        <f t="shared" si="32"/>
        <v>3442.1445770833343</v>
      </c>
      <c r="AB69" s="444">
        <f t="shared" si="32"/>
        <v>3442.1445770833343</v>
      </c>
      <c r="AC69" s="444">
        <f t="shared" si="32"/>
        <v>3442.1445770833343</v>
      </c>
      <c r="AD69" s="444">
        <f t="shared" si="32"/>
        <v>3442.1445770833343</v>
      </c>
      <c r="AE69" s="444">
        <f t="shared" si="32"/>
        <v>3672.4557893958322</v>
      </c>
      <c r="AF69" s="444">
        <f t="shared" si="32"/>
        <v>3672.4557893958322</v>
      </c>
      <c r="AG69" s="444">
        <f t="shared" si="32"/>
        <v>3672.4557893958322</v>
      </c>
      <c r="AH69" s="444">
        <f t="shared" si="32"/>
        <v>3672.4557893958322</v>
      </c>
      <c r="AI69" s="444">
        <f t="shared" si="32"/>
        <v>3672.4557893958322</v>
      </c>
      <c r="AJ69" s="444">
        <f t="shared" si="32"/>
        <v>3672.4557893958322</v>
      </c>
      <c r="AK69" s="444">
        <f t="shared" si="32"/>
        <v>3672.4557893958322</v>
      </c>
      <c r="AL69" s="444">
        <f t="shared" si="32"/>
        <v>3672.4557893958322</v>
      </c>
      <c r="AM69" s="444">
        <f t="shared" si="32"/>
        <v>3672.4557893958322</v>
      </c>
      <c r="AN69" s="444">
        <f t="shared" si="32"/>
        <v>3672.4557893958322</v>
      </c>
      <c r="AO69" s="444">
        <f t="shared" si="32"/>
        <v>3672.4557893958322</v>
      </c>
      <c r="AP69" s="444">
        <f t="shared" si="32"/>
        <v>3672.4557893958322</v>
      </c>
      <c r="AQ69" s="444">
        <f t="shared" si="32"/>
        <v>3909.676338077707</v>
      </c>
      <c r="AR69" s="444">
        <f t="shared" si="32"/>
        <v>3909.676338077707</v>
      </c>
      <c r="AS69" s="444">
        <f t="shared" si="32"/>
        <v>3909.676338077707</v>
      </c>
      <c r="AT69" s="444">
        <f t="shared" si="32"/>
        <v>3909.676338077707</v>
      </c>
      <c r="AU69" s="444">
        <f t="shared" si="32"/>
        <v>3909.676338077707</v>
      </c>
      <c r="AV69" s="444">
        <f t="shared" si="32"/>
        <v>3909.676338077707</v>
      </c>
      <c r="AW69" s="444">
        <f t="shared" si="32"/>
        <v>3909.676338077707</v>
      </c>
      <c r="AX69" s="444">
        <f t="shared" si="32"/>
        <v>3909.676338077707</v>
      </c>
      <c r="AY69" s="444">
        <f t="shared" si="32"/>
        <v>3909.676338077707</v>
      </c>
      <c r="AZ69" s="444">
        <f t="shared" si="32"/>
        <v>3909.676338077707</v>
      </c>
      <c r="BA69" s="444">
        <f t="shared" si="32"/>
        <v>3909.676338077707</v>
      </c>
      <c r="BB69" s="444">
        <f t="shared" si="32"/>
        <v>3909.676338077707</v>
      </c>
      <c r="BC69" s="444">
        <f t="shared" si="32"/>
        <v>2169.2861690817131</v>
      </c>
      <c r="BD69" s="444">
        <f t="shared" si="32"/>
        <v>2169.2861690817131</v>
      </c>
      <c r="BE69" s="444">
        <f t="shared" si="32"/>
        <v>2169.2861690817131</v>
      </c>
      <c r="BF69" s="444">
        <f t="shared" si="32"/>
        <v>2169.2861690817131</v>
      </c>
      <c r="BG69" s="444">
        <f t="shared" si="32"/>
        <v>2169.2861690817131</v>
      </c>
      <c r="BH69" s="444">
        <f t="shared" si="32"/>
        <v>2169.2861690817131</v>
      </c>
      <c r="BI69" s="444">
        <f t="shared" si="32"/>
        <v>2169.2861690817131</v>
      </c>
      <c r="BJ69" s="444">
        <f t="shared" si="32"/>
        <v>2169.2861690817131</v>
      </c>
      <c r="BK69" s="444">
        <f t="shared" si="32"/>
        <v>2169.2861690817131</v>
      </c>
      <c r="BL69" s="444">
        <f t="shared" si="32"/>
        <v>2169.2861690817131</v>
      </c>
      <c r="BM69" s="444">
        <f t="shared" si="32"/>
        <v>2169.2861690817131</v>
      </c>
      <c r="BN69" s="444">
        <f t="shared" si="32"/>
        <v>1002350.2185417647</v>
      </c>
      <c r="BO69" s="444">
        <f t="shared" si="32"/>
        <v>0</v>
      </c>
      <c r="BP69" s="444">
        <f t="shared" si="32"/>
        <v>0</v>
      </c>
      <c r="BQ69" s="444">
        <f t="shared" si="32"/>
        <v>0</v>
      </c>
      <c r="BR69" s="444">
        <f t="shared" ref="BR69:DV69" si="33">SUM(BR60:BR68)</f>
        <v>0</v>
      </c>
      <c r="BS69" s="444">
        <f t="shared" si="33"/>
        <v>0</v>
      </c>
      <c r="BT69" s="444">
        <f t="shared" si="33"/>
        <v>0</v>
      </c>
      <c r="BU69" s="444">
        <f t="shared" si="33"/>
        <v>0</v>
      </c>
      <c r="BV69" s="444">
        <f t="shared" si="33"/>
        <v>0</v>
      </c>
      <c r="BW69" s="444">
        <f t="shared" si="33"/>
        <v>0</v>
      </c>
      <c r="BX69" s="444">
        <f t="shared" si="33"/>
        <v>0</v>
      </c>
      <c r="BY69" s="444">
        <f t="shared" si="33"/>
        <v>0</v>
      </c>
      <c r="BZ69" s="444">
        <f t="shared" si="33"/>
        <v>0</v>
      </c>
      <c r="CA69" s="444">
        <f t="shared" si="33"/>
        <v>0</v>
      </c>
      <c r="CB69" s="444">
        <f t="shared" si="33"/>
        <v>0</v>
      </c>
      <c r="CC69" s="444">
        <f t="shared" si="33"/>
        <v>0</v>
      </c>
      <c r="CD69" s="444">
        <f t="shared" si="33"/>
        <v>0</v>
      </c>
      <c r="CE69" s="444">
        <f t="shared" si="33"/>
        <v>0</v>
      </c>
      <c r="CF69" s="444">
        <f t="shared" si="33"/>
        <v>0</v>
      </c>
      <c r="CG69" s="444">
        <f t="shared" si="33"/>
        <v>0</v>
      </c>
      <c r="CH69" s="444">
        <f t="shared" si="33"/>
        <v>0</v>
      </c>
      <c r="CI69" s="444">
        <f t="shared" si="33"/>
        <v>0</v>
      </c>
      <c r="CJ69" s="444">
        <f t="shared" si="33"/>
        <v>0</v>
      </c>
      <c r="CK69" s="444">
        <f t="shared" si="33"/>
        <v>0</v>
      </c>
      <c r="CL69" s="444">
        <f t="shared" si="33"/>
        <v>0</v>
      </c>
      <c r="CM69" s="444">
        <f t="shared" si="33"/>
        <v>0</v>
      </c>
      <c r="CN69" s="444">
        <f t="shared" si="33"/>
        <v>0</v>
      </c>
      <c r="CO69" s="444">
        <f t="shared" si="33"/>
        <v>0</v>
      </c>
      <c r="CP69" s="444">
        <f t="shared" si="33"/>
        <v>0</v>
      </c>
      <c r="CQ69" s="444">
        <f t="shared" si="33"/>
        <v>0</v>
      </c>
      <c r="CR69" s="444">
        <f t="shared" si="33"/>
        <v>0</v>
      </c>
      <c r="CS69" s="444">
        <f t="shared" si="33"/>
        <v>0</v>
      </c>
      <c r="CT69" s="444">
        <f t="shared" si="33"/>
        <v>0</v>
      </c>
      <c r="CU69" s="444">
        <f t="shared" si="33"/>
        <v>0</v>
      </c>
      <c r="CV69" s="444">
        <f t="shared" si="33"/>
        <v>0</v>
      </c>
      <c r="CW69" s="444">
        <f t="shared" si="33"/>
        <v>0</v>
      </c>
      <c r="CX69" s="444">
        <f t="shared" si="33"/>
        <v>0</v>
      </c>
      <c r="CY69" s="444">
        <f t="shared" si="33"/>
        <v>0</v>
      </c>
      <c r="CZ69" s="444">
        <f t="shared" si="33"/>
        <v>0</v>
      </c>
      <c r="DA69" s="444">
        <f t="shared" si="33"/>
        <v>0</v>
      </c>
      <c r="DB69" s="444">
        <f t="shared" si="33"/>
        <v>0</v>
      </c>
      <c r="DC69" s="444">
        <f t="shared" si="33"/>
        <v>0</v>
      </c>
      <c r="DD69" s="444">
        <f t="shared" si="33"/>
        <v>0</v>
      </c>
      <c r="DE69" s="444">
        <f t="shared" si="33"/>
        <v>0</v>
      </c>
      <c r="DF69" s="444">
        <f t="shared" si="33"/>
        <v>0</v>
      </c>
      <c r="DG69" s="444">
        <f t="shared" si="33"/>
        <v>0</v>
      </c>
      <c r="DH69" s="444">
        <f t="shared" si="33"/>
        <v>0</v>
      </c>
      <c r="DI69" s="444">
        <f t="shared" si="33"/>
        <v>0</v>
      </c>
      <c r="DJ69" s="444">
        <f t="shared" si="33"/>
        <v>0</v>
      </c>
      <c r="DK69" s="444">
        <f t="shared" si="33"/>
        <v>0</v>
      </c>
      <c r="DL69" s="444">
        <f t="shared" si="33"/>
        <v>0</v>
      </c>
      <c r="DM69" s="444">
        <f t="shared" si="33"/>
        <v>0</v>
      </c>
      <c r="DN69" s="444">
        <f t="shared" si="33"/>
        <v>0</v>
      </c>
      <c r="DO69" s="444">
        <f t="shared" si="33"/>
        <v>0</v>
      </c>
      <c r="DP69" s="444">
        <f t="shared" si="33"/>
        <v>0</v>
      </c>
      <c r="DQ69" s="444">
        <f t="shared" si="33"/>
        <v>0</v>
      </c>
      <c r="DR69" s="444">
        <f t="shared" si="33"/>
        <v>0</v>
      </c>
      <c r="DS69" s="444">
        <f t="shared" si="33"/>
        <v>0</v>
      </c>
      <c r="DT69" s="444">
        <f t="shared" si="33"/>
        <v>0</v>
      </c>
      <c r="DU69" s="444">
        <f t="shared" si="33"/>
        <v>0</v>
      </c>
      <c r="DV69" s="444">
        <f t="shared" si="33"/>
        <v>0</v>
      </c>
      <c r="DW69" s="322" t="s">
        <v>372</v>
      </c>
    </row>
    <row r="70" spans="3:127" ht="17.25" hidden="1" outlineLevel="1" thickTop="1" x14ac:dyDescent="0.3"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0"/>
      <c r="Q70" s="360"/>
      <c r="R70" s="360"/>
      <c r="S70" s="360"/>
      <c r="T70" s="360"/>
      <c r="U70" s="360"/>
      <c r="V70" s="360"/>
      <c r="W70" s="360"/>
      <c r="X70" s="360"/>
      <c r="Y70" s="360"/>
      <c r="Z70" s="360"/>
      <c r="AA70" s="360"/>
      <c r="AB70" s="360"/>
      <c r="AC70" s="360"/>
      <c r="AD70" s="360"/>
      <c r="AE70" s="360"/>
      <c r="AF70" s="360"/>
      <c r="AG70" s="360"/>
      <c r="AH70" s="360"/>
      <c r="AI70" s="360"/>
      <c r="AJ70" s="360"/>
      <c r="AK70" s="360"/>
      <c r="AL70" s="360"/>
      <c r="AM70" s="360"/>
      <c r="AN70" s="360"/>
      <c r="AO70" s="360"/>
      <c r="AP70" s="360"/>
      <c r="AQ70" s="360"/>
      <c r="AR70" s="360"/>
      <c r="AS70" s="360"/>
      <c r="AT70" s="360"/>
      <c r="AU70" s="360"/>
      <c r="AV70" s="360"/>
      <c r="AW70" s="360"/>
      <c r="AX70" s="360"/>
      <c r="AY70" s="360"/>
      <c r="AZ70" s="360"/>
      <c r="BA70" s="360"/>
      <c r="BB70" s="360"/>
      <c r="BC70" s="360"/>
      <c r="BD70" s="360"/>
      <c r="BE70" s="360"/>
      <c r="BF70" s="360"/>
      <c r="BG70" s="360"/>
      <c r="BH70" s="360"/>
      <c r="BI70" s="360"/>
      <c r="BJ70" s="360"/>
      <c r="BK70" s="360"/>
      <c r="BL70" s="360"/>
      <c r="BM70" s="360"/>
      <c r="BN70" s="360"/>
      <c r="BO70" s="360"/>
      <c r="BP70" s="360"/>
      <c r="BQ70" s="360"/>
      <c r="BR70" s="360"/>
      <c r="BS70" s="360"/>
      <c r="BT70" s="360"/>
      <c r="BU70" s="360"/>
      <c r="BV70" s="360"/>
      <c r="BW70" s="360"/>
      <c r="BX70" s="360"/>
      <c r="BY70" s="360"/>
      <c r="BZ70" s="360"/>
      <c r="CA70" s="360"/>
      <c r="CB70" s="360"/>
      <c r="CC70" s="360"/>
      <c r="CD70" s="360"/>
      <c r="CE70" s="360"/>
      <c r="CF70" s="360"/>
      <c r="CG70" s="360"/>
      <c r="CH70" s="360"/>
      <c r="CI70" s="360"/>
      <c r="CJ70" s="360"/>
      <c r="CK70" s="360"/>
      <c r="CL70" s="360"/>
      <c r="CM70" s="360"/>
      <c r="CN70" s="360"/>
      <c r="CO70" s="360"/>
      <c r="CP70" s="360"/>
      <c r="CQ70" s="360"/>
      <c r="CR70" s="360"/>
      <c r="CS70" s="360"/>
      <c r="CT70" s="360"/>
      <c r="CU70" s="360"/>
      <c r="CV70" s="360"/>
      <c r="CW70" s="360"/>
      <c r="CX70" s="360"/>
      <c r="CY70" s="360"/>
      <c r="CZ70" s="360"/>
      <c r="DA70" s="360"/>
      <c r="DB70" s="360"/>
      <c r="DC70" s="360"/>
      <c r="DD70" s="360"/>
      <c r="DE70" s="360"/>
      <c r="DF70" s="360"/>
      <c r="DG70" s="360"/>
      <c r="DH70" s="360"/>
      <c r="DI70" s="360"/>
      <c r="DJ70" s="360"/>
      <c r="DK70" s="360"/>
      <c r="DL70" s="360"/>
      <c r="DM70" s="360"/>
      <c r="DN70" s="360"/>
      <c r="DO70" s="360"/>
      <c r="DP70" s="360"/>
      <c r="DQ70" s="360"/>
      <c r="DR70" s="360"/>
      <c r="DS70" s="360"/>
      <c r="DT70" s="360"/>
      <c r="DU70" s="360"/>
      <c r="DV70" s="360"/>
      <c r="DW70" s="322" t="s">
        <v>372</v>
      </c>
    </row>
    <row r="71" spans="3:127" hidden="1" outlineLevel="1" x14ac:dyDescent="0.3">
      <c r="C71" s="416" t="str">
        <f>I37&amp;" Returns"</f>
        <v>Granite Park Returns</v>
      </c>
      <c r="D71" s="417"/>
      <c r="E71" s="360"/>
      <c r="F71" s="360"/>
      <c r="G71" s="418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/>
      <c r="AH71" s="360"/>
      <c r="AI71" s="360"/>
      <c r="AJ71" s="360"/>
      <c r="AK71" s="360"/>
      <c r="AL71" s="360"/>
      <c r="AM71" s="360"/>
      <c r="AN71" s="360"/>
      <c r="AO71" s="360"/>
      <c r="AP71" s="360"/>
      <c r="AQ71" s="360"/>
      <c r="AR71" s="360"/>
      <c r="AS71" s="360"/>
      <c r="AT71" s="360"/>
      <c r="AU71" s="360"/>
      <c r="AV71" s="360"/>
      <c r="AW71" s="360"/>
      <c r="AX71" s="360"/>
      <c r="AY71" s="360"/>
      <c r="AZ71" s="360"/>
      <c r="BA71" s="360"/>
      <c r="BB71" s="360"/>
      <c r="BC71" s="360"/>
      <c r="BD71" s="360"/>
      <c r="BE71" s="360"/>
      <c r="BF71" s="360"/>
      <c r="BG71" s="360"/>
      <c r="BH71" s="360"/>
      <c r="BI71" s="360"/>
      <c r="BJ71" s="360"/>
      <c r="BK71" s="360"/>
      <c r="BL71" s="360"/>
      <c r="BM71" s="360"/>
      <c r="BN71" s="360"/>
      <c r="BO71" s="360"/>
      <c r="BP71" s="360"/>
      <c r="BQ71" s="360"/>
      <c r="BR71" s="360"/>
      <c r="BS71" s="360"/>
      <c r="BT71" s="360"/>
      <c r="BU71" s="360"/>
      <c r="BV71" s="360"/>
      <c r="BW71" s="360"/>
      <c r="BX71" s="360"/>
      <c r="BY71" s="360"/>
      <c r="BZ71" s="360"/>
      <c r="CA71" s="360"/>
      <c r="CB71" s="360"/>
      <c r="CC71" s="360"/>
      <c r="CD71" s="360"/>
      <c r="CE71" s="360"/>
      <c r="CF71" s="360"/>
      <c r="CG71" s="360"/>
      <c r="CH71" s="360"/>
      <c r="CI71" s="360"/>
      <c r="CJ71" s="360"/>
      <c r="CK71" s="360"/>
      <c r="CL71" s="360"/>
      <c r="CM71" s="360"/>
      <c r="CN71" s="360"/>
      <c r="CO71" s="360"/>
      <c r="CP71" s="360"/>
      <c r="CQ71" s="360"/>
      <c r="CR71" s="360"/>
      <c r="CS71" s="360"/>
      <c r="CT71" s="360"/>
      <c r="CU71" s="360"/>
      <c r="CV71" s="360"/>
      <c r="CW71" s="360"/>
      <c r="CX71" s="360"/>
      <c r="CY71" s="360"/>
      <c r="CZ71" s="360"/>
      <c r="DA71" s="360"/>
      <c r="DB71" s="360"/>
      <c r="DC71" s="360"/>
      <c r="DD71" s="360"/>
      <c r="DE71" s="360"/>
      <c r="DF71" s="360"/>
      <c r="DG71" s="360"/>
      <c r="DH71" s="360"/>
      <c r="DI71" s="360"/>
      <c r="DJ71" s="360"/>
      <c r="DK71" s="360"/>
      <c r="DL71" s="360"/>
      <c r="DM71" s="360"/>
      <c r="DN71" s="360"/>
      <c r="DO71" s="360"/>
      <c r="DP71" s="360"/>
      <c r="DQ71" s="360"/>
      <c r="DR71" s="360"/>
      <c r="DS71" s="360"/>
      <c r="DT71" s="360"/>
      <c r="DU71" s="360"/>
      <c r="DV71" s="360"/>
      <c r="DW71" s="322" t="s">
        <v>372</v>
      </c>
    </row>
    <row r="72" spans="3:127" hidden="1" outlineLevel="1" x14ac:dyDescent="0.3">
      <c r="C72" s="421" t="s">
        <v>291</v>
      </c>
      <c r="D72" s="422">
        <f ca="1">XIRR(F69:DV69,$F$9:$DV$9)</f>
        <v>0.24423472285270692</v>
      </c>
      <c r="F72" s="360"/>
      <c r="G72" s="445"/>
      <c r="H72" s="360"/>
      <c r="I72" s="360"/>
      <c r="J72" s="360"/>
      <c r="K72" s="360"/>
      <c r="L72" s="360"/>
      <c r="M72" s="360"/>
      <c r="N72" s="360"/>
      <c r="O72" s="360"/>
      <c r="P72" s="360"/>
      <c r="Q72" s="360"/>
      <c r="R72" s="360"/>
      <c r="S72" s="360"/>
      <c r="T72" s="360"/>
      <c r="U72" s="360"/>
      <c r="V72" s="360"/>
      <c r="W72" s="360"/>
      <c r="X72" s="360"/>
      <c r="Y72" s="360"/>
      <c r="Z72" s="360"/>
      <c r="AA72" s="360"/>
      <c r="AB72" s="360"/>
      <c r="AC72" s="360"/>
      <c r="AD72" s="360"/>
      <c r="AE72" s="360"/>
      <c r="AF72" s="360"/>
      <c r="AG72" s="360"/>
      <c r="AH72" s="360"/>
      <c r="AI72" s="360"/>
      <c r="AJ72" s="360"/>
      <c r="AK72" s="360"/>
      <c r="AL72" s="360"/>
      <c r="AM72" s="360"/>
      <c r="AN72" s="360"/>
      <c r="AO72" s="360"/>
      <c r="AP72" s="360"/>
      <c r="AQ72" s="360"/>
      <c r="AR72" s="360"/>
      <c r="AS72" s="360"/>
      <c r="AT72" s="360"/>
      <c r="AU72" s="360"/>
      <c r="AV72" s="360"/>
      <c r="AW72" s="360"/>
      <c r="AX72" s="360"/>
      <c r="AY72" s="360"/>
      <c r="AZ72" s="360"/>
      <c r="BA72" s="360"/>
      <c r="BB72" s="360"/>
      <c r="BC72" s="360"/>
      <c r="BD72" s="360"/>
      <c r="BE72" s="360"/>
      <c r="BF72" s="360"/>
      <c r="BG72" s="360"/>
      <c r="BH72" s="360"/>
      <c r="BI72" s="360"/>
      <c r="BJ72" s="360"/>
      <c r="BK72" s="360"/>
      <c r="BL72" s="360"/>
      <c r="BM72" s="360"/>
      <c r="BN72" s="360"/>
      <c r="BO72" s="360"/>
      <c r="BP72" s="360"/>
      <c r="BQ72" s="360"/>
      <c r="BR72" s="360"/>
      <c r="BS72" s="360"/>
      <c r="BT72" s="360"/>
      <c r="BU72" s="360"/>
      <c r="BV72" s="360"/>
      <c r="BW72" s="360"/>
      <c r="BX72" s="360"/>
      <c r="BY72" s="360"/>
      <c r="BZ72" s="360"/>
      <c r="CA72" s="360"/>
      <c r="CB72" s="360"/>
      <c r="CC72" s="360"/>
      <c r="CD72" s="360"/>
      <c r="CE72" s="360"/>
      <c r="CF72" s="360"/>
      <c r="CG72" s="360"/>
      <c r="CH72" s="360"/>
      <c r="CI72" s="360"/>
      <c r="CJ72" s="360"/>
      <c r="CK72" s="360"/>
      <c r="CL72" s="360"/>
      <c r="CM72" s="360"/>
      <c r="CN72" s="360"/>
      <c r="CO72" s="360"/>
      <c r="CP72" s="360"/>
      <c r="CQ72" s="360"/>
      <c r="CR72" s="360"/>
      <c r="CS72" s="360"/>
      <c r="CT72" s="360"/>
      <c r="CU72" s="360"/>
      <c r="CV72" s="360"/>
      <c r="CW72" s="360"/>
      <c r="CX72" s="360"/>
      <c r="CY72" s="360"/>
      <c r="CZ72" s="360"/>
      <c r="DA72" s="360"/>
      <c r="DB72" s="360"/>
      <c r="DC72" s="360"/>
      <c r="DD72" s="360"/>
      <c r="DE72" s="360"/>
      <c r="DF72" s="360"/>
      <c r="DG72" s="360"/>
      <c r="DH72" s="360"/>
      <c r="DI72" s="360"/>
      <c r="DJ72" s="360"/>
      <c r="DK72" s="360"/>
      <c r="DL72" s="360"/>
      <c r="DM72" s="360"/>
      <c r="DN72" s="360"/>
      <c r="DO72" s="360"/>
      <c r="DP72" s="360"/>
      <c r="DQ72" s="360"/>
      <c r="DR72" s="360"/>
      <c r="DS72" s="360"/>
      <c r="DT72" s="360"/>
      <c r="DU72" s="360"/>
      <c r="DV72" s="360"/>
      <c r="DW72" s="322" t="s">
        <v>372</v>
      </c>
    </row>
    <row r="73" spans="3:127" hidden="1" outlineLevel="1" x14ac:dyDescent="0.3">
      <c r="C73" s="426" t="s">
        <v>349</v>
      </c>
      <c r="D73" s="427">
        <f>SUM(F69:DV69)</f>
        <v>741376.1843563458</v>
      </c>
      <c r="F73" s="360"/>
      <c r="G73" s="446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360"/>
      <c r="S73" s="360"/>
      <c r="T73" s="360"/>
      <c r="U73" s="360"/>
      <c r="V73" s="360"/>
      <c r="W73" s="360"/>
      <c r="X73" s="360"/>
      <c r="Y73" s="360"/>
      <c r="Z73" s="360"/>
      <c r="AA73" s="360"/>
      <c r="AB73" s="360"/>
      <c r="AC73" s="360"/>
      <c r="AD73" s="360"/>
      <c r="AE73" s="360"/>
      <c r="AF73" s="360"/>
      <c r="AG73" s="360"/>
      <c r="AH73" s="360"/>
      <c r="AI73" s="360"/>
      <c r="AJ73" s="360"/>
      <c r="AK73" s="360"/>
      <c r="AL73" s="360"/>
      <c r="AM73" s="360"/>
      <c r="AN73" s="360"/>
      <c r="AO73" s="360"/>
      <c r="AP73" s="360"/>
      <c r="AQ73" s="360"/>
      <c r="AR73" s="360"/>
      <c r="AS73" s="360"/>
      <c r="AT73" s="360"/>
      <c r="AU73" s="360"/>
      <c r="AV73" s="360"/>
      <c r="AW73" s="360"/>
      <c r="AX73" s="360"/>
      <c r="AY73" s="360"/>
      <c r="AZ73" s="360"/>
      <c r="BA73" s="360"/>
      <c r="BB73" s="360"/>
      <c r="BC73" s="360"/>
      <c r="BD73" s="360"/>
      <c r="BE73" s="360"/>
      <c r="BF73" s="360"/>
      <c r="BG73" s="360"/>
      <c r="BH73" s="360"/>
      <c r="BI73" s="360"/>
      <c r="BJ73" s="360"/>
      <c r="BK73" s="360"/>
      <c r="BL73" s="360"/>
      <c r="BM73" s="360"/>
      <c r="BN73" s="360"/>
      <c r="BO73" s="360"/>
      <c r="BP73" s="360"/>
      <c r="BQ73" s="360"/>
      <c r="BR73" s="360"/>
      <c r="BS73" s="360"/>
      <c r="BT73" s="360"/>
      <c r="BU73" s="360"/>
      <c r="BV73" s="360"/>
      <c r="BW73" s="360"/>
      <c r="BX73" s="360"/>
      <c r="BY73" s="360"/>
      <c r="BZ73" s="360"/>
      <c r="CA73" s="360"/>
      <c r="CB73" s="360"/>
      <c r="CC73" s="360"/>
      <c r="CD73" s="360"/>
      <c r="CE73" s="360"/>
      <c r="CF73" s="360"/>
      <c r="CG73" s="360"/>
      <c r="CH73" s="360"/>
      <c r="CI73" s="360"/>
      <c r="CJ73" s="360"/>
      <c r="CK73" s="360"/>
      <c r="CL73" s="360"/>
      <c r="CM73" s="360"/>
      <c r="CN73" s="360"/>
      <c r="CO73" s="360"/>
      <c r="CP73" s="360"/>
      <c r="CQ73" s="360"/>
      <c r="CR73" s="360"/>
      <c r="CS73" s="360"/>
      <c r="CT73" s="360"/>
      <c r="CU73" s="360"/>
      <c r="CV73" s="360"/>
      <c r="CW73" s="360"/>
      <c r="CX73" s="360"/>
      <c r="CY73" s="360"/>
      <c r="CZ73" s="360"/>
      <c r="DA73" s="360"/>
      <c r="DB73" s="360"/>
      <c r="DC73" s="360"/>
      <c r="DD73" s="360"/>
      <c r="DE73" s="360"/>
      <c r="DF73" s="360"/>
      <c r="DG73" s="360"/>
      <c r="DH73" s="360"/>
      <c r="DI73" s="360"/>
      <c r="DJ73" s="360"/>
      <c r="DK73" s="360"/>
      <c r="DL73" s="360"/>
      <c r="DM73" s="360"/>
      <c r="DN73" s="360"/>
      <c r="DO73" s="360"/>
      <c r="DP73" s="360"/>
      <c r="DQ73" s="360"/>
      <c r="DR73" s="360"/>
      <c r="DS73" s="360"/>
      <c r="DT73" s="360"/>
      <c r="DU73" s="360"/>
      <c r="DV73" s="360"/>
      <c r="DW73" s="322" t="s">
        <v>372</v>
      </c>
    </row>
    <row r="74" spans="3:127" hidden="1" outlineLevel="1" x14ac:dyDescent="0.3">
      <c r="C74" s="426" t="s">
        <v>348</v>
      </c>
      <c r="D74" s="431" cm="1">
        <f t="array" ref="D74">SUMPRODUCT(--($F$69:$DV$69&gt;0),$F$69:$DV$69)/-SUMPRODUCT(--($F$69:$DV$69&lt;0),$F$69:$DV$69)</f>
        <v>2.6267168060479342</v>
      </c>
      <c r="F74" s="360"/>
      <c r="G74" s="447"/>
      <c r="H74" s="360"/>
      <c r="I74" s="360"/>
      <c r="J74" s="360"/>
      <c r="K74" s="360"/>
      <c r="L74" s="360"/>
      <c r="M74" s="360"/>
      <c r="N74" s="360"/>
      <c r="O74" s="360"/>
      <c r="P74" s="360"/>
      <c r="Q74" s="360"/>
      <c r="R74" s="360"/>
      <c r="S74" s="360"/>
      <c r="T74" s="360"/>
      <c r="U74" s="360"/>
      <c r="V74" s="360"/>
      <c r="W74" s="360"/>
      <c r="X74" s="360"/>
      <c r="Y74" s="360"/>
      <c r="Z74" s="360"/>
      <c r="AA74" s="360"/>
      <c r="AB74" s="360"/>
      <c r="AC74" s="360"/>
      <c r="AD74" s="360"/>
      <c r="AE74" s="360"/>
      <c r="AF74" s="360"/>
      <c r="AG74" s="360"/>
      <c r="AH74" s="360"/>
      <c r="AI74" s="360"/>
      <c r="AJ74" s="360"/>
      <c r="AK74" s="360"/>
      <c r="AL74" s="360"/>
      <c r="AM74" s="360"/>
      <c r="AN74" s="360"/>
      <c r="AO74" s="360"/>
      <c r="AP74" s="360"/>
      <c r="AQ74" s="360"/>
      <c r="AR74" s="360"/>
      <c r="AS74" s="360"/>
      <c r="AT74" s="360"/>
      <c r="AU74" s="360"/>
      <c r="AV74" s="360"/>
      <c r="AW74" s="360"/>
      <c r="AX74" s="360"/>
      <c r="AY74" s="360"/>
      <c r="AZ74" s="360"/>
      <c r="BA74" s="360"/>
      <c r="BB74" s="360"/>
      <c r="BC74" s="360"/>
      <c r="BD74" s="360"/>
      <c r="BE74" s="360"/>
      <c r="BF74" s="360"/>
      <c r="BG74" s="360"/>
      <c r="BH74" s="360"/>
      <c r="BI74" s="360"/>
      <c r="BJ74" s="360"/>
      <c r="BK74" s="360"/>
      <c r="BL74" s="360"/>
      <c r="BM74" s="360"/>
      <c r="BN74" s="360"/>
      <c r="BO74" s="360"/>
      <c r="BP74" s="360"/>
      <c r="BQ74" s="360"/>
      <c r="BR74" s="360"/>
      <c r="BS74" s="360"/>
      <c r="BT74" s="360"/>
      <c r="BU74" s="360"/>
      <c r="BV74" s="360"/>
      <c r="BW74" s="360"/>
      <c r="BX74" s="360"/>
      <c r="BY74" s="360"/>
      <c r="BZ74" s="360"/>
      <c r="CA74" s="360"/>
      <c r="CB74" s="360"/>
      <c r="CC74" s="360"/>
      <c r="CD74" s="360"/>
      <c r="CE74" s="360"/>
      <c r="CF74" s="360"/>
      <c r="CG74" s="360"/>
      <c r="CH74" s="360"/>
      <c r="CI74" s="360"/>
      <c r="CJ74" s="360"/>
      <c r="CK74" s="360"/>
      <c r="CL74" s="360"/>
      <c r="CM74" s="360"/>
      <c r="CN74" s="360"/>
      <c r="CO74" s="360"/>
      <c r="CP74" s="360"/>
      <c r="CQ74" s="360"/>
      <c r="CR74" s="360"/>
      <c r="CS74" s="360"/>
      <c r="CT74" s="360"/>
      <c r="CU74" s="360"/>
      <c r="CV74" s="360"/>
      <c r="CW74" s="360"/>
      <c r="CX74" s="360"/>
      <c r="CY74" s="360"/>
      <c r="CZ74" s="360"/>
      <c r="DA74" s="360"/>
      <c r="DB74" s="360"/>
      <c r="DC74" s="360"/>
      <c r="DD74" s="360"/>
      <c r="DE74" s="360"/>
      <c r="DF74" s="360"/>
      <c r="DG74" s="360"/>
      <c r="DH74" s="360"/>
      <c r="DI74" s="360"/>
      <c r="DJ74" s="360"/>
      <c r="DK74" s="360"/>
      <c r="DL74" s="360"/>
      <c r="DM74" s="360"/>
      <c r="DN74" s="360"/>
      <c r="DO74" s="360"/>
      <c r="DP74" s="360"/>
      <c r="DQ74" s="360"/>
      <c r="DR74" s="360"/>
      <c r="DS74" s="360"/>
      <c r="DT74" s="360"/>
      <c r="DU74" s="360"/>
      <c r="DV74" s="360"/>
      <c r="DW74" s="322" t="s">
        <v>372</v>
      </c>
    </row>
    <row r="75" spans="3:127" hidden="1" outlineLevel="1" x14ac:dyDescent="0.3">
      <c r="C75" s="363" t="s">
        <v>392</v>
      </c>
      <c r="D75" s="435">
        <f>D73/SUM(D81,D77)</f>
        <v>0.29409087678837931</v>
      </c>
      <c r="F75" s="360"/>
      <c r="G75" s="448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360"/>
      <c r="AB75" s="360"/>
      <c r="AC75" s="360"/>
      <c r="AD75" s="360"/>
      <c r="AE75" s="360"/>
      <c r="AF75" s="360"/>
      <c r="AG75" s="360"/>
      <c r="AH75" s="360"/>
      <c r="AI75" s="360"/>
      <c r="AJ75" s="360"/>
      <c r="AK75" s="360"/>
      <c r="AL75" s="360"/>
      <c r="AM75" s="360"/>
      <c r="AN75" s="360"/>
      <c r="AO75" s="360"/>
      <c r="AP75" s="360"/>
      <c r="AQ75" s="360"/>
      <c r="AR75" s="360"/>
      <c r="AS75" s="360"/>
      <c r="AT75" s="360"/>
      <c r="AU75" s="360"/>
      <c r="AV75" s="360"/>
      <c r="AW75" s="360"/>
      <c r="AX75" s="360"/>
      <c r="AY75" s="360"/>
      <c r="AZ75" s="360"/>
      <c r="BA75" s="360"/>
      <c r="BB75" s="360"/>
      <c r="BC75" s="360"/>
      <c r="BD75" s="360"/>
      <c r="BE75" s="360"/>
      <c r="BF75" s="360"/>
      <c r="BG75" s="360"/>
      <c r="BH75" s="360"/>
      <c r="BI75" s="360"/>
      <c r="BJ75" s="360"/>
      <c r="BK75" s="360"/>
      <c r="BL75" s="360"/>
      <c r="BM75" s="360"/>
      <c r="BN75" s="360"/>
      <c r="BO75" s="360"/>
      <c r="BP75" s="360"/>
      <c r="BQ75" s="360"/>
      <c r="BR75" s="360"/>
      <c r="BS75" s="360"/>
      <c r="BT75" s="360"/>
      <c r="BU75" s="360"/>
      <c r="BV75" s="360"/>
      <c r="BW75" s="360"/>
      <c r="BX75" s="360"/>
      <c r="BY75" s="360"/>
      <c r="BZ75" s="360"/>
      <c r="CA75" s="360"/>
      <c r="CB75" s="360"/>
      <c r="CC75" s="360"/>
      <c r="CD75" s="360"/>
      <c r="CE75" s="360"/>
      <c r="CF75" s="360"/>
      <c r="CG75" s="360"/>
      <c r="CH75" s="360"/>
      <c r="CI75" s="360"/>
      <c r="CJ75" s="360"/>
      <c r="CK75" s="360"/>
      <c r="CL75" s="360"/>
      <c r="CM75" s="360"/>
      <c r="CN75" s="360"/>
      <c r="CO75" s="360"/>
      <c r="CP75" s="360"/>
      <c r="CQ75" s="360"/>
      <c r="CR75" s="360"/>
      <c r="CS75" s="360"/>
      <c r="CT75" s="360"/>
      <c r="CU75" s="360"/>
      <c r="CV75" s="360"/>
      <c r="CW75" s="360"/>
      <c r="CX75" s="360"/>
      <c r="CY75" s="360"/>
      <c r="CZ75" s="360"/>
      <c r="DA75" s="360"/>
      <c r="DB75" s="360"/>
      <c r="DC75" s="360"/>
      <c r="DD75" s="360"/>
      <c r="DE75" s="360"/>
      <c r="DF75" s="360"/>
      <c r="DG75" s="360"/>
      <c r="DH75" s="360"/>
      <c r="DI75" s="360"/>
      <c r="DJ75" s="360"/>
      <c r="DK75" s="360"/>
      <c r="DL75" s="360"/>
      <c r="DM75" s="360"/>
      <c r="DN75" s="360"/>
      <c r="DO75" s="360"/>
      <c r="DP75" s="360"/>
      <c r="DQ75" s="360"/>
      <c r="DR75" s="360"/>
      <c r="DS75" s="360"/>
      <c r="DT75" s="360"/>
      <c r="DU75" s="360"/>
      <c r="DV75" s="360"/>
      <c r="DW75" s="322" t="s">
        <v>372</v>
      </c>
    </row>
    <row r="76" spans="3:127" hidden="1" outlineLevel="1" x14ac:dyDescent="0.3">
      <c r="C76" s="449"/>
      <c r="D76" s="449"/>
    </row>
    <row r="77" spans="3:127" hidden="1" outlineLevel="1" x14ac:dyDescent="0.3">
      <c r="C77" s="374" t="s">
        <v>368</v>
      </c>
      <c r="D77" s="450">
        <f>SUM(F77:DV77)</f>
        <v>-1823000</v>
      </c>
      <c r="F77" s="451">
        <f t="shared" ref="F77:AK77" si="34">IF($C$27=1,IF(F20&lt;0,F20,0),IF(F13&lt;0,F13,0))</f>
        <v>-1823000</v>
      </c>
      <c r="G77" s="451">
        <f t="shared" si="34"/>
        <v>0</v>
      </c>
      <c r="H77" s="451">
        <f t="shared" si="34"/>
        <v>0</v>
      </c>
      <c r="I77" s="451">
        <f t="shared" si="34"/>
        <v>0</v>
      </c>
      <c r="J77" s="451">
        <f t="shared" si="34"/>
        <v>0</v>
      </c>
      <c r="K77" s="451">
        <f t="shared" si="34"/>
        <v>0</v>
      </c>
      <c r="L77" s="451">
        <f t="shared" si="34"/>
        <v>0</v>
      </c>
      <c r="M77" s="451">
        <f t="shared" si="34"/>
        <v>0</v>
      </c>
      <c r="N77" s="451">
        <f t="shared" si="34"/>
        <v>0</v>
      </c>
      <c r="O77" s="451">
        <f t="shared" si="34"/>
        <v>0</v>
      </c>
      <c r="P77" s="451">
        <f t="shared" si="34"/>
        <v>0</v>
      </c>
      <c r="Q77" s="451">
        <f t="shared" si="34"/>
        <v>0</v>
      </c>
      <c r="R77" s="451">
        <f t="shared" si="34"/>
        <v>0</v>
      </c>
      <c r="S77" s="451">
        <f t="shared" si="34"/>
        <v>0</v>
      </c>
      <c r="T77" s="451">
        <f t="shared" si="34"/>
        <v>0</v>
      </c>
      <c r="U77" s="451">
        <f t="shared" si="34"/>
        <v>0</v>
      </c>
      <c r="V77" s="451">
        <f t="shared" si="34"/>
        <v>0</v>
      </c>
      <c r="W77" s="451">
        <f t="shared" si="34"/>
        <v>0</v>
      </c>
      <c r="X77" s="451">
        <f t="shared" si="34"/>
        <v>0</v>
      </c>
      <c r="Y77" s="451">
        <f t="shared" si="34"/>
        <v>0</v>
      </c>
      <c r="Z77" s="451">
        <f t="shared" si="34"/>
        <v>0</v>
      </c>
      <c r="AA77" s="451">
        <f t="shared" si="34"/>
        <v>0</v>
      </c>
      <c r="AB77" s="451">
        <f t="shared" si="34"/>
        <v>0</v>
      </c>
      <c r="AC77" s="451">
        <f t="shared" si="34"/>
        <v>0</v>
      </c>
      <c r="AD77" s="451">
        <f t="shared" si="34"/>
        <v>0</v>
      </c>
      <c r="AE77" s="451">
        <f t="shared" si="34"/>
        <v>0</v>
      </c>
      <c r="AF77" s="451">
        <f t="shared" si="34"/>
        <v>0</v>
      </c>
      <c r="AG77" s="451">
        <f t="shared" si="34"/>
        <v>0</v>
      </c>
      <c r="AH77" s="451">
        <f t="shared" si="34"/>
        <v>0</v>
      </c>
      <c r="AI77" s="451">
        <f t="shared" si="34"/>
        <v>0</v>
      </c>
      <c r="AJ77" s="451">
        <f t="shared" si="34"/>
        <v>0</v>
      </c>
      <c r="AK77" s="451">
        <f t="shared" si="34"/>
        <v>0</v>
      </c>
      <c r="AL77" s="451">
        <f t="shared" ref="AL77:BQ77" si="35">IF($C$27=1,IF(AL20&lt;0,AL20,0),IF(AL13&lt;0,AL13,0))</f>
        <v>0</v>
      </c>
      <c r="AM77" s="451">
        <f t="shared" si="35"/>
        <v>0</v>
      </c>
      <c r="AN77" s="451">
        <f t="shared" si="35"/>
        <v>0</v>
      </c>
      <c r="AO77" s="451">
        <f t="shared" si="35"/>
        <v>0</v>
      </c>
      <c r="AP77" s="451">
        <f t="shared" si="35"/>
        <v>0</v>
      </c>
      <c r="AQ77" s="451">
        <f t="shared" si="35"/>
        <v>0</v>
      </c>
      <c r="AR77" s="451">
        <f t="shared" si="35"/>
        <v>0</v>
      </c>
      <c r="AS77" s="451">
        <f t="shared" si="35"/>
        <v>0</v>
      </c>
      <c r="AT77" s="451">
        <f t="shared" si="35"/>
        <v>0</v>
      </c>
      <c r="AU77" s="451">
        <f t="shared" si="35"/>
        <v>0</v>
      </c>
      <c r="AV77" s="451">
        <f t="shared" si="35"/>
        <v>0</v>
      </c>
      <c r="AW77" s="451">
        <f t="shared" si="35"/>
        <v>0</v>
      </c>
      <c r="AX77" s="451">
        <f t="shared" si="35"/>
        <v>0</v>
      </c>
      <c r="AY77" s="451">
        <f t="shared" si="35"/>
        <v>0</v>
      </c>
      <c r="AZ77" s="451">
        <f t="shared" si="35"/>
        <v>0</v>
      </c>
      <c r="BA77" s="451">
        <f t="shared" si="35"/>
        <v>0</v>
      </c>
      <c r="BB77" s="451">
        <f t="shared" si="35"/>
        <v>0</v>
      </c>
      <c r="BC77" s="451">
        <f t="shared" si="35"/>
        <v>0</v>
      </c>
      <c r="BD77" s="451">
        <f t="shared" si="35"/>
        <v>0</v>
      </c>
      <c r="BE77" s="451">
        <f t="shared" si="35"/>
        <v>0</v>
      </c>
      <c r="BF77" s="451">
        <f t="shared" si="35"/>
        <v>0</v>
      </c>
      <c r="BG77" s="451">
        <f t="shared" si="35"/>
        <v>0</v>
      </c>
      <c r="BH77" s="451">
        <f t="shared" si="35"/>
        <v>0</v>
      </c>
      <c r="BI77" s="451">
        <f t="shared" si="35"/>
        <v>0</v>
      </c>
      <c r="BJ77" s="451">
        <f t="shared" si="35"/>
        <v>0</v>
      </c>
      <c r="BK77" s="451">
        <f t="shared" si="35"/>
        <v>0</v>
      </c>
      <c r="BL77" s="451">
        <f t="shared" si="35"/>
        <v>0</v>
      </c>
      <c r="BM77" s="451">
        <f t="shared" si="35"/>
        <v>0</v>
      </c>
      <c r="BN77" s="451">
        <f t="shared" si="35"/>
        <v>0</v>
      </c>
      <c r="BO77" s="451">
        <f t="shared" si="35"/>
        <v>0</v>
      </c>
      <c r="BP77" s="451">
        <f t="shared" si="35"/>
        <v>0</v>
      </c>
      <c r="BQ77" s="451">
        <f t="shared" si="35"/>
        <v>0</v>
      </c>
      <c r="BR77" s="451">
        <f t="shared" ref="BR77:CW77" si="36">IF($C$27=1,IF(BR20&lt;0,BR20,0),IF(BR13&lt;0,BR13,0))</f>
        <v>0</v>
      </c>
      <c r="BS77" s="451">
        <f t="shared" si="36"/>
        <v>0</v>
      </c>
      <c r="BT77" s="451">
        <f t="shared" si="36"/>
        <v>0</v>
      </c>
      <c r="BU77" s="451">
        <f t="shared" si="36"/>
        <v>0</v>
      </c>
      <c r="BV77" s="451">
        <f t="shared" si="36"/>
        <v>0</v>
      </c>
      <c r="BW77" s="451">
        <f t="shared" si="36"/>
        <v>0</v>
      </c>
      <c r="BX77" s="451">
        <f t="shared" si="36"/>
        <v>0</v>
      </c>
      <c r="BY77" s="451">
        <f t="shared" si="36"/>
        <v>0</v>
      </c>
      <c r="BZ77" s="451">
        <f t="shared" si="36"/>
        <v>0</v>
      </c>
      <c r="CA77" s="451">
        <f t="shared" si="36"/>
        <v>0</v>
      </c>
      <c r="CB77" s="451">
        <f t="shared" si="36"/>
        <v>0</v>
      </c>
      <c r="CC77" s="451">
        <f t="shared" si="36"/>
        <v>0</v>
      </c>
      <c r="CD77" s="451">
        <f t="shared" si="36"/>
        <v>0</v>
      </c>
      <c r="CE77" s="451">
        <f t="shared" si="36"/>
        <v>0</v>
      </c>
      <c r="CF77" s="451">
        <f t="shared" si="36"/>
        <v>0</v>
      </c>
      <c r="CG77" s="451">
        <f t="shared" si="36"/>
        <v>0</v>
      </c>
      <c r="CH77" s="451">
        <f t="shared" si="36"/>
        <v>0</v>
      </c>
      <c r="CI77" s="451">
        <f t="shared" si="36"/>
        <v>0</v>
      </c>
      <c r="CJ77" s="451">
        <f t="shared" si="36"/>
        <v>0</v>
      </c>
      <c r="CK77" s="451">
        <f t="shared" si="36"/>
        <v>0</v>
      </c>
      <c r="CL77" s="451">
        <f t="shared" si="36"/>
        <v>0</v>
      </c>
      <c r="CM77" s="451">
        <f t="shared" si="36"/>
        <v>0</v>
      </c>
      <c r="CN77" s="451">
        <f t="shared" si="36"/>
        <v>0</v>
      </c>
      <c r="CO77" s="451">
        <f t="shared" si="36"/>
        <v>0</v>
      </c>
      <c r="CP77" s="451">
        <f t="shared" si="36"/>
        <v>0</v>
      </c>
      <c r="CQ77" s="451">
        <f t="shared" si="36"/>
        <v>0</v>
      </c>
      <c r="CR77" s="451">
        <f t="shared" si="36"/>
        <v>0</v>
      </c>
      <c r="CS77" s="451">
        <f t="shared" si="36"/>
        <v>0</v>
      </c>
      <c r="CT77" s="451">
        <f t="shared" si="36"/>
        <v>0</v>
      </c>
      <c r="CU77" s="451">
        <f t="shared" si="36"/>
        <v>0</v>
      </c>
      <c r="CV77" s="451">
        <f t="shared" si="36"/>
        <v>0</v>
      </c>
      <c r="CW77" s="451">
        <f t="shared" si="36"/>
        <v>0</v>
      </c>
      <c r="CX77" s="451">
        <f t="shared" ref="CX77:DV77" si="37">IF($C$27=1,IF(CX20&lt;0,CX20,0),IF(CX13&lt;0,CX13,0))</f>
        <v>0</v>
      </c>
      <c r="CY77" s="451">
        <f t="shared" si="37"/>
        <v>0</v>
      </c>
      <c r="CZ77" s="451">
        <f t="shared" si="37"/>
        <v>0</v>
      </c>
      <c r="DA77" s="451">
        <f t="shared" si="37"/>
        <v>0</v>
      </c>
      <c r="DB77" s="451">
        <f t="shared" si="37"/>
        <v>0</v>
      </c>
      <c r="DC77" s="451">
        <f t="shared" si="37"/>
        <v>0</v>
      </c>
      <c r="DD77" s="451">
        <f t="shared" si="37"/>
        <v>0</v>
      </c>
      <c r="DE77" s="451">
        <f t="shared" si="37"/>
        <v>0</v>
      </c>
      <c r="DF77" s="451">
        <f t="shared" si="37"/>
        <v>0</v>
      </c>
      <c r="DG77" s="451">
        <f t="shared" si="37"/>
        <v>0</v>
      </c>
      <c r="DH77" s="451">
        <f t="shared" si="37"/>
        <v>0</v>
      </c>
      <c r="DI77" s="451">
        <f t="shared" si="37"/>
        <v>0</v>
      </c>
      <c r="DJ77" s="451">
        <f t="shared" si="37"/>
        <v>0</v>
      </c>
      <c r="DK77" s="451">
        <f t="shared" si="37"/>
        <v>0</v>
      </c>
      <c r="DL77" s="451">
        <f t="shared" si="37"/>
        <v>0</v>
      </c>
      <c r="DM77" s="451">
        <f t="shared" si="37"/>
        <v>0</v>
      </c>
      <c r="DN77" s="451">
        <f t="shared" si="37"/>
        <v>0</v>
      </c>
      <c r="DO77" s="451">
        <f t="shared" si="37"/>
        <v>0</v>
      </c>
      <c r="DP77" s="451">
        <f t="shared" si="37"/>
        <v>0</v>
      </c>
      <c r="DQ77" s="451">
        <f t="shared" si="37"/>
        <v>0</v>
      </c>
      <c r="DR77" s="451">
        <f t="shared" si="37"/>
        <v>0</v>
      </c>
      <c r="DS77" s="451">
        <f t="shared" si="37"/>
        <v>0</v>
      </c>
      <c r="DT77" s="451">
        <f t="shared" si="37"/>
        <v>0</v>
      </c>
      <c r="DU77" s="451">
        <f t="shared" si="37"/>
        <v>0</v>
      </c>
      <c r="DV77" s="451">
        <f t="shared" si="37"/>
        <v>0</v>
      </c>
      <c r="DW77" s="322" t="s">
        <v>372</v>
      </c>
    </row>
    <row r="78" spans="3:127" hidden="1" outlineLevel="1" x14ac:dyDescent="0.3">
      <c r="C78" s="452" t="str">
        <f>H37</f>
        <v>LP</v>
      </c>
      <c r="D78" s="453">
        <f>SUM(F78:DV78)</f>
        <v>-1367250</v>
      </c>
      <c r="F78" s="412">
        <f t="shared" ref="F78:BQ78" si="38">F77*$D$31</f>
        <v>-1367250</v>
      </c>
      <c r="G78" s="412">
        <f t="shared" si="38"/>
        <v>0</v>
      </c>
      <c r="H78" s="412">
        <f t="shared" si="38"/>
        <v>0</v>
      </c>
      <c r="I78" s="412">
        <f t="shared" si="38"/>
        <v>0</v>
      </c>
      <c r="J78" s="412">
        <f t="shared" si="38"/>
        <v>0</v>
      </c>
      <c r="K78" s="412">
        <f t="shared" si="38"/>
        <v>0</v>
      </c>
      <c r="L78" s="412">
        <f t="shared" si="38"/>
        <v>0</v>
      </c>
      <c r="M78" s="412">
        <f t="shared" si="38"/>
        <v>0</v>
      </c>
      <c r="N78" s="412">
        <f t="shared" si="38"/>
        <v>0</v>
      </c>
      <c r="O78" s="412">
        <f t="shared" si="38"/>
        <v>0</v>
      </c>
      <c r="P78" s="412">
        <f t="shared" si="38"/>
        <v>0</v>
      </c>
      <c r="Q78" s="412">
        <f t="shared" si="38"/>
        <v>0</v>
      </c>
      <c r="R78" s="412">
        <f t="shared" si="38"/>
        <v>0</v>
      </c>
      <c r="S78" s="412">
        <f t="shared" si="38"/>
        <v>0</v>
      </c>
      <c r="T78" s="412">
        <f t="shared" si="38"/>
        <v>0</v>
      </c>
      <c r="U78" s="412">
        <f t="shared" si="38"/>
        <v>0</v>
      </c>
      <c r="V78" s="412">
        <f t="shared" si="38"/>
        <v>0</v>
      </c>
      <c r="W78" s="412">
        <f t="shared" si="38"/>
        <v>0</v>
      </c>
      <c r="X78" s="412">
        <f t="shared" si="38"/>
        <v>0</v>
      </c>
      <c r="Y78" s="412">
        <f t="shared" si="38"/>
        <v>0</v>
      </c>
      <c r="Z78" s="412">
        <f t="shared" si="38"/>
        <v>0</v>
      </c>
      <c r="AA78" s="412">
        <f t="shared" si="38"/>
        <v>0</v>
      </c>
      <c r="AB78" s="412">
        <f t="shared" si="38"/>
        <v>0</v>
      </c>
      <c r="AC78" s="412">
        <f t="shared" si="38"/>
        <v>0</v>
      </c>
      <c r="AD78" s="412">
        <f t="shared" si="38"/>
        <v>0</v>
      </c>
      <c r="AE78" s="412">
        <f t="shared" si="38"/>
        <v>0</v>
      </c>
      <c r="AF78" s="412">
        <f t="shared" si="38"/>
        <v>0</v>
      </c>
      <c r="AG78" s="412">
        <f t="shared" si="38"/>
        <v>0</v>
      </c>
      <c r="AH78" s="412">
        <f t="shared" si="38"/>
        <v>0</v>
      </c>
      <c r="AI78" s="412">
        <f t="shared" si="38"/>
        <v>0</v>
      </c>
      <c r="AJ78" s="412">
        <f t="shared" si="38"/>
        <v>0</v>
      </c>
      <c r="AK78" s="412">
        <f t="shared" si="38"/>
        <v>0</v>
      </c>
      <c r="AL78" s="412">
        <f t="shared" si="38"/>
        <v>0</v>
      </c>
      <c r="AM78" s="412">
        <f t="shared" si="38"/>
        <v>0</v>
      </c>
      <c r="AN78" s="412">
        <f t="shared" si="38"/>
        <v>0</v>
      </c>
      <c r="AO78" s="412">
        <f t="shared" si="38"/>
        <v>0</v>
      </c>
      <c r="AP78" s="412">
        <f t="shared" si="38"/>
        <v>0</v>
      </c>
      <c r="AQ78" s="412">
        <f t="shared" si="38"/>
        <v>0</v>
      </c>
      <c r="AR78" s="412">
        <f t="shared" si="38"/>
        <v>0</v>
      </c>
      <c r="AS78" s="412">
        <f t="shared" si="38"/>
        <v>0</v>
      </c>
      <c r="AT78" s="412">
        <f t="shared" si="38"/>
        <v>0</v>
      </c>
      <c r="AU78" s="412">
        <f t="shared" si="38"/>
        <v>0</v>
      </c>
      <c r="AV78" s="412">
        <f t="shared" si="38"/>
        <v>0</v>
      </c>
      <c r="AW78" s="412">
        <f t="shared" si="38"/>
        <v>0</v>
      </c>
      <c r="AX78" s="412">
        <f t="shared" si="38"/>
        <v>0</v>
      </c>
      <c r="AY78" s="412">
        <f t="shared" si="38"/>
        <v>0</v>
      </c>
      <c r="AZ78" s="412">
        <f t="shared" si="38"/>
        <v>0</v>
      </c>
      <c r="BA78" s="412">
        <f t="shared" si="38"/>
        <v>0</v>
      </c>
      <c r="BB78" s="412">
        <f t="shared" si="38"/>
        <v>0</v>
      </c>
      <c r="BC78" s="412">
        <f t="shared" si="38"/>
        <v>0</v>
      </c>
      <c r="BD78" s="412">
        <f t="shared" si="38"/>
        <v>0</v>
      </c>
      <c r="BE78" s="412">
        <f t="shared" si="38"/>
        <v>0</v>
      </c>
      <c r="BF78" s="412">
        <f t="shared" si="38"/>
        <v>0</v>
      </c>
      <c r="BG78" s="412">
        <f t="shared" si="38"/>
        <v>0</v>
      </c>
      <c r="BH78" s="412">
        <f t="shared" si="38"/>
        <v>0</v>
      </c>
      <c r="BI78" s="412">
        <f t="shared" si="38"/>
        <v>0</v>
      </c>
      <c r="BJ78" s="412">
        <f t="shared" si="38"/>
        <v>0</v>
      </c>
      <c r="BK78" s="412">
        <f t="shared" si="38"/>
        <v>0</v>
      </c>
      <c r="BL78" s="412">
        <f t="shared" si="38"/>
        <v>0</v>
      </c>
      <c r="BM78" s="412">
        <f t="shared" si="38"/>
        <v>0</v>
      </c>
      <c r="BN78" s="412">
        <f t="shared" si="38"/>
        <v>0</v>
      </c>
      <c r="BO78" s="412">
        <f t="shared" si="38"/>
        <v>0</v>
      </c>
      <c r="BP78" s="412">
        <f t="shared" si="38"/>
        <v>0</v>
      </c>
      <c r="BQ78" s="412">
        <f t="shared" si="38"/>
        <v>0</v>
      </c>
      <c r="BR78" s="412">
        <f t="shared" ref="BR78:DV78" si="39">BR77*$D$31</f>
        <v>0</v>
      </c>
      <c r="BS78" s="412">
        <f t="shared" si="39"/>
        <v>0</v>
      </c>
      <c r="BT78" s="412">
        <f t="shared" si="39"/>
        <v>0</v>
      </c>
      <c r="BU78" s="412">
        <f t="shared" si="39"/>
        <v>0</v>
      </c>
      <c r="BV78" s="412">
        <f t="shared" si="39"/>
        <v>0</v>
      </c>
      <c r="BW78" s="412">
        <f t="shared" si="39"/>
        <v>0</v>
      </c>
      <c r="BX78" s="412">
        <f t="shared" si="39"/>
        <v>0</v>
      </c>
      <c r="BY78" s="412">
        <f t="shared" si="39"/>
        <v>0</v>
      </c>
      <c r="BZ78" s="412">
        <f t="shared" si="39"/>
        <v>0</v>
      </c>
      <c r="CA78" s="412">
        <f t="shared" si="39"/>
        <v>0</v>
      </c>
      <c r="CB78" s="412">
        <f t="shared" si="39"/>
        <v>0</v>
      </c>
      <c r="CC78" s="412">
        <f t="shared" si="39"/>
        <v>0</v>
      </c>
      <c r="CD78" s="412">
        <f t="shared" si="39"/>
        <v>0</v>
      </c>
      <c r="CE78" s="412">
        <f t="shared" si="39"/>
        <v>0</v>
      </c>
      <c r="CF78" s="412">
        <f t="shared" si="39"/>
        <v>0</v>
      </c>
      <c r="CG78" s="412">
        <f t="shared" si="39"/>
        <v>0</v>
      </c>
      <c r="CH78" s="412">
        <f t="shared" si="39"/>
        <v>0</v>
      </c>
      <c r="CI78" s="412">
        <f t="shared" si="39"/>
        <v>0</v>
      </c>
      <c r="CJ78" s="412">
        <f t="shared" si="39"/>
        <v>0</v>
      </c>
      <c r="CK78" s="412">
        <f t="shared" si="39"/>
        <v>0</v>
      </c>
      <c r="CL78" s="412">
        <f t="shared" si="39"/>
        <v>0</v>
      </c>
      <c r="CM78" s="412">
        <f t="shared" si="39"/>
        <v>0</v>
      </c>
      <c r="CN78" s="412">
        <f t="shared" si="39"/>
        <v>0</v>
      </c>
      <c r="CO78" s="412">
        <f t="shared" si="39"/>
        <v>0</v>
      </c>
      <c r="CP78" s="412">
        <f t="shared" si="39"/>
        <v>0</v>
      </c>
      <c r="CQ78" s="412">
        <f t="shared" si="39"/>
        <v>0</v>
      </c>
      <c r="CR78" s="412">
        <f t="shared" si="39"/>
        <v>0</v>
      </c>
      <c r="CS78" s="412">
        <f t="shared" si="39"/>
        <v>0</v>
      </c>
      <c r="CT78" s="412">
        <f t="shared" si="39"/>
        <v>0</v>
      </c>
      <c r="CU78" s="412">
        <f t="shared" si="39"/>
        <v>0</v>
      </c>
      <c r="CV78" s="412">
        <f t="shared" si="39"/>
        <v>0</v>
      </c>
      <c r="CW78" s="412">
        <f t="shared" si="39"/>
        <v>0</v>
      </c>
      <c r="CX78" s="412">
        <f t="shared" si="39"/>
        <v>0</v>
      </c>
      <c r="CY78" s="412">
        <f t="shared" si="39"/>
        <v>0</v>
      </c>
      <c r="CZ78" s="412">
        <f t="shared" si="39"/>
        <v>0</v>
      </c>
      <c r="DA78" s="412">
        <f t="shared" si="39"/>
        <v>0</v>
      </c>
      <c r="DB78" s="412">
        <f t="shared" si="39"/>
        <v>0</v>
      </c>
      <c r="DC78" s="412">
        <f t="shared" si="39"/>
        <v>0</v>
      </c>
      <c r="DD78" s="412">
        <f t="shared" si="39"/>
        <v>0</v>
      </c>
      <c r="DE78" s="412">
        <f t="shared" si="39"/>
        <v>0</v>
      </c>
      <c r="DF78" s="412">
        <f t="shared" si="39"/>
        <v>0</v>
      </c>
      <c r="DG78" s="412">
        <f t="shared" si="39"/>
        <v>0</v>
      </c>
      <c r="DH78" s="412">
        <f t="shared" si="39"/>
        <v>0</v>
      </c>
      <c r="DI78" s="412">
        <f t="shared" si="39"/>
        <v>0</v>
      </c>
      <c r="DJ78" s="412">
        <f t="shared" si="39"/>
        <v>0</v>
      </c>
      <c r="DK78" s="412">
        <f t="shared" si="39"/>
        <v>0</v>
      </c>
      <c r="DL78" s="412">
        <f t="shared" si="39"/>
        <v>0</v>
      </c>
      <c r="DM78" s="412">
        <f t="shared" si="39"/>
        <v>0</v>
      </c>
      <c r="DN78" s="412">
        <f t="shared" si="39"/>
        <v>0</v>
      </c>
      <c r="DO78" s="412">
        <f t="shared" si="39"/>
        <v>0</v>
      </c>
      <c r="DP78" s="412">
        <f t="shared" si="39"/>
        <v>0</v>
      </c>
      <c r="DQ78" s="412">
        <f t="shared" si="39"/>
        <v>0</v>
      </c>
      <c r="DR78" s="412">
        <f t="shared" si="39"/>
        <v>0</v>
      </c>
      <c r="DS78" s="412">
        <f t="shared" si="39"/>
        <v>0</v>
      </c>
      <c r="DT78" s="412">
        <f t="shared" si="39"/>
        <v>0</v>
      </c>
      <c r="DU78" s="412">
        <f t="shared" si="39"/>
        <v>0</v>
      </c>
      <c r="DV78" s="412">
        <f t="shared" si="39"/>
        <v>0</v>
      </c>
      <c r="DW78" s="322" t="s">
        <v>372</v>
      </c>
    </row>
    <row r="79" spans="3:127" hidden="1" outlineLevel="1" x14ac:dyDescent="0.3">
      <c r="C79" s="452" t="str">
        <f>I37</f>
        <v>Granite Park</v>
      </c>
      <c r="D79" s="453">
        <f>SUM(F79:DV79)</f>
        <v>-455750</v>
      </c>
      <c r="F79" s="412">
        <f t="shared" ref="F79:BQ79" si="40">F77*$D$32</f>
        <v>-455750</v>
      </c>
      <c r="G79" s="412">
        <f t="shared" si="40"/>
        <v>0</v>
      </c>
      <c r="H79" s="412">
        <f t="shared" si="40"/>
        <v>0</v>
      </c>
      <c r="I79" s="412">
        <f t="shared" si="40"/>
        <v>0</v>
      </c>
      <c r="J79" s="412">
        <f t="shared" si="40"/>
        <v>0</v>
      </c>
      <c r="K79" s="412">
        <f t="shared" si="40"/>
        <v>0</v>
      </c>
      <c r="L79" s="412">
        <f t="shared" si="40"/>
        <v>0</v>
      </c>
      <c r="M79" s="412">
        <f t="shared" si="40"/>
        <v>0</v>
      </c>
      <c r="N79" s="412">
        <f t="shared" si="40"/>
        <v>0</v>
      </c>
      <c r="O79" s="412">
        <f t="shared" si="40"/>
        <v>0</v>
      </c>
      <c r="P79" s="412">
        <f t="shared" si="40"/>
        <v>0</v>
      </c>
      <c r="Q79" s="412">
        <f t="shared" si="40"/>
        <v>0</v>
      </c>
      <c r="R79" s="412">
        <f t="shared" si="40"/>
        <v>0</v>
      </c>
      <c r="S79" s="412">
        <f t="shared" si="40"/>
        <v>0</v>
      </c>
      <c r="T79" s="412">
        <f t="shared" si="40"/>
        <v>0</v>
      </c>
      <c r="U79" s="412">
        <f t="shared" si="40"/>
        <v>0</v>
      </c>
      <c r="V79" s="412">
        <f t="shared" si="40"/>
        <v>0</v>
      </c>
      <c r="W79" s="412">
        <f t="shared" si="40"/>
        <v>0</v>
      </c>
      <c r="X79" s="412">
        <f t="shared" si="40"/>
        <v>0</v>
      </c>
      <c r="Y79" s="412">
        <f t="shared" si="40"/>
        <v>0</v>
      </c>
      <c r="Z79" s="412">
        <f t="shared" si="40"/>
        <v>0</v>
      </c>
      <c r="AA79" s="412">
        <f t="shared" si="40"/>
        <v>0</v>
      </c>
      <c r="AB79" s="412">
        <f t="shared" si="40"/>
        <v>0</v>
      </c>
      <c r="AC79" s="412">
        <f t="shared" si="40"/>
        <v>0</v>
      </c>
      <c r="AD79" s="412">
        <f t="shared" si="40"/>
        <v>0</v>
      </c>
      <c r="AE79" s="412">
        <f t="shared" si="40"/>
        <v>0</v>
      </c>
      <c r="AF79" s="412">
        <f t="shared" si="40"/>
        <v>0</v>
      </c>
      <c r="AG79" s="412">
        <f t="shared" si="40"/>
        <v>0</v>
      </c>
      <c r="AH79" s="412">
        <f t="shared" si="40"/>
        <v>0</v>
      </c>
      <c r="AI79" s="412">
        <f t="shared" si="40"/>
        <v>0</v>
      </c>
      <c r="AJ79" s="412">
        <f t="shared" si="40"/>
        <v>0</v>
      </c>
      <c r="AK79" s="412">
        <f t="shared" si="40"/>
        <v>0</v>
      </c>
      <c r="AL79" s="412">
        <f t="shared" si="40"/>
        <v>0</v>
      </c>
      <c r="AM79" s="412">
        <f t="shared" si="40"/>
        <v>0</v>
      </c>
      <c r="AN79" s="412">
        <f t="shared" si="40"/>
        <v>0</v>
      </c>
      <c r="AO79" s="412">
        <f t="shared" si="40"/>
        <v>0</v>
      </c>
      <c r="AP79" s="412">
        <f t="shared" si="40"/>
        <v>0</v>
      </c>
      <c r="AQ79" s="412">
        <f t="shared" si="40"/>
        <v>0</v>
      </c>
      <c r="AR79" s="412">
        <f t="shared" si="40"/>
        <v>0</v>
      </c>
      <c r="AS79" s="412">
        <f t="shared" si="40"/>
        <v>0</v>
      </c>
      <c r="AT79" s="412">
        <f t="shared" si="40"/>
        <v>0</v>
      </c>
      <c r="AU79" s="412">
        <f t="shared" si="40"/>
        <v>0</v>
      </c>
      <c r="AV79" s="412">
        <f t="shared" si="40"/>
        <v>0</v>
      </c>
      <c r="AW79" s="412">
        <f t="shared" si="40"/>
        <v>0</v>
      </c>
      <c r="AX79" s="412">
        <f t="shared" si="40"/>
        <v>0</v>
      </c>
      <c r="AY79" s="412">
        <f t="shared" si="40"/>
        <v>0</v>
      </c>
      <c r="AZ79" s="412">
        <f t="shared" si="40"/>
        <v>0</v>
      </c>
      <c r="BA79" s="412">
        <f t="shared" si="40"/>
        <v>0</v>
      </c>
      <c r="BB79" s="412">
        <f t="shared" si="40"/>
        <v>0</v>
      </c>
      <c r="BC79" s="412">
        <f t="shared" si="40"/>
        <v>0</v>
      </c>
      <c r="BD79" s="412">
        <f t="shared" si="40"/>
        <v>0</v>
      </c>
      <c r="BE79" s="412">
        <f t="shared" si="40"/>
        <v>0</v>
      </c>
      <c r="BF79" s="412">
        <f t="shared" si="40"/>
        <v>0</v>
      </c>
      <c r="BG79" s="412">
        <f t="shared" si="40"/>
        <v>0</v>
      </c>
      <c r="BH79" s="412">
        <f t="shared" si="40"/>
        <v>0</v>
      </c>
      <c r="BI79" s="412">
        <f t="shared" si="40"/>
        <v>0</v>
      </c>
      <c r="BJ79" s="412">
        <f t="shared" si="40"/>
        <v>0</v>
      </c>
      <c r="BK79" s="412">
        <f t="shared" si="40"/>
        <v>0</v>
      </c>
      <c r="BL79" s="412">
        <f t="shared" si="40"/>
        <v>0</v>
      </c>
      <c r="BM79" s="412">
        <f t="shared" si="40"/>
        <v>0</v>
      </c>
      <c r="BN79" s="412">
        <f t="shared" si="40"/>
        <v>0</v>
      </c>
      <c r="BO79" s="412">
        <f t="shared" si="40"/>
        <v>0</v>
      </c>
      <c r="BP79" s="412">
        <f t="shared" si="40"/>
        <v>0</v>
      </c>
      <c r="BQ79" s="412">
        <f t="shared" si="40"/>
        <v>0</v>
      </c>
      <c r="BR79" s="412">
        <f t="shared" ref="BR79:DV79" si="41">BR77*$D$32</f>
        <v>0</v>
      </c>
      <c r="BS79" s="412">
        <f t="shared" si="41"/>
        <v>0</v>
      </c>
      <c r="BT79" s="412">
        <f t="shared" si="41"/>
        <v>0</v>
      </c>
      <c r="BU79" s="412">
        <f t="shared" si="41"/>
        <v>0</v>
      </c>
      <c r="BV79" s="412">
        <f t="shared" si="41"/>
        <v>0</v>
      </c>
      <c r="BW79" s="412">
        <f t="shared" si="41"/>
        <v>0</v>
      </c>
      <c r="BX79" s="412">
        <f t="shared" si="41"/>
        <v>0</v>
      </c>
      <c r="BY79" s="412">
        <f t="shared" si="41"/>
        <v>0</v>
      </c>
      <c r="BZ79" s="412">
        <f t="shared" si="41"/>
        <v>0</v>
      </c>
      <c r="CA79" s="412">
        <f t="shared" si="41"/>
        <v>0</v>
      </c>
      <c r="CB79" s="412">
        <f t="shared" si="41"/>
        <v>0</v>
      </c>
      <c r="CC79" s="412">
        <f t="shared" si="41"/>
        <v>0</v>
      </c>
      <c r="CD79" s="412">
        <f t="shared" si="41"/>
        <v>0</v>
      </c>
      <c r="CE79" s="412">
        <f t="shared" si="41"/>
        <v>0</v>
      </c>
      <c r="CF79" s="412">
        <f t="shared" si="41"/>
        <v>0</v>
      </c>
      <c r="CG79" s="412">
        <f t="shared" si="41"/>
        <v>0</v>
      </c>
      <c r="CH79" s="412">
        <f t="shared" si="41"/>
        <v>0</v>
      </c>
      <c r="CI79" s="412">
        <f t="shared" si="41"/>
        <v>0</v>
      </c>
      <c r="CJ79" s="412">
        <f t="shared" si="41"/>
        <v>0</v>
      </c>
      <c r="CK79" s="412">
        <f t="shared" si="41"/>
        <v>0</v>
      </c>
      <c r="CL79" s="412">
        <f t="shared" si="41"/>
        <v>0</v>
      </c>
      <c r="CM79" s="412">
        <f t="shared" si="41"/>
        <v>0</v>
      </c>
      <c r="CN79" s="412">
        <f t="shared" si="41"/>
        <v>0</v>
      </c>
      <c r="CO79" s="412">
        <f t="shared" si="41"/>
        <v>0</v>
      </c>
      <c r="CP79" s="412">
        <f t="shared" si="41"/>
        <v>0</v>
      </c>
      <c r="CQ79" s="412">
        <f t="shared" si="41"/>
        <v>0</v>
      </c>
      <c r="CR79" s="412">
        <f t="shared" si="41"/>
        <v>0</v>
      </c>
      <c r="CS79" s="412">
        <f t="shared" si="41"/>
        <v>0</v>
      </c>
      <c r="CT79" s="412">
        <f t="shared" si="41"/>
        <v>0</v>
      </c>
      <c r="CU79" s="412">
        <f t="shared" si="41"/>
        <v>0</v>
      </c>
      <c r="CV79" s="412">
        <f t="shared" si="41"/>
        <v>0</v>
      </c>
      <c r="CW79" s="412">
        <f t="shared" si="41"/>
        <v>0</v>
      </c>
      <c r="CX79" s="412">
        <f t="shared" si="41"/>
        <v>0</v>
      </c>
      <c r="CY79" s="412">
        <f t="shared" si="41"/>
        <v>0</v>
      </c>
      <c r="CZ79" s="412">
        <f t="shared" si="41"/>
        <v>0</v>
      </c>
      <c r="DA79" s="412">
        <f t="shared" si="41"/>
        <v>0</v>
      </c>
      <c r="DB79" s="412">
        <f t="shared" si="41"/>
        <v>0</v>
      </c>
      <c r="DC79" s="412">
        <f t="shared" si="41"/>
        <v>0</v>
      </c>
      <c r="DD79" s="412">
        <f t="shared" si="41"/>
        <v>0</v>
      </c>
      <c r="DE79" s="412">
        <f t="shared" si="41"/>
        <v>0</v>
      </c>
      <c r="DF79" s="412">
        <f t="shared" si="41"/>
        <v>0</v>
      </c>
      <c r="DG79" s="412">
        <f t="shared" si="41"/>
        <v>0</v>
      </c>
      <c r="DH79" s="412">
        <f t="shared" si="41"/>
        <v>0</v>
      </c>
      <c r="DI79" s="412">
        <f t="shared" si="41"/>
        <v>0</v>
      </c>
      <c r="DJ79" s="412">
        <f t="shared" si="41"/>
        <v>0</v>
      </c>
      <c r="DK79" s="412">
        <f t="shared" si="41"/>
        <v>0</v>
      </c>
      <c r="DL79" s="412">
        <f t="shared" si="41"/>
        <v>0</v>
      </c>
      <c r="DM79" s="412">
        <f t="shared" si="41"/>
        <v>0</v>
      </c>
      <c r="DN79" s="412">
        <f t="shared" si="41"/>
        <v>0</v>
      </c>
      <c r="DO79" s="412">
        <f t="shared" si="41"/>
        <v>0</v>
      </c>
      <c r="DP79" s="412">
        <f t="shared" si="41"/>
        <v>0</v>
      </c>
      <c r="DQ79" s="412">
        <f t="shared" si="41"/>
        <v>0</v>
      </c>
      <c r="DR79" s="412">
        <f t="shared" si="41"/>
        <v>0</v>
      </c>
      <c r="DS79" s="412">
        <f t="shared" si="41"/>
        <v>0</v>
      </c>
      <c r="DT79" s="412">
        <f t="shared" si="41"/>
        <v>0</v>
      </c>
      <c r="DU79" s="412">
        <f t="shared" si="41"/>
        <v>0</v>
      </c>
      <c r="DV79" s="412">
        <f t="shared" si="41"/>
        <v>0</v>
      </c>
      <c r="DW79" s="322" t="s">
        <v>372</v>
      </c>
    </row>
    <row r="80" spans="3:127" hidden="1" outlineLevel="1" x14ac:dyDescent="0.3">
      <c r="C80" s="360"/>
      <c r="D80" s="454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  <c r="AA80" s="360"/>
      <c r="AB80" s="360"/>
      <c r="AC80" s="360"/>
      <c r="AD80" s="360"/>
      <c r="AE80" s="360"/>
      <c r="AF80" s="360"/>
      <c r="AG80" s="360"/>
      <c r="AH80" s="360"/>
      <c r="AI80" s="360"/>
      <c r="AJ80" s="360"/>
      <c r="AK80" s="360"/>
      <c r="AL80" s="360"/>
      <c r="AM80" s="360"/>
      <c r="AN80" s="360"/>
      <c r="AO80" s="360"/>
      <c r="AP80" s="360"/>
      <c r="AQ80" s="360"/>
      <c r="AR80" s="360"/>
      <c r="AS80" s="360"/>
      <c r="AT80" s="360"/>
      <c r="AU80" s="360"/>
      <c r="AV80" s="360"/>
      <c r="AW80" s="360"/>
      <c r="AX80" s="360"/>
      <c r="AY80" s="360"/>
      <c r="AZ80" s="360"/>
      <c r="BA80" s="360"/>
      <c r="BB80" s="360"/>
      <c r="BC80" s="360"/>
      <c r="BD80" s="360"/>
      <c r="BE80" s="360"/>
      <c r="BF80" s="360"/>
      <c r="BG80" s="360"/>
      <c r="BH80" s="360"/>
      <c r="BI80" s="360"/>
      <c r="BJ80" s="360"/>
      <c r="BK80" s="360"/>
      <c r="BL80" s="360"/>
      <c r="BM80" s="360"/>
      <c r="BN80" s="360"/>
      <c r="BO80" s="360"/>
      <c r="BP80" s="360"/>
      <c r="BQ80" s="360"/>
      <c r="BR80" s="360"/>
      <c r="BS80" s="360"/>
      <c r="BT80" s="360"/>
      <c r="BU80" s="360"/>
      <c r="BV80" s="360"/>
      <c r="BW80" s="360"/>
      <c r="BX80" s="360"/>
      <c r="BY80" s="360"/>
      <c r="BZ80" s="360"/>
      <c r="CA80" s="360"/>
      <c r="CB80" s="360"/>
      <c r="CC80" s="360"/>
      <c r="CD80" s="360"/>
      <c r="CE80" s="360"/>
      <c r="CF80" s="360"/>
      <c r="CG80" s="360"/>
      <c r="CH80" s="360"/>
      <c r="CI80" s="360"/>
      <c r="CJ80" s="360"/>
      <c r="CK80" s="360"/>
      <c r="CL80" s="360"/>
      <c r="CM80" s="360"/>
      <c r="CN80" s="360"/>
      <c r="CO80" s="360"/>
      <c r="CP80" s="360"/>
      <c r="CQ80" s="360"/>
      <c r="CR80" s="360"/>
      <c r="CS80" s="360"/>
      <c r="CT80" s="360"/>
      <c r="CU80" s="360"/>
      <c r="CV80" s="360"/>
      <c r="CW80" s="360"/>
      <c r="CX80" s="360"/>
      <c r="CY80" s="360"/>
      <c r="CZ80" s="360"/>
      <c r="DA80" s="360"/>
      <c r="DB80" s="360"/>
      <c r="DC80" s="360"/>
      <c r="DD80" s="360"/>
      <c r="DE80" s="360"/>
      <c r="DF80" s="360"/>
      <c r="DG80" s="360"/>
      <c r="DH80" s="360"/>
      <c r="DI80" s="360"/>
      <c r="DJ80" s="360"/>
      <c r="DK80" s="360"/>
      <c r="DL80" s="360"/>
      <c r="DM80" s="360"/>
      <c r="DN80" s="360"/>
      <c r="DO80" s="360"/>
      <c r="DP80" s="360"/>
      <c r="DQ80" s="360"/>
      <c r="DR80" s="360"/>
      <c r="DS80" s="360"/>
      <c r="DT80" s="360"/>
      <c r="DU80" s="360"/>
      <c r="DV80" s="360"/>
      <c r="DW80" s="322" t="s">
        <v>372</v>
      </c>
    </row>
    <row r="81" spans="3:127" hidden="1" outlineLevel="1" x14ac:dyDescent="0.3">
      <c r="C81" s="455" t="s">
        <v>397</v>
      </c>
      <c r="D81" s="456">
        <f>SUM(F81:DV81)</f>
        <v>4343908.4771773526</v>
      </c>
      <c r="F81" s="457">
        <f t="shared" ref="F81:AK81" si="42">IF($C$27=1,IF(F20&gt;0,F20,0),IF(F13&gt;0,F13,0))</f>
        <v>0</v>
      </c>
      <c r="G81" s="457">
        <f t="shared" si="42"/>
        <v>12874.165833333333</v>
      </c>
      <c r="H81" s="457">
        <f t="shared" si="42"/>
        <v>12874.165833333333</v>
      </c>
      <c r="I81" s="457">
        <f t="shared" si="42"/>
        <v>12874.165833333333</v>
      </c>
      <c r="J81" s="457">
        <f t="shared" si="42"/>
        <v>12874.165833333333</v>
      </c>
      <c r="K81" s="457">
        <f t="shared" si="42"/>
        <v>12874.165833333333</v>
      </c>
      <c r="L81" s="457">
        <f t="shared" si="42"/>
        <v>12874.165833333333</v>
      </c>
      <c r="M81" s="457">
        <f t="shared" si="42"/>
        <v>12874.165833333333</v>
      </c>
      <c r="N81" s="457">
        <f t="shared" si="42"/>
        <v>12874.165833333333</v>
      </c>
      <c r="O81" s="457">
        <f t="shared" si="42"/>
        <v>12874.165833333333</v>
      </c>
      <c r="P81" s="457">
        <f t="shared" si="42"/>
        <v>12874.165833333333</v>
      </c>
      <c r="Q81" s="457">
        <f t="shared" si="42"/>
        <v>12874.165833333333</v>
      </c>
      <c r="R81" s="457">
        <f t="shared" si="42"/>
        <v>12874.165833333333</v>
      </c>
      <c r="S81" s="457">
        <f t="shared" si="42"/>
        <v>13768.578308333337</v>
      </c>
      <c r="T81" s="457">
        <f t="shared" si="42"/>
        <v>13768.578308333337</v>
      </c>
      <c r="U81" s="457">
        <f t="shared" si="42"/>
        <v>13768.578308333337</v>
      </c>
      <c r="V81" s="457">
        <f t="shared" si="42"/>
        <v>13768.578308333337</v>
      </c>
      <c r="W81" s="457">
        <f t="shared" si="42"/>
        <v>13768.578308333337</v>
      </c>
      <c r="X81" s="457">
        <f t="shared" si="42"/>
        <v>13768.578308333337</v>
      </c>
      <c r="Y81" s="457">
        <f t="shared" si="42"/>
        <v>13768.578308333337</v>
      </c>
      <c r="Z81" s="457">
        <f t="shared" si="42"/>
        <v>13768.578308333337</v>
      </c>
      <c r="AA81" s="457">
        <f t="shared" si="42"/>
        <v>13768.578308333337</v>
      </c>
      <c r="AB81" s="457">
        <f t="shared" si="42"/>
        <v>13768.578308333337</v>
      </c>
      <c r="AC81" s="457">
        <f t="shared" si="42"/>
        <v>13768.578308333337</v>
      </c>
      <c r="AD81" s="457">
        <f t="shared" si="42"/>
        <v>13768.578308333337</v>
      </c>
      <c r="AE81" s="457">
        <f t="shared" si="42"/>
        <v>14689.823157583329</v>
      </c>
      <c r="AF81" s="457">
        <f t="shared" si="42"/>
        <v>14689.823157583329</v>
      </c>
      <c r="AG81" s="457">
        <f t="shared" si="42"/>
        <v>14689.823157583329</v>
      </c>
      <c r="AH81" s="457">
        <f t="shared" si="42"/>
        <v>14689.823157583329</v>
      </c>
      <c r="AI81" s="457">
        <f t="shared" si="42"/>
        <v>14689.823157583329</v>
      </c>
      <c r="AJ81" s="457">
        <f t="shared" si="42"/>
        <v>14689.823157583329</v>
      </c>
      <c r="AK81" s="457">
        <f t="shared" si="42"/>
        <v>14689.823157583329</v>
      </c>
      <c r="AL81" s="457">
        <f t="shared" ref="AL81:BQ81" si="43">IF($C$27=1,IF(AL20&gt;0,AL20,0),IF(AL13&gt;0,AL13,0))</f>
        <v>14689.823157583329</v>
      </c>
      <c r="AM81" s="457">
        <f t="shared" si="43"/>
        <v>14689.823157583329</v>
      </c>
      <c r="AN81" s="457">
        <f t="shared" si="43"/>
        <v>14689.823157583329</v>
      </c>
      <c r="AO81" s="457">
        <f t="shared" si="43"/>
        <v>14689.823157583329</v>
      </c>
      <c r="AP81" s="457">
        <f t="shared" si="43"/>
        <v>14689.823157583329</v>
      </c>
      <c r="AQ81" s="457">
        <f t="shared" si="43"/>
        <v>15638.705352310828</v>
      </c>
      <c r="AR81" s="457">
        <f t="shared" si="43"/>
        <v>15638.705352310828</v>
      </c>
      <c r="AS81" s="457">
        <f t="shared" si="43"/>
        <v>15638.705352310828</v>
      </c>
      <c r="AT81" s="457">
        <f t="shared" si="43"/>
        <v>15638.705352310828</v>
      </c>
      <c r="AU81" s="457">
        <f t="shared" si="43"/>
        <v>15638.705352310828</v>
      </c>
      <c r="AV81" s="457">
        <f t="shared" si="43"/>
        <v>15638.705352310828</v>
      </c>
      <c r="AW81" s="457">
        <f t="shared" si="43"/>
        <v>15638.705352310828</v>
      </c>
      <c r="AX81" s="457">
        <f t="shared" si="43"/>
        <v>15638.705352310828</v>
      </c>
      <c r="AY81" s="457">
        <f t="shared" si="43"/>
        <v>15638.705352310828</v>
      </c>
      <c r="AZ81" s="457">
        <f t="shared" si="43"/>
        <v>15638.705352310828</v>
      </c>
      <c r="BA81" s="457">
        <f t="shared" si="43"/>
        <v>15638.705352310828</v>
      </c>
      <c r="BB81" s="457">
        <f t="shared" si="43"/>
        <v>15638.705352310828</v>
      </c>
      <c r="BC81" s="457">
        <f t="shared" si="43"/>
        <v>8677.1446763268523</v>
      </c>
      <c r="BD81" s="457">
        <f t="shared" si="43"/>
        <v>8677.1446763268523</v>
      </c>
      <c r="BE81" s="457">
        <f t="shared" si="43"/>
        <v>8677.1446763268523</v>
      </c>
      <c r="BF81" s="457">
        <f t="shared" si="43"/>
        <v>8677.1446763268523</v>
      </c>
      <c r="BG81" s="457">
        <f t="shared" si="43"/>
        <v>8677.1446763268523</v>
      </c>
      <c r="BH81" s="457">
        <f t="shared" si="43"/>
        <v>8677.1446763268523</v>
      </c>
      <c r="BI81" s="457">
        <f t="shared" si="43"/>
        <v>8677.1446763268523</v>
      </c>
      <c r="BJ81" s="457">
        <f t="shared" si="43"/>
        <v>8677.1446763268523</v>
      </c>
      <c r="BK81" s="457">
        <f t="shared" si="43"/>
        <v>8677.1446763268523</v>
      </c>
      <c r="BL81" s="457">
        <f t="shared" si="43"/>
        <v>8677.1446763268523</v>
      </c>
      <c r="BM81" s="457">
        <f t="shared" si="43"/>
        <v>8677.1446763268523</v>
      </c>
      <c r="BN81" s="457">
        <f t="shared" si="43"/>
        <v>3564804.6139190271</v>
      </c>
      <c r="BO81" s="457">
        <f t="shared" si="43"/>
        <v>0</v>
      </c>
      <c r="BP81" s="457">
        <f t="shared" si="43"/>
        <v>0</v>
      </c>
      <c r="BQ81" s="457">
        <f t="shared" si="43"/>
        <v>0</v>
      </c>
      <c r="BR81" s="457">
        <f t="shared" ref="BR81:CW81" si="44">IF($C$27=1,IF(BR20&gt;0,BR20,0),IF(BR13&gt;0,BR13,0))</f>
        <v>0</v>
      </c>
      <c r="BS81" s="457">
        <f t="shared" si="44"/>
        <v>0</v>
      </c>
      <c r="BT81" s="457">
        <f t="shared" si="44"/>
        <v>0</v>
      </c>
      <c r="BU81" s="457">
        <f t="shared" si="44"/>
        <v>0</v>
      </c>
      <c r="BV81" s="457">
        <f t="shared" si="44"/>
        <v>0</v>
      </c>
      <c r="BW81" s="457">
        <f t="shared" si="44"/>
        <v>0</v>
      </c>
      <c r="BX81" s="457">
        <f t="shared" si="44"/>
        <v>0</v>
      </c>
      <c r="BY81" s="457">
        <f t="shared" si="44"/>
        <v>0</v>
      </c>
      <c r="BZ81" s="457">
        <f t="shared" si="44"/>
        <v>0</v>
      </c>
      <c r="CA81" s="457">
        <f t="shared" si="44"/>
        <v>0</v>
      </c>
      <c r="CB81" s="457">
        <f t="shared" si="44"/>
        <v>0</v>
      </c>
      <c r="CC81" s="457">
        <f t="shared" si="44"/>
        <v>0</v>
      </c>
      <c r="CD81" s="457">
        <f t="shared" si="44"/>
        <v>0</v>
      </c>
      <c r="CE81" s="457">
        <f t="shared" si="44"/>
        <v>0</v>
      </c>
      <c r="CF81" s="457">
        <f t="shared" si="44"/>
        <v>0</v>
      </c>
      <c r="CG81" s="457">
        <f t="shared" si="44"/>
        <v>0</v>
      </c>
      <c r="CH81" s="457">
        <f t="shared" si="44"/>
        <v>0</v>
      </c>
      <c r="CI81" s="457">
        <f t="shared" si="44"/>
        <v>0</v>
      </c>
      <c r="CJ81" s="457">
        <f t="shared" si="44"/>
        <v>0</v>
      </c>
      <c r="CK81" s="457">
        <f t="shared" si="44"/>
        <v>0</v>
      </c>
      <c r="CL81" s="457">
        <f t="shared" si="44"/>
        <v>0</v>
      </c>
      <c r="CM81" s="457">
        <f t="shared" si="44"/>
        <v>0</v>
      </c>
      <c r="CN81" s="457">
        <f t="shared" si="44"/>
        <v>0</v>
      </c>
      <c r="CO81" s="457">
        <f t="shared" si="44"/>
        <v>0</v>
      </c>
      <c r="CP81" s="457">
        <f t="shared" si="44"/>
        <v>0</v>
      </c>
      <c r="CQ81" s="457">
        <f t="shared" si="44"/>
        <v>0</v>
      </c>
      <c r="CR81" s="457">
        <f t="shared" si="44"/>
        <v>0</v>
      </c>
      <c r="CS81" s="457">
        <f t="shared" si="44"/>
        <v>0</v>
      </c>
      <c r="CT81" s="457">
        <f t="shared" si="44"/>
        <v>0</v>
      </c>
      <c r="CU81" s="457">
        <f t="shared" si="44"/>
        <v>0</v>
      </c>
      <c r="CV81" s="457">
        <f t="shared" si="44"/>
        <v>0</v>
      </c>
      <c r="CW81" s="457">
        <f t="shared" si="44"/>
        <v>0</v>
      </c>
      <c r="CX81" s="457">
        <f t="shared" ref="CX81:DV81" si="45">IF($C$27=1,IF(CX20&gt;0,CX20,0),IF(CX13&gt;0,CX13,0))</f>
        <v>0</v>
      </c>
      <c r="CY81" s="457">
        <f t="shared" si="45"/>
        <v>0</v>
      </c>
      <c r="CZ81" s="457">
        <f t="shared" si="45"/>
        <v>0</v>
      </c>
      <c r="DA81" s="457">
        <f t="shared" si="45"/>
        <v>0</v>
      </c>
      <c r="DB81" s="457">
        <f t="shared" si="45"/>
        <v>0</v>
      </c>
      <c r="DC81" s="457">
        <f t="shared" si="45"/>
        <v>0</v>
      </c>
      <c r="DD81" s="457">
        <f t="shared" si="45"/>
        <v>0</v>
      </c>
      <c r="DE81" s="457">
        <f t="shared" si="45"/>
        <v>0</v>
      </c>
      <c r="DF81" s="457">
        <f t="shared" si="45"/>
        <v>0</v>
      </c>
      <c r="DG81" s="457">
        <f t="shared" si="45"/>
        <v>0</v>
      </c>
      <c r="DH81" s="457">
        <f t="shared" si="45"/>
        <v>0</v>
      </c>
      <c r="DI81" s="457">
        <f t="shared" si="45"/>
        <v>0</v>
      </c>
      <c r="DJ81" s="457">
        <f t="shared" si="45"/>
        <v>0</v>
      </c>
      <c r="DK81" s="457">
        <f t="shared" si="45"/>
        <v>0</v>
      </c>
      <c r="DL81" s="457">
        <f t="shared" si="45"/>
        <v>0</v>
      </c>
      <c r="DM81" s="457">
        <f t="shared" si="45"/>
        <v>0</v>
      </c>
      <c r="DN81" s="457">
        <f t="shared" si="45"/>
        <v>0</v>
      </c>
      <c r="DO81" s="457">
        <f t="shared" si="45"/>
        <v>0</v>
      </c>
      <c r="DP81" s="457">
        <f t="shared" si="45"/>
        <v>0</v>
      </c>
      <c r="DQ81" s="457">
        <f t="shared" si="45"/>
        <v>0</v>
      </c>
      <c r="DR81" s="457">
        <f t="shared" si="45"/>
        <v>0</v>
      </c>
      <c r="DS81" s="457">
        <f t="shared" si="45"/>
        <v>0</v>
      </c>
      <c r="DT81" s="457">
        <f t="shared" si="45"/>
        <v>0</v>
      </c>
      <c r="DU81" s="457">
        <f t="shared" si="45"/>
        <v>0</v>
      </c>
      <c r="DV81" s="457">
        <f t="shared" si="45"/>
        <v>0</v>
      </c>
      <c r="DW81" s="322" t="s">
        <v>372</v>
      </c>
    </row>
    <row r="82" spans="3:127" hidden="1" outlineLevel="1" x14ac:dyDescent="0.3"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0"/>
      <c r="P82" s="360"/>
      <c r="Q82" s="360"/>
      <c r="R82" s="360"/>
      <c r="S82" s="360"/>
      <c r="T82" s="360"/>
      <c r="U82" s="360"/>
      <c r="V82" s="360"/>
      <c r="W82" s="360"/>
      <c r="X82" s="360"/>
      <c r="Y82" s="360"/>
      <c r="Z82" s="360"/>
      <c r="AA82" s="360"/>
      <c r="AB82" s="360"/>
      <c r="AC82" s="360"/>
      <c r="AD82" s="360"/>
      <c r="AE82" s="360"/>
      <c r="AF82" s="360"/>
      <c r="AG82" s="360"/>
      <c r="AH82" s="360"/>
      <c r="AI82" s="360"/>
      <c r="AJ82" s="360"/>
      <c r="AK82" s="360"/>
      <c r="AL82" s="360"/>
      <c r="AM82" s="360"/>
      <c r="AN82" s="360"/>
      <c r="AO82" s="360"/>
      <c r="AP82" s="360"/>
      <c r="AQ82" s="360"/>
      <c r="AR82" s="360"/>
      <c r="AS82" s="360"/>
      <c r="AT82" s="360"/>
      <c r="AU82" s="360"/>
      <c r="AV82" s="360"/>
      <c r="AW82" s="360"/>
      <c r="AX82" s="360"/>
      <c r="AY82" s="360"/>
      <c r="AZ82" s="360"/>
      <c r="BA82" s="360"/>
      <c r="BB82" s="360"/>
      <c r="BC82" s="360"/>
      <c r="BD82" s="360"/>
      <c r="BE82" s="360"/>
      <c r="BF82" s="360"/>
      <c r="BG82" s="360"/>
      <c r="BH82" s="360"/>
      <c r="BI82" s="360"/>
      <c r="BJ82" s="360"/>
      <c r="BK82" s="360"/>
      <c r="BL82" s="360"/>
      <c r="BM82" s="360"/>
      <c r="BN82" s="360"/>
      <c r="BO82" s="360"/>
      <c r="BP82" s="360"/>
      <c r="BQ82" s="360"/>
      <c r="BR82" s="360"/>
      <c r="BS82" s="360"/>
      <c r="BT82" s="360"/>
      <c r="BU82" s="360"/>
      <c r="BV82" s="360"/>
      <c r="BW82" s="360"/>
      <c r="BX82" s="360"/>
      <c r="BY82" s="360"/>
      <c r="BZ82" s="360"/>
      <c r="CA82" s="360"/>
      <c r="CB82" s="360"/>
      <c r="CC82" s="360"/>
      <c r="CD82" s="360"/>
      <c r="CE82" s="360"/>
      <c r="CF82" s="360"/>
      <c r="CG82" s="360"/>
      <c r="CH82" s="360"/>
      <c r="CI82" s="360"/>
      <c r="CJ82" s="360"/>
      <c r="CK82" s="360"/>
      <c r="CL82" s="360"/>
      <c r="CM82" s="360"/>
      <c r="CN82" s="360"/>
      <c r="CO82" s="360"/>
      <c r="CP82" s="360"/>
      <c r="CQ82" s="360"/>
      <c r="CR82" s="360"/>
      <c r="CS82" s="360"/>
      <c r="CT82" s="360"/>
      <c r="CU82" s="360"/>
      <c r="CV82" s="360"/>
      <c r="CW82" s="360"/>
      <c r="CX82" s="360"/>
      <c r="CY82" s="360"/>
      <c r="CZ82" s="360"/>
      <c r="DA82" s="360"/>
      <c r="DB82" s="360"/>
      <c r="DC82" s="360"/>
      <c r="DD82" s="360"/>
      <c r="DE82" s="360"/>
      <c r="DF82" s="360"/>
      <c r="DG82" s="360"/>
      <c r="DH82" s="360"/>
      <c r="DI82" s="360"/>
      <c r="DJ82" s="360"/>
      <c r="DK82" s="360"/>
      <c r="DL82" s="360"/>
      <c r="DM82" s="360"/>
      <c r="DN82" s="360"/>
      <c r="DO82" s="360"/>
      <c r="DP82" s="360"/>
      <c r="DQ82" s="360"/>
      <c r="DR82" s="360"/>
      <c r="DS82" s="360"/>
      <c r="DT82" s="360"/>
      <c r="DU82" s="360"/>
      <c r="DV82" s="360"/>
      <c r="DW82" s="322" t="s">
        <v>372</v>
      </c>
    </row>
    <row r="83" spans="3:127" hidden="1" outlineLevel="1" x14ac:dyDescent="0.3">
      <c r="C83" s="382" t="s">
        <v>350</v>
      </c>
      <c r="D83" s="382"/>
      <c r="E83" s="395"/>
      <c r="F83" s="458"/>
      <c r="G83" s="458"/>
      <c r="H83" s="458"/>
      <c r="I83" s="458"/>
      <c r="J83" s="458"/>
      <c r="K83" s="458"/>
      <c r="L83" s="458"/>
      <c r="M83" s="458"/>
      <c r="N83" s="458"/>
      <c r="O83" s="458"/>
      <c r="P83" s="458"/>
      <c r="Q83" s="458"/>
      <c r="R83" s="458"/>
      <c r="S83" s="458"/>
      <c r="T83" s="458"/>
      <c r="U83" s="458"/>
      <c r="V83" s="458"/>
      <c r="W83" s="458"/>
      <c r="X83" s="458"/>
      <c r="Y83" s="458"/>
      <c r="Z83" s="458"/>
      <c r="AA83" s="458"/>
      <c r="AB83" s="458"/>
      <c r="AC83" s="458"/>
      <c r="AD83" s="458"/>
      <c r="AE83" s="458"/>
      <c r="AF83" s="458"/>
      <c r="AG83" s="458"/>
      <c r="AH83" s="458"/>
      <c r="AI83" s="458"/>
      <c r="AJ83" s="458"/>
      <c r="AK83" s="458"/>
      <c r="AL83" s="458"/>
      <c r="AM83" s="458"/>
      <c r="AN83" s="458"/>
      <c r="AO83" s="458"/>
      <c r="AP83" s="458"/>
      <c r="AQ83" s="458"/>
      <c r="AR83" s="458"/>
      <c r="AS83" s="458"/>
      <c r="AT83" s="458"/>
      <c r="AU83" s="458"/>
      <c r="AV83" s="458"/>
      <c r="AW83" s="458"/>
      <c r="AX83" s="458"/>
      <c r="AY83" s="458"/>
      <c r="AZ83" s="458"/>
      <c r="BA83" s="458"/>
      <c r="BB83" s="458"/>
      <c r="BC83" s="458"/>
      <c r="BD83" s="458"/>
      <c r="BE83" s="458"/>
      <c r="BF83" s="458"/>
      <c r="BG83" s="458"/>
      <c r="BH83" s="458"/>
      <c r="BI83" s="458"/>
      <c r="BJ83" s="458"/>
      <c r="BK83" s="458"/>
      <c r="BL83" s="458"/>
      <c r="BM83" s="458"/>
      <c r="BN83" s="458"/>
      <c r="BO83" s="458"/>
      <c r="BP83" s="458"/>
      <c r="BQ83" s="458"/>
      <c r="BR83" s="458"/>
      <c r="BS83" s="458"/>
      <c r="BT83" s="458"/>
      <c r="BU83" s="458"/>
      <c r="BV83" s="458"/>
      <c r="BW83" s="458"/>
      <c r="BX83" s="458"/>
      <c r="BY83" s="458"/>
      <c r="BZ83" s="458"/>
      <c r="CA83" s="458"/>
      <c r="CB83" s="458"/>
      <c r="CC83" s="458"/>
      <c r="CD83" s="458"/>
      <c r="CE83" s="458"/>
      <c r="CF83" s="458"/>
      <c r="CG83" s="458"/>
      <c r="CH83" s="458"/>
      <c r="CI83" s="458"/>
      <c r="CJ83" s="458"/>
      <c r="CK83" s="458"/>
      <c r="CL83" s="458"/>
      <c r="CM83" s="458"/>
      <c r="CN83" s="458"/>
      <c r="CO83" s="458"/>
      <c r="CP83" s="458"/>
      <c r="CQ83" s="458"/>
      <c r="CR83" s="458"/>
      <c r="CS83" s="458"/>
      <c r="CT83" s="458"/>
      <c r="CU83" s="458"/>
      <c r="CV83" s="458"/>
      <c r="CW83" s="458"/>
      <c r="CX83" s="458"/>
      <c r="CY83" s="458"/>
      <c r="CZ83" s="458"/>
      <c r="DA83" s="458"/>
      <c r="DB83" s="458"/>
      <c r="DC83" s="458"/>
      <c r="DD83" s="458"/>
      <c r="DE83" s="458"/>
      <c r="DF83" s="458"/>
      <c r="DG83" s="458"/>
      <c r="DH83" s="458"/>
      <c r="DI83" s="458"/>
      <c r="DJ83" s="458"/>
      <c r="DK83" s="458"/>
      <c r="DL83" s="458"/>
      <c r="DM83" s="458"/>
      <c r="DN83" s="458"/>
      <c r="DO83" s="458"/>
      <c r="DP83" s="458"/>
      <c r="DQ83" s="458"/>
      <c r="DR83" s="458"/>
      <c r="DS83" s="458"/>
      <c r="DT83" s="458"/>
      <c r="DU83" s="458"/>
      <c r="DV83" s="458"/>
      <c r="DW83" s="322" t="s">
        <v>372</v>
      </c>
    </row>
    <row r="84" spans="3:127" hidden="1" outlineLevel="1" x14ac:dyDescent="0.3">
      <c r="C84" s="360"/>
      <c r="D84" s="360"/>
      <c r="E84" s="360"/>
      <c r="F84" s="360"/>
      <c r="G84" s="360"/>
      <c r="H84" s="360"/>
      <c r="I84" s="360"/>
      <c r="J84" s="360"/>
      <c r="K84" s="360"/>
      <c r="L84" s="360"/>
      <c r="M84" s="360"/>
      <c r="N84" s="360"/>
      <c r="O84" s="360"/>
      <c r="P84" s="360"/>
      <c r="Q84" s="360"/>
      <c r="R84" s="360"/>
      <c r="S84" s="360"/>
      <c r="T84" s="360"/>
      <c r="U84" s="360"/>
      <c r="V84" s="360"/>
      <c r="W84" s="360"/>
      <c r="X84" s="360"/>
      <c r="Y84" s="360"/>
      <c r="Z84" s="360"/>
      <c r="AA84" s="360"/>
      <c r="AB84" s="360"/>
      <c r="AC84" s="360"/>
      <c r="AD84" s="360"/>
      <c r="AE84" s="360"/>
      <c r="AF84" s="360"/>
      <c r="AG84" s="360"/>
      <c r="AH84" s="360"/>
      <c r="AI84" s="360"/>
      <c r="AJ84" s="360"/>
      <c r="AK84" s="360"/>
      <c r="AL84" s="360"/>
      <c r="AM84" s="360"/>
      <c r="AN84" s="360"/>
      <c r="AO84" s="360"/>
      <c r="AP84" s="360"/>
      <c r="AQ84" s="360"/>
      <c r="AR84" s="360"/>
      <c r="AS84" s="360"/>
      <c r="AT84" s="360"/>
      <c r="AU84" s="360"/>
      <c r="AV84" s="360"/>
      <c r="AW84" s="360"/>
      <c r="AX84" s="360"/>
      <c r="AY84" s="360"/>
      <c r="AZ84" s="360"/>
      <c r="BA84" s="360"/>
      <c r="BB84" s="360"/>
      <c r="BC84" s="360"/>
      <c r="BD84" s="360"/>
      <c r="BE84" s="360"/>
      <c r="BF84" s="360"/>
      <c r="BG84" s="360"/>
      <c r="BH84" s="360"/>
      <c r="BI84" s="360"/>
      <c r="BJ84" s="360"/>
      <c r="BK84" s="360"/>
      <c r="BL84" s="360"/>
      <c r="BM84" s="360"/>
      <c r="BN84" s="360"/>
      <c r="BO84" s="360"/>
      <c r="BP84" s="360"/>
      <c r="BQ84" s="360"/>
      <c r="BR84" s="360"/>
      <c r="BS84" s="360"/>
      <c r="BT84" s="360"/>
      <c r="BU84" s="360"/>
      <c r="BV84" s="360"/>
      <c r="BW84" s="360"/>
      <c r="BX84" s="360"/>
      <c r="BY84" s="360"/>
      <c r="BZ84" s="360"/>
      <c r="CA84" s="360"/>
      <c r="CB84" s="360"/>
      <c r="CC84" s="360"/>
      <c r="CD84" s="360"/>
      <c r="CE84" s="360"/>
      <c r="CF84" s="360"/>
      <c r="CG84" s="360"/>
      <c r="CH84" s="360"/>
      <c r="CI84" s="360"/>
      <c r="CJ84" s="360"/>
      <c r="CK84" s="360"/>
      <c r="CL84" s="360"/>
      <c r="CM84" s="360"/>
      <c r="CN84" s="360"/>
      <c r="CO84" s="360"/>
      <c r="CP84" s="360"/>
      <c r="CQ84" s="360"/>
      <c r="CR84" s="360"/>
      <c r="CS84" s="360"/>
      <c r="CT84" s="360"/>
      <c r="CU84" s="360"/>
      <c r="CV84" s="360"/>
      <c r="CW84" s="360"/>
      <c r="CX84" s="360"/>
      <c r="CY84" s="360"/>
      <c r="CZ84" s="360"/>
      <c r="DA84" s="360"/>
      <c r="DB84" s="360"/>
      <c r="DC84" s="360"/>
      <c r="DD84" s="360"/>
      <c r="DE84" s="360"/>
      <c r="DF84" s="360"/>
      <c r="DG84" s="360"/>
      <c r="DH84" s="360"/>
      <c r="DI84" s="360"/>
      <c r="DJ84" s="360"/>
      <c r="DK84" s="360"/>
      <c r="DL84" s="360"/>
      <c r="DM84" s="360"/>
      <c r="DN84" s="360"/>
      <c r="DO84" s="360"/>
      <c r="DP84" s="360"/>
      <c r="DQ84" s="360"/>
      <c r="DR84" s="360"/>
      <c r="DS84" s="360"/>
      <c r="DT84" s="360"/>
      <c r="DU84" s="360"/>
      <c r="DV84" s="360"/>
      <c r="DW84" s="322" t="s">
        <v>372</v>
      </c>
    </row>
    <row r="85" spans="3:127" hidden="1" outlineLevel="1" x14ac:dyDescent="0.3">
      <c r="C85" s="382" t="s">
        <v>398</v>
      </c>
      <c r="D85" s="382"/>
      <c r="E85" s="459"/>
      <c r="F85" s="460" t="s">
        <v>399</v>
      </c>
      <c r="G85" s="461">
        <f>IF($K$38=12,1,IF(INT(G86)=G86,1,0))</f>
        <v>0</v>
      </c>
      <c r="H85" s="461">
        <f t="shared" ref="H85:BS85" si="46">IF($K$38=12,1,IF(INT(H86)=H86,1,0))</f>
        <v>0</v>
      </c>
      <c r="I85" s="461">
        <f t="shared" si="46"/>
        <v>1</v>
      </c>
      <c r="J85" s="461">
        <f t="shared" si="46"/>
        <v>0</v>
      </c>
      <c r="K85" s="461">
        <f t="shared" si="46"/>
        <v>0</v>
      </c>
      <c r="L85" s="461">
        <f t="shared" si="46"/>
        <v>1</v>
      </c>
      <c r="M85" s="461">
        <f t="shared" si="46"/>
        <v>0</v>
      </c>
      <c r="N85" s="461">
        <f t="shared" si="46"/>
        <v>0</v>
      </c>
      <c r="O85" s="461">
        <f t="shared" si="46"/>
        <v>1</v>
      </c>
      <c r="P85" s="461">
        <f t="shared" si="46"/>
        <v>0</v>
      </c>
      <c r="Q85" s="461">
        <f t="shared" si="46"/>
        <v>0</v>
      </c>
      <c r="R85" s="461">
        <f t="shared" si="46"/>
        <v>1</v>
      </c>
      <c r="S85" s="461">
        <f t="shared" si="46"/>
        <v>0</v>
      </c>
      <c r="T85" s="461">
        <f t="shared" si="46"/>
        <v>0</v>
      </c>
      <c r="U85" s="461">
        <f t="shared" si="46"/>
        <v>1</v>
      </c>
      <c r="V85" s="461">
        <f t="shared" si="46"/>
        <v>0</v>
      </c>
      <c r="W85" s="461">
        <f t="shared" si="46"/>
        <v>0</v>
      </c>
      <c r="X85" s="461">
        <f t="shared" si="46"/>
        <v>1</v>
      </c>
      <c r="Y85" s="461">
        <f t="shared" si="46"/>
        <v>0</v>
      </c>
      <c r="Z85" s="461">
        <f t="shared" si="46"/>
        <v>0</v>
      </c>
      <c r="AA85" s="461">
        <f t="shared" si="46"/>
        <v>1</v>
      </c>
      <c r="AB85" s="461">
        <f t="shared" si="46"/>
        <v>0</v>
      </c>
      <c r="AC85" s="461">
        <f t="shared" si="46"/>
        <v>0</v>
      </c>
      <c r="AD85" s="461">
        <f t="shared" si="46"/>
        <v>1</v>
      </c>
      <c r="AE85" s="461">
        <f t="shared" si="46"/>
        <v>0</v>
      </c>
      <c r="AF85" s="461">
        <f t="shared" si="46"/>
        <v>0</v>
      </c>
      <c r="AG85" s="461">
        <f t="shared" si="46"/>
        <v>1</v>
      </c>
      <c r="AH85" s="461">
        <f t="shared" si="46"/>
        <v>0</v>
      </c>
      <c r="AI85" s="461">
        <f t="shared" si="46"/>
        <v>0</v>
      </c>
      <c r="AJ85" s="461">
        <f t="shared" si="46"/>
        <v>1</v>
      </c>
      <c r="AK85" s="461">
        <f t="shared" si="46"/>
        <v>0</v>
      </c>
      <c r="AL85" s="461">
        <f t="shared" si="46"/>
        <v>0</v>
      </c>
      <c r="AM85" s="461">
        <f t="shared" si="46"/>
        <v>1</v>
      </c>
      <c r="AN85" s="461">
        <f t="shared" si="46"/>
        <v>0</v>
      </c>
      <c r="AO85" s="461">
        <f t="shared" si="46"/>
        <v>0</v>
      </c>
      <c r="AP85" s="461">
        <f t="shared" si="46"/>
        <v>1</v>
      </c>
      <c r="AQ85" s="461">
        <f t="shared" si="46"/>
        <v>0</v>
      </c>
      <c r="AR85" s="461">
        <f t="shared" si="46"/>
        <v>0</v>
      </c>
      <c r="AS85" s="461">
        <f t="shared" si="46"/>
        <v>1</v>
      </c>
      <c r="AT85" s="461">
        <f t="shared" si="46"/>
        <v>0</v>
      </c>
      <c r="AU85" s="461">
        <f t="shared" si="46"/>
        <v>0</v>
      </c>
      <c r="AV85" s="461">
        <f t="shared" si="46"/>
        <v>1</v>
      </c>
      <c r="AW85" s="461">
        <f t="shared" si="46"/>
        <v>0</v>
      </c>
      <c r="AX85" s="461">
        <f t="shared" si="46"/>
        <v>0</v>
      </c>
      <c r="AY85" s="461">
        <f t="shared" si="46"/>
        <v>1</v>
      </c>
      <c r="AZ85" s="461">
        <f t="shared" si="46"/>
        <v>0</v>
      </c>
      <c r="BA85" s="461">
        <f t="shared" si="46"/>
        <v>0</v>
      </c>
      <c r="BB85" s="461">
        <f t="shared" si="46"/>
        <v>1</v>
      </c>
      <c r="BC85" s="461">
        <f t="shared" si="46"/>
        <v>0</v>
      </c>
      <c r="BD85" s="461">
        <f t="shared" si="46"/>
        <v>0</v>
      </c>
      <c r="BE85" s="461">
        <f t="shared" si="46"/>
        <v>1</v>
      </c>
      <c r="BF85" s="461">
        <f t="shared" si="46"/>
        <v>0</v>
      </c>
      <c r="BG85" s="461">
        <f t="shared" si="46"/>
        <v>0</v>
      </c>
      <c r="BH85" s="461">
        <f t="shared" si="46"/>
        <v>1</v>
      </c>
      <c r="BI85" s="461">
        <f t="shared" si="46"/>
        <v>0</v>
      </c>
      <c r="BJ85" s="461">
        <f t="shared" si="46"/>
        <v>0</v>
      </c>
      <c r="BK85" s="461">
        <f t="shared" si="46"/>
        <v>1</v>
      </c>
      <c r="BL85" s="461">
        <f t="shared" si="46"/>
        <v>0</v>
      </c>
      <c r="BM85" s="461">
        <f t="shared" si="46"/>
        <v>0</v>
      </c>
      <c r="BN85" s="461">
        <f t="shared" si="46"/>
        <v>1</v>
      </c>
      <c r="BO85" s="461">
        <f t="shared" si="46"/>
        <v>0</v>
      </c>
      <c r="BP85" s="461">
        <f t="shared" si="46"/>
        <v>0</v>
      </c>
      <c r="BQ85" s="461">
        <f t="shared" si="46"/>
        <v>1</v>
      </c>
      <c r="BR85" s="461">
        <f t="shared" si="46"/>
        <v>0</v>
      </c>
      <c r="BS85" s="461">
        <f t="shared" si="46"/>
        <v>0</v>
      </c>
      <c r="BT85" s="461">
        <f t="shared" ref="BT85:DV85" si="47">IF($K$38=12,1,IF(INT(BT86)=BT86,1,0))</f>
        <v>1</v>
      </c>
      <c r="BU85" s="461">
        <f t="shared" si="47"/>
        <v>0</v>
      </c>
      <c r="BV85" s="461">
        <f t="shared" si="47"/>
        <v>0</v>
      </c>
      <c r="BW85" s="461">
        <f t="shared" si="47"/>
        <v>1</v>
      </c>
      <c r="BX85" s="461">
        <f t="shared" si="47"/>
        <v>0</v>
      </c>
      <c r="BY85" s="461">
        <f t="shared" si="47"/>
        <v>0</v>
      </c>
      <c r="BZ85" s="461">
        <f t="shared" si="47"/>
        <v>1</v>
      </c>
      <c r="CA85" s="461">
        <f t="shared" si="47"/>
        <v>0</v>
      </c>
      <c r="CB85" s="461">
        <f t="shared" si="47"/>
        <v>0</v>
      </c>
      <c r="CC85" s="461">
        <f t="shared" si="47"/>
        <v>1</v>
      </c>
      <c r="CD85" s="461">
        <f t="shared" si="47"/>
        <v>0</v>
      </c>
      <c r="CE85" s="461">
        <f t="shared" si="47"/>
        <v>0</v>
      </c>
      <c r="CF85" s="461">
        <f t="shared" si="47"/>
        <v>1</v>
      </c>
      <c r="CG85" s="461">
        <f t="shared" si="47"/>
        <v>0</v>
      </c>
      <c r="CH85" s="461">
        <f t="shared" si="47"/>
        <v>0</v>
      </c>
      <c r="CI85" s="461">
        <f t="shared" si="47"/>
        <v>1</v>
      </c>
      <c r="CJ85" s="461">
        <f t="shared" si="47"/>
        <v>0</v>
      </c>
      <c r="CK85" s="461">
        <f t="shared" si="47"/>
        <v>0</v>
      </c>
      <c r="CL85" s="461">
        <f t="shared" si="47"/>
        <v>1</v>
      </c>
      <c r="CM85" s="461">
        <f t="shared" si="47"/>
        <v>0</v>
      </c>
      <c r="CN85" s="461">
        <f t="shared" si="47"/>
        <v>0</v>
      </c>
      <c r="CO85" s="461">
        <f t="shared" si="47"/>
        <v>1</v>
      </c>
      <c r="CP85" s="461">
        <f t="shared" si="47"/>
        <v>0</v>
      </c>
      <c r="CQ85" s="461">
        <f t="shared" si="47"/>
        <v>0</v>
      </c>
      <c r="CR85" s="461">
        <f t="shared" si="47"/>
        <v>1</v>
      </c>
      <c r="CS85" s="461">
        <f t="shared" si="47"/>
        <v>0</v>
      </c>
      <c r="CT85" s="461">
        <f t="shared" si="47"/>
        <v>0</v>
      </c>
      <c r="CU85" s="461">
        <f t="shared" si="47"/>
        <v>1</v>
      </c>
      <c r="CV85" s="461">
        <f t="shared" si="47"/>
        <v>0</v>
      </c>
      <c r="CW85" s="461">
        <f t="shared" si="47"/>
        <v>0</v>
      </c>
      <c r="CX85" s="461">
        <f t="shared" si="47"/>
        <v>1</v>
      </c>
      <c r="CY85" s="461">
        <f t="shared" si="47"/>
        <v>0</v>
      </c>
      <c r="CZ85" s="461">
        <f t="shared" si="47"/>
        <v>0</v>
      </c>
      <c r="DA85" s="461">
        <f t="shared" si="47"/>
        <v>1</v>
      </c>
      <c r="DB85" s="461">
        <f t="shared" si="47"/>
        <v>0</v>
      </c>
      <c r="DC85" s="461">
        <f t="shared" si="47"/>
        <v>0</v>
      </c>
      <c r="DD85" s="461">
        <f t="shared" si="47"/>
        <v>1</v>
      </c>
      <c r="DE85" s="461">
        <f t="shared" si="47"/>
        <v>0</v>
      </c>
      <c r="DF85" s="461">
        <f t="shared" si="47"/>
        <v>0</v>
      </c>
      <c r="DG85" s="461">
        <f t="shared" si="47"/>
        <v>1</v>
      </c>
      <c r="DH85" s="461">
        <f t="shared" si="47"/>
        <v>0</v>
      </c>
      <c r="DI85" s="461">
        <f t="shared" si="47"/>
        <v>0</v>
      </c>
      <c r="DJ85" s="461">
        <f t="shared" si="47"/>
        <v>1</v>
      </c>
      <c r="DK85" s="461">
        <f t="shared" si="47"/>
        <v>0</v>
      </c>
      <c r="DL85" s="461">
        <f t="shared" si="47"/>
        <v>0</v>
      </c>
      <c r="DM85" s="461">
        <f t="shared" si="47"/>
        <v>1</v>
      </c>
      <c r="DN85" s="461">
        <f t="shared" si="47"/>
        <v>0</v>
      </c>
      <c r="DO85" s="461">
        <f t="shared" si="47"/>
        <v>0</v>
      </c>
      <c r="DP85" s="461">
        <f t="shared" si="47"/>
        <v>1</v>
      </c>
      <c r="DQ85" s="461">
        <f t="shared" si="47"/>
        <v>0</v>
      </c>
      <c r="DR85" s="461">
        <f t="shared" si="47"/>
        <v>0</v>
      </c>
      <c r="DS85" s="461">
        <f t="shared" si="47"/>
        <v>1</v>
      </c>
      <c r="DT85" s="461">
        <f t="shared" si="47"/>
        <v>0</v>
      </c>
      <c r="DU85" s="461">
        <f t="shared" si="47"/>
        <v>0</v>
      </c>
      <c r="DV85" s="461">
        <f t="shared" si="47"/>
        <v>1</v>
      </c>
      <c r="DW85" s="322" t="s">
        <v>372</v>
      </c>
    </row>
    <row r="86" spans="3:127" hidden="1" outlineLevel="1" x14ac:dyDescent="0.3">
      <c r="C86" s="462" t="str">
        <f>H37</f>
        <v>LP</v>
      </c>
      <c r="D86" s="365"/>
      <c r="E86" s="463"/>
      <c r="F86" s="463"/>
      <c r="G86" s="464">
        <f>1/3</f>
        <v>0.33333333333333331</v>
      </c>
      <c r="H86" s="464">
        <f>G86+1/3</f>
        <v>0.66666666666666663</v>
      </c>
      <c r="I86" s="464">
        <f t="shared" ref="I86:BT86" si="48">H86+1/3</f>
        <v>1</v>
      </c>
      <c r="J86" s="464">
        <f t="shared" si="48"/>
        <v>1.3333333333333333</v>
      </c>
      <c r="K86" s="464">
        <f t="shared" si="48"/>
        <v>1.6666666666666665</v>
      </c>
      <c r="L86" s="464">
        <f t="shared" si="48"/>
        <v>1.9999999999999998</v>
      </c>
      <c r="M86" s="464">
        <f t="shared" si="48"/>
        <v>2.333333333333333</v>
      </c>
      <c r="N86" s="464">
        <f t="shared" si="48"/>
        <v>2.6666666666666665</v>
      </c>
      <c r="O86" s="464">
        <f t="shared" si="48"/>
        <v>3</v>
      </c>
      <c r="P86" s="464">
        <f t="shared" si="48"/>
        <v>3.3333333333333335</v>
      </c>
      <c r="Q86" s="464">
        <f t="shared" si="48"/>
        <v>3.666666666666667</v>
      </c>
      <c r="R86" s="464">
        <f t="shared" si="48"/>
        <v>4</v>
      </c>
      <c r="S86" s="464">
        <f t="shared" si="48"/>
        <v>4.333333333333333</v>
      </c>
      <c r="T86" s="464">
        <f t="shared" si="48"/>
        <v>4.6666666666666661</v>
      </c>
      <c r="U86" s="464">
        <f t="shared" si="48"/>
        <v>4.9999999999999991</v>
      </c>
      <c r="V86" s="464">
        <f t="shared" si="48"/>
        <v>5.3333333333333321</v>
      </c>
      <c r="W86" s="464">
        <f t="shared" si="48"/>
        <v>5.6666666666666652</v>
      </c>
      <c r="X86" s="464">
        <f t="shared" si="48"/>
        <v>5.9999999999999982</v>
      </c>
      <c r="Y86" s="464">
        <f t="shared" si="48"/>
        <v>6.3333333333333313</v>
      </c>
      <c r="Z86" s="464">
        <f t="shared" si="48"/>
        <v>6.6666666666666643</v>
      </c>
      <c r="AA86" s="464">
        <f t="shared" si="48"/>
        <v>6.9999999999999973</v>
      </c>
      <c r="AB86" s="464">
        <f t="shared" si="48"/>
        <v>7.3333333333333304</v>
      </c>
      <c r="AC86" s="464">
        <f t="shared" si="48"/>
        <v>7.6666666666666634</v>
      </c>
      <c r="AD86" s="464">
        <f t="shared" si="48"/>
        <v>7.9999999999999964</v>
      </c>
      <c r="AE86" s="464">
        <f t="shared" si="48"/>
        <v>8.3333333333333304</v>
      </c>
      <c r="AF86" s="464">
        <f t="shared" si="48"/>
        <v>8.6666666666666643</v>
      </c>
      <c r="AG86" s="464">
        <f t="shared" si="48"/>
        <v>8.9999999999999982</v>
      </c>
      <c r="AH86" s="464">
        <f t="shared" si="48"/>
        <v>9.3333333333333321</v>
      </c>
      <c r="AI86" s="464">
        <f t="shared" si="48"/>
        <v>9.6666666666666661</v>
      </c>
      <c r="AJ86" s="464">
        <f t="shared" si="48"/>
        <v>10</v>
      </c>
      <c r="AK86" s="464">
        <f t="shared" si="48"/>
        <v>10.333333333333334</v>
      </c>
      <c r="AL86" s="464">
        <f t="shared" si="48"/>
        <v>10.666666666666668</v>
      </c>
      <c r="AM86" s="464">
        <f t="shared" si="48"/>
        <v>11.000000000000002</v>
      </c>
      <c r="AN86" s="464">
        <f t="shared" si="48"/>
        <v>11.333333333333336</v>
      </c>
      <c r="AO86" s="464">
        <f t="shared" si="48"/>
        <v>11.66666666666667</v>
      </c>
      <c r="AP86" s="464">
        <f t="shared" si="48"/>
        <v>12.000000000000004</v>
      </c>
      <c r="AQ86" s="464">
        <f t="shared" si="48"/>
        <v>12.333333333333337</v>
      </c>
      <c r="AR86" s="464">
        <f t="shared" si="48"/>
        <v>12.666666666666671</v>
      </c>
      <c r="AS86" s="464">
        <f t="shared" si="48"/>
        <v>13.000000000000005</v>
      </c>
      <c r="AT86" s="464">
        <f t="shared" si="48"/>
        <v>13.333333333333339</v>
      </c>
      <c r="AU86" s="464">
        <f t="shared" si="48"/>
        <v>13.666666666666673</v>
      </c>
      <c r="AV86" s="464">
        <f t="shared" si="48"/>
        <v>14.000000000000007</v>
      </c>
      <c r="AW86" s="464">
        <f t="shared" si="48"/>
        <v>14.333333333333341</v>
      </c>
      <c r="AX86" s="464">
        <f t="shared" si="48"/>
        <v>14.666666666666675</v>
      </c>
      <c r="AY86" s="464">
        <f t="shared" si="48"/>
        <v>15.000000000000009</v>
      </c>
      <c r="AZ86" s="464">
        <f t="shared" si="48"/>
        <v>15.333333333333343</v>
      </c>
      <c r="BA86" s="464">
        <f t="shared" si="48"/>
        <v>15.666666666666677</v>
      </c>
      <c r="BB86" s="464">
        <f t="shared" si="48"/>
        <v>16.000000000000011</v>
      </c>
      <c r="BC86" s="464">
        <f t="shared" si="48"/>
        <v>16.333333333333343</v>
      </c>
      <c r="BD86" s="464">
        <f t="shared" si="48"/>
        <v>16.666666666666675</v>
      </c>
      <c r="BE86" s="464">
        <f t="shared" si="48"/>
        <v>17.000000000000007</v>
      </c>
      <c r="BF86" s="464">
        <f t="shared" si="48"/>
        <v>17.333333333333339</v>
      </c>
      <c r="BG86" s="464">
        <f t="shared" si="48"/>
        <v>17.666666666666671</v>
      </c>
      <c r="BH86" s="464">
        <f t="shared" si="48"/>
        <v>18.000000000000004</v>
      </c>
      <c r="BI86" s="464">
        <f t="shared" si="48"/>
        <v>18.333333333333336</v>
      </c>
      <c r="BJ86" s="464">
        <f t="shared" si="48"/>
        <v>18.666666666666668</v>
      </c>
      <c r="BK86" s="464">
        <f t="shared" si="48"/>
        <v>19</v>
      </c>
      <c r="BL86" s="464">
        <f t="shared" si="48"/>
        <v>19.333333333333332</v>
      </c>
      <c r="BM86" s="464">
        <f t="shared" si="48"/>
        <v>19.666666666666664</v>
      </c>
      <c r="BN86" s="464">
        <f t="shared" si="48"/>
        <v>19.999999999999996</v>
      </c>
      <c r="BO86" s="464">
        <f t="shared" si="48"/>
        <v>20.333333333333329</v>
      </c>
      <c r="BP86" s="464">
        <f t="shared" si="48"/>
        <v>20.666666666666661</v>
      </c>
      <c r="BQ86" s="464">
        <f t="shared" si="48"/>
        <v>20.999999999999993</v>
      </c>
      <c r="BR86" s="464">
        <f t="shared" si="48"/>
        <v>21.333333333333325</v>
      </c>
      <c r="BS86" s="464">
        <f t="shared" si="48"/>
        <v>21.666666666666657</v>
      </c>
      <c r="BT86" s="464">
        <f t="shared" si="48"/>
        <v>21.999999999999989</v>
      </c>
      <c r="BU86" s="464">
        <f t="shared" ref="BU86:DV86" si="49">BT86+1/3</f>
        <v>22.333333333333321</v>
      </c>
      <c r="BV86" s="464">
        <f t="shared" si="49"/>
        <v>22.666666666666654</v>
      </c>
      <c r="BW86" s="464">
        <f t="shared" si="49"/>
        <v>22.999999999999986</v>
      </c>
      <c r="BX86" s="464">
        <f t="shared" si="49"/>
        <v>23.333333333333318</v>
      </c>
      <c r="BY86" s="464">
        <f t="shared" si="49"/>
        <v>23.66666666666665</v>
      </c>
      <c r="BZ86" s="464">
        <f t="shared" si="49"/>
        <v>23.999999999999982</v>
      </c>
      <c r="CA86" s="464">
        <f t="shared" si="49"/>
        <v>24.333333333333314</v>
      </c>
      <c r="CB86" s="464">
        <f t="shared" si="49"/>
        <v>24.666666666666647</v>
      </c>
      <c r="CC86" s="464">
        <f t="shared" si="49"/>
        <v>24.999999999999979</v>
      </c>
      <c r="CD86" s="464">
        <f t="shared" si="49"/>
        <v>25.333333333333311</v>
      </c>
      <c r="CE86" s="464">
        <f t="shared" si="49"/>
        <v>25.666666666666643</v>
      </c>
      <c r="CF86" s="464">
        <f t="shared" si="49"/>
        <v>25.999999999999975</v>
      </c>
      <c r="CG86" s="464">
        <f t="shared" si="49"/>
        <v>26.333333333333307</v>
      </c>
      <c r="CH86" s="464">
        <f t="shared" si="49"/>
        <v>26.666666666666639</v>
      </c>
      <c r="CI86" s="464">
        <f t="shared" si="49"/>
        <v>26.999999999999972</v>
      </c>
      <c r="CJ86" s="464">
        <f t="shared" si="49"/>
        <v>27.333333333333304</v>
      </c>
      <c r="CK86" s="464">
        <f t="shared" si="49"/>
        <v>27.666666666666636</v>
      </c>
      <c r="CL86" s="464">
        <f t="shared" si="49"/>
        <v>27.999999999999968</v>
      </c>
      <c r="CM86" s="464">
        <f t="shared" si="49"/>
        <v>28.3333333333333</v>
      </c>
      <c r="CN86" s="464">
        <f t="shared" si="49"/>
        <v>28.666666666666632</v>
      </c>
      <c r="CO86" s="464">
        <f t="shared" si="49"/>
        <v>28.999999999999964</v>
      </c>
      <c r="CP86" s="464">
        <f t="shared" si="49"/>
        <v>29.333333333333297</v>
      </c>
      <c r="CQ86" s="464">
        <f t="shared" si="49"/>
        <v>29.666666666666629</v>
      </c>
      <c r="CR86" s="464">
        <f t="shared" si="49"/>
        <v>29.999999999999961</v>
      </c>
      <c r="CS86" s="464">
        <f t="shared" si="49"/>
        <v>30.333333333333293</v>
      </c>
      <c r="CT86" s="464">
        <f t="shared" si="49"/>
        <v>30.666666666666625</v>
      </c>
      <c r="CU86" s="464">
        <f t="shared" si="49"/>
        <v>30.999999999999957</v>
      </c>
      <c r="CV86" s="464">
        <f t="shared" si="49"/>
        <v>31.33333333333329</v>
      </c>
      <c r="CW86" s="464">
        <f t="shared" si="49"/>
        <v>31.666666666666622</v>
      </c>
      <c r="CX86" s="464">
        <f t="shared" si="49"/>
        <v>31.999999999999954</v>
      </c>
      <c r="CY86" s="464">
        <f t="shared" si="49"/>
        <v>32.333333333333286</v>
      </c>
      <c r="CZ86" s="464">
        <f t="shared" si="49"/>
        <v>32.666666666666622</v>
      </c>
      <c r="DA86" s="464">
        <f t="shared" si="49"/>
        <v>32.999999999999957</v>
      </c>
      <c r="DB86" s="464">
        <f t="shared" si="49"/>
        <v>33.333333333333293</v>
      </c>
      <c r="DC86" s="464">
        <f t="shared" si="49"/>
        <v>33.666666666666629</v>
      </c>
      <c r="DD86" s="464">
        <f t="shared" si="49"/>
        <v>33.999999999999964</v>
      </c>
      <c r="DE86" s="464">
        <f t="shared" si="49"/>
        <v>34.3333333333333</v>
      </c>
      <c r="DF86" s="464">
        <f t="shared" si="49"/>
        <v>34.666666666666636</v>
      </c>
      <c r="DG86" s="464">
        <f t="shared" si="49"/>
        <v>34.999999999999972</v>
      </c>
      <c r="DH86" s="464">
        <f t="shared" si="49"/>
        <v>35.333333333333307</v>
      </c>
      <c r="DI86" s="464">
        <f t="shared" si="49"/>
        <v>35.666666666666643</v>
      </c>
      <c r="DJ86" s="464">
        <f t="shared" si="49"/>
        <v>35.999999999999979</v>
      </c>
      <c r="DK86" s="464">
        <f t="shared" si="49"/>
        <v>36.333333333333314</v>
      </c>
      <c r="DL86" s="464">
        <f t="shared" si="49"/>
        <v>36.66666666666665</v>
      </c>
      <c r="DM86" s="464">
        <f t="shared" si="49"/>
        <v>36.999999999999986</v>
      </c>
      <c r="DN86" s="464">
        <f t="shared" si="49"/>
        <v>37.333333333333321</v>
      </c>
      <c r="DO86" s="464">
        <f t="shared" si="49"/>
        <v>37.666666666666657</v>
      </c>
      <c r="DP86" s="464">
        <f t="shared" si="49"/>
        <v>37.999999999999993</v>
      </c>
      <c r="DQ86" s="464">
        <f t="shared" si="49"/>
        <v>38.333333333333329</v>
      </c>
      <c r="DR86" s="464">
        <f t="shared" si="49"/>
        <v>38.666666666666664</v>
      </c>
      <c r="DS86" s="464">
        <f t="shared" si="49"/>
        <v>39</v>
      </c>
      <c r="DT86" s="464">
        <f t="shared" si="49"/>
        <v>39.333333333333336</v>
      </c>
      <c r="DU86" s="464">
        <f t="shared" si="49"/>
        <v>39.666666666666671</v>
      </c>
      <c r="DV86" s="464">
        <f t="shared" si="49"/>
        <v>40.000000000000007</v>
      </c>
      <c r="DW86" s="322" t="s">
        <v>372</v>
      </c>
    </row>
    <row r="87" spans="3:127" hidden="1" outlineLevel="1" x14ac:dyDescent="0.3">
      <c r="C87" s="374" t="s">
        <v>351</v>
      </c>
      <c r="D87" s="374"/>
      <c r="E87" s="463"/>
      <c r="F87" s="465">
        <v>0</v>
      </c>
      <c r="G87" s="409">
        <f t="shared" ref="G87:BR87" si="50">F91</f>
        <v>1367250</v>
      </c>
      <c r="H87" s="466">
        <f t="shared" si="50"/>
        <v>1357594.3756250001</v>
      </c>
      <c r="I87" s="466">
        <f t="shared" si="50"/>
        <v>1347938.7512500002</v>
      </c>
      <c r="J87" s="466">
        <f t="shared" si="50"/>
        <v>1364468.9222556381</v>
      </c>
      <c r="K87" s="466">
        <f t="shared" si="50"/>
        <v>1354813.2978806382</v>
      </c>
      <c r="L87" s="466">
        <f t="shared" si="50"/>
        <v>1345157.6735056383</v>
      </c>
      <c r="M87" s="466">
        <f t="shared" si="50"/>
        <v>1361633.8177740197</v>
      </c>
      <c r="N87" s="466">
        <f t="shared" si="50"/>
        <v>1351978.1933990198</v>
      </c>
      <c r="O87" s="466">
        <f t="shared" si="50"/>
        <v>1342322.5690240199</v>
      </c>
      <c r="P87" s="466">
        <f t="shared" si="50"/>
        <v>1358743.6370021992</v>
      </c>
      <c r="Q87" s="466">
        <f t="shared" si="50"/>
        <v>1349088.0126271993</v>
      </c>
      <c r="R87" s="466">
        <f t="shared" si="50"/>
        <v>1339432.3882521994</v>
      </c>
      <c r="S87" s="466">
        <f t="shared" si="50"/>
        <v>1355797.3099980417</v>
      </c>
      <c r="T87" s="466">
        <f t="shared" si="50"/>
        <v>1345470.8762667917</v>
      </c>
      <c r="U87" s="466">
        <f t="shared" si="50"/>
        <v>1335144.4425355417</v>
      </c>
      <c r="V87" s="466">
        <f t="shared" si="50"/>
        <v>1350755.2549465292</v>
      </c>
      <c r="W87" s="466">
        <f t="shared" si="50"/>
        <v>1340428.8212152792</v>
      </c>
      <c r="X87" s="466">
        <f t="shared" si="50"/>
        <v>1330102.3874840292</v>
      </c>
      <c r="Y87" s="466">
        <f t="shared" si="50"/>
        <v>1345615.2501760442</v>
      </c>
      <c r="Z87" s="466">
        <f t="shared" si="50"/>
        <v>1335288.8164447942</v>
      </c>
      <c r="AA87" s="466">
        <f t="shared" si="50"/>
        <v>1324962.3827135442</v>
      </c>
      <c r="AB87" s="466">
        <f t="shared" si="50"/>
        <v>1340375.3928617768</v>
      </c>
      <c r="AC87" s="466">
        <f t="shared" si="50"/>
        <v>1330048.9591305268</v>
      </c>
      <c r="AD87" s="466">
        <f t="shared" si="50"/>
        <v>1319722.5253992768</v>
      </c>
      <c r="AE87" s="466">
        <f t="shared" si="50"/>
        <v>1335033.7432136009</v>
      </c>
      <c r="AF87" s="466">
        <f t="shared" si="50"/>
        <v>1324016.3758454134</v>
      </c>
      <c r="AG87" s="466">
        <f t="shared" si="50"/>
        <v>1312999.0084772259</v>
      </c>
      <c r="AH87" s="466">
        <f t="shared" si="50"/>
        <v>1327488.6779377379</v>
      </c>
      <c r="AI87" s="466">
        <f t="shared" si="50"/>
        <v>1316471.3105695504</v>
      </c>
      <c r="AJ87" s="466">
        <f t="shared" si="50"/>
        <v>1305453.9432013629</v>
      </c>
      <c r="AK87" s="466">
        <f t="shared" si="50"/>
        <v>1319797.0380973672</v>
      </c>
      <c r="AL87" s="466">
        <f t="shared" si="50"/>
        <v>1308779.6707291796</v>
      </c>
      <c r="AM87" s="466">
        <f t="shared" si="50"/>
        <v>1297762.3033609921</v>
      </c>
      <c r="AN87" s="466">
        <f t="shared" si="50"/>
        <v>1311955.976254836</v>
      </c>
      <c r="AO87" s="466">
        <f t="shared" si="50"/>
        <v>1300938.6088866484</v>
      </c>
      <c r="AP87" s="466">
        <f t="shared" si="50"/>
        <v>1289921.2415184609</v>
      </c>
      <c r="AQ87" s="466">
        <f t="shared" si="50"/>
        <v>1303962.5896566103</v>
      </c>
      <c r="AR87" s="466">
        <f t="shared" si="50"/>
        <v>1292233.5606423772</v>
      </c>
      <c r="AS87" s="466">
        <f t="shared" si="50"/>
        <v>1280504.5316281442</v>
      </c>
      <c r="AT87" s="466">
        <f t="shared" si="50"/>
        <v>1293651.2839638421</v>
      </c>
      <c r="AU87" s="466">
        <f t="shared" si="50"/>
        <v>1281922.2549496091</v>
      </c>
      <c r="AV87" s="466">
        <f t="shared" si="50"/>
        <v>1270193.225935376</v>
      </c>
      <c r="AW87" s="466">
        <f t="shared" si="50"/>
        <v>1283139.6652073478</v>
      </c>
      <c r="AX87" s="466">
        <f t="shared" si="50"/>
        <v>1271410.6361931148</v>
      </c>
      <c r="AY87" s="466">
        <f t="shared" si="50"/>
        <v>1259681.6071788818</v>
      </c>
      <c r="AZ87" s="466">
        <f t="shared" si="50"/>
        <v>1272423.8419959985</v>
      </c>
      <c r="BA87" s="466">
        <f t="shared" si="50"/>
        <v>1260694.8129817655</v>
      </c>
      <c r="BB87" s="466">
        <f t="shared" si="50"/>
        <v>1248965.7839675325</v>
      </c>
      <c r="BC87" s="466">
        <f t="shared" si="50"/>
        <v>1261499.8473423733</v>
      </c>
      <c r="BD87" s="466">
        <f t="shared" si="50"/>
        <v>1254991.9888351283</v>
      </c>
      <c r="BE87" s="466">
        <f t="shared" si="50"/>
        <v>1248484.1303278832</v>
      </c>
      <c r="BF87" s="466">
        <f t="shared" si="50"/>
        <v>1266230.0073426878</v>
      </c>
      <c r="BG87" s="466">
        <f t="shared" si="50"/>
        <v>1259722.1488354427</v>
      </c>
      <c r="BH87" s="466">
        <f t="shared" si="50"/>
        <v>1253214.2903281976</v>
      </c>
      <c r="BI87" s="466">
        <f t="shared" si="50"/>
        <v>1271052.0580181319</v>
      </c>
      <c r="BJ87" s="466">
        <f t="shared" si="50"/>
        <v>1264544.1995108868</v>
      </c>
      <c r="BK87" s="466">
        <f t="shared" si="50"/>
        <v>1258036.3410036417</v>
      </c>
      <c r="BL87" s="466">
        <f t="shared" si="50"/>
        <v>1275967.7844872167</v>
      </c>
      <c r="BM87" s="466">
        <f t="shared" si="50"/>
        <v>1269459.9259799717</v>
      </c>
      <c r="BN87" s="466">
        <f t="shared" si="50"/>
        <v>1262952.0674727266</v>
      </c>
      <c r="BO87" s="466">
        <f t="shared" si="50"/>
        <v>0</v>
      </c>
      <c r="BP87" s="466">
        <f t="shared" si="50"/>
        <v>0</v>
      </c>
      <c r="BQ87" s="466">
        <f t="shared" si="50"/>
        <v>0</v>
      </c>
      <c r="BR87" s="466">
        <f t="shared" si="50"/>
        <v>0</v>
      </c>
      <c r="BS87" s="466">
        <f t="shared" ref="BS87:DV87" si="51">BR91</f>
        <v>0</v>
      </c>
      <c r="BT87" s="466">
        <f t="shared" si="51"/>
        <v>0</v>
      </c>
      <c r="BU87" s="466">
        <f t="shared" si="51"/>
        <v>0</v>
      </c>
      <c r="BV87" s="466">
        <f t="shared" si="51"/>
        <v>0</v>
      </c>
      <c r="BW87" s="466">
        <f t="shared" si="51"/>
        <v>0</v>
      </c>
      <c r="BX87" s="466">
        <f t="shared" si="51"/>
        <v>0</v>
      </c>
      <c r="BY87" s="466">
        <f t="shared" si="51"/>
        <v>0</v>
      </c>
      <c r="BZ87" s="466">
        <f t="shared" si="51"/>
        <v>0</v>
      </c>
      <c r="CA87" s="466">
        <f t="shared" si="51"/>
        <v>0</v>
      </c>
      <c r="CB87" s="466">
        <f t="shared" si="51"/>
        <v>0</v>
      </c>
      <c r="CC87" s="466">
        <f t="shared" si="51"/>
        <v>0</v>
      </c>
      <c r="CD87" s="466">
        <f t="shared" si="51"/>
        <v>0</v>
      </c>
      <c r="CE87" s="466">
        <f t="shared" si="51"/>
        <v>0</v>
      </c>
      <c r="CF87" s="466">
        <f t="shared" si="51"/>
        <v>0</v>
      </c>
      <c r="CG87" s="466">
        <f t="shared" si="51"/>
        <v>0</v>
      </c>
      <c r="CH87" s="466">
        <f t="shared" si="51"/>
        <v>0</v>
      </c>
      <c r="CI87" s="466">
        <f t="shared" si="51"/>
        <v>0</v>
      </c>
      <c r="CJ87" s="466">
        <f t="shared" si="51"/>
        <v>0</v>
      </c>
      <c r="CK87" s="466">
        <f t="shared" si="51"/>
        <v>0</v>
      </c>
      <c r="CL87" s="466">
        <f t="shared" si="51"/>
        <v>0</v>
      </c>
      <c r="CM87" s="466">
        <f t="shared" si="51"/>
        <v>0</v>
      </c>
      <c r="CN87" s="466">
        <f t="shared" si="51"/>
        <v>0</v>
      </c>
      <c r="CO87" s="466">
        <f t="shared" si="51"/>
        <v>0</v>
      </c>
      <c r="CP87" s="466">
        <f t="shared" si="51"/>
        <v>0</v>
      </c>
      <c r="CQ87" s="466">
        <f t="shared" si="51"/>
        <v>0</v>
      </c>
      <c r="CR87" s="466">
        <f t="shared" si="51"/>
        <v>0</v>
      </c>
      <c r="CS87" s="466">
        <f t="shared" si="51"/>
        <v>0</v>
      </c>
      <c r="CT87" s="466">
        <f t="shared" si="51"/>
        <v>0</v>
      </c>
      <c r="CU87" s="466">
        <f t="shared" si="51"/>
        <v>0</v>
      </c>
      <c r="CV87" s="466">
        <f t="shared" si="51"/>
        <v>0</v>
      </c>
      <c r="CW87" s="466">
        <f t="shared" si="51"/>
        <v>0</v>
      </c>
      <c r="CX87" s="466">
        <f t="shared" si="51"/>
        <v>0</v>
      </c>
      <c r="CY87" s="466">
        <f t="shared" si="51"/>
        <v>0</v>
      </c>
      <c r="CZ87" s="466">
        <f t="shared" si="51"/>
        <v>0</v>
      </c>
      <c r="DA87" s="466">
        <f t="shared" si="51"/>
        <v>0</v>
      </c>
      <c r="DB87" s="466">
        <f t="shared" si="51"/>
        <v>0</v>
      </c>
      <c r="DC87" s="466">
        <f t="shared" si="51"/>
        <v>0</v>
      </c>
      <c r="DD87" s="466">
        <f t="shared" si="51"/>
        <v>0</v>
      </c>
      <c r="DE87" s="466">
        <f t="shared" si="51"/>
        <v>0</v>
      </c>
      <c r="DF87" s="466">
        <f t="shared" si="51"/>
        <v>0</v>
      </c>
      <c r="DG87" s="466">
        <f t="shared" si="51"/>
        <v>0</v>
      </c>
      <c r="DH87" s="466">
        <f t="shared" si="51"/>
        <v>0</v>
      </c>
      <c r="DI87" s="466">
        <f t="shared" si="51"/>
        <v>0</v>
      </c>
      <c r="DJ87" s="466">
        <f t="shared" si="51"/>
        <v>0</v>
      </c>
      <c r="DK87" s="466">
        <f t="shared" si="51"/>
        <v>0</v>
      </c>
      <c r="DL87" s="466">
        <f t="shared" si="51"/>
        <v>0</v>
      </c>
      <c r="DM87" s="466">
        <f t="shared" si="51"/>
        <v>0</v>
      </c>
      <c r="DN87" s="466">
        <f t="shared" si="51"/>
        <v>0</v>
      </c>
      <c r="DO87" s="466">
        <f t="shared" si="51"/>
        <v>0</v>
      </c>
      <c r="DP87" s="466">
        <f t="shared" si="51"/>
        <v>0</v>
      </c>
      <c r="DQ87" s="466">
        <f t="shared" si="51"/>
        <v>0</v>
      </c>
      <c r="DR87" s="466">
        <f t="shared" si="51"/>
        <v>0</v>
      </c>
      <c r="DS87" s="466">
        <f t="shared" si="51"/>
        <v>0</v>
      </c>
      <c r="DT87" s="466">
        <f t="shared" si="51"/>
        <v>0</v>
      </c>
      <c r="DU87" s="466">
        <f t="shared" si="51"/>
        <v>0</v>
      </c>
      <c r="DV87" s="466">
        <f t="shared" si="51"/>
        <v>0</v>
      </c>
      <c r="DW87" s="322" t="s">
        <v>372</v>
      </c>
    </row>
    <row r="88" spans="3:127" hidden="1" outlineLevel="1" x14ac:dyDescent="0.3">
      <c r="C88" s="374" t="s">
        <v>400</v>
      </c>
      <c r="D88" s="374"/>
      <c r="E88" s="467">
        <f>SUM(F88:DV88)</f>
        <v>1367250</v>
      </c>
      <c r="F88" s="468">
        <f t="shared" ref="F88:BQ88" si="52">-F78</f>
        <v>1367250</v>
      </c>
      <c r="G88" s="468">
        <f t="shared" si="52"/>
        <v>0</v>
      </c>
      <c r="H88" s="468">
        <f t="shared" si="52"/>
        <v>0</v>
      </c>
      <c r="I88" s="468">
        <f t="shared" si="52"/>
        <v>0</v>
      </c>
      <c r="J88" s="468">
        <f t="shared" si="52"/>
        <v>0</v>
      </c>
      <c r="K88" s="468">
        <f t="shared" si="52"/>
        <v>0</v>
      </c>
      <c r="L88" s="468">
        <f t="shared" si="52"/>
        <v>0</v>
      </c>
      <c r="M88" s="468">
        <f t="shared" si="52"/>
        <v>0</v>
      </c>
      <c r="N88" s="468">
        <f t="shared" si="52"/>
        <v>0</v>
      </c>
      <c r="O88" s="468">
        <f t="shared" si="52"/>
        <v>0</v>
      </c>
      <c r="P88" s="468">
        <f t="shared" si="52"/>
        <v>0</v>
      </c>
      <c r="Q88" s="468">
        <f t="shared" si="52"/>
        <v>0</v>
      </c>
      <c r="R88" s="468">
        <f t="shared" si="52"/>
        <v>0</v>
      </c>
      <c r="S88" s="468">
        <f t="shared" si="52"/>
        <v>0</v>
      </c>
      <c r="T88" s="468">
        <f t="shared" si="52"/>
        <v>0</v>
      </c>
      <c r="U88" s="468">
        <f t="shared" si="52"/>
        <v>0</v>
      </c>
      <c r="V88" s="468">
        <f t="shared" si="52"/>
        <v>0</v>
      </c>
      <c r="W88" s="468">
        <f t="shared" si="52"/>
        <v>0</v>
      </c>
      <c r="X88" s="468">
        <f t="shared" si="52"/>
        <v>0</v>
      </c>
      <c r="Y88" s="468">
        <f t="shared" si="52"/>
        <v>0</v>
      </c>
      <c r="Z88" s="468">
        <f t="shared" si="52"/>
        <v>0</v>
      </c>
      <c r="AA88" s="468">
        <f t="shared" si="52"/>
        <v>0</v>
      </c>
      <c r="AB88" s="468">
        <f t="shared" si="52"/>
        <v>0</v>
      </c>
      <c r="AC88" s="468">
        <f t="shared" si="52"/>
        <v>0</v>
      </c>
      <c r="AD88" s="468">
        <f t="shared" si="52"/>
        <v>0</v>
      </c>
      <c r="AE88" s="468">
        <f t="shared" si="52"/>
        <v>0</v>
      </c>
      <c r="AF88" s="468">
        <f t="shared" si="52"/>
        <v>0</v>
      </c>
      <c r="AG88" s="468">
        <f t="shared" si="52"/>
        <v>0</v>
      </c>
      <c r="AH88" s="468">
        <f t="shared" si="52"/>
        <v>0</v>
      </c>
      <c r="AI88" s="468">
        <f t="shared" si="52"/>
        <v>0</v>
      </c>
      <c r="AJ88" s="468">
        <f t="shared" si="52"/>
        <v>0</v>
      </c>
      <c r="AK88" s="468">
        <f t="shared" si="52"/>
        <v>0</v>
      </c>
      <c r="AL88" s="468">
        <f t="shared" si="52"/>
        <v>0</v>
      </c>
      <c r="AM88" s="468">
        <f t="shared" si="52"/>
        <v>0</v>
      </c>
      <c r="AN88" s="468">
        <f t="shared" si="52"/>
        <v>0</v>
      </c>
      <c r="AO88" s="468">
        <f t="shared" si="52"/>
        <v>0</v>
      </c>
      <c r="AP88" s="468">
        <f t="shared" si="52"/>
        <v>0</v>
      </c>
      <c r="AQ88" s="468">
        <f t="shared" si="52"/>
        <v>0</v>
      </c>
      <c r="AR88" s="468">
        <f t="shared" si="52"/>
        <v>0</v>
      </c>
      <c r="AS88" s="468">
        <f t="shared" si="52"/>
        <v>0</v>
      </c>
      <c r="AT88" s="468">
        <f t="shared" si="52"/>
        <v>0</v>
      </c>
      <c r="AU88" s="468">
        <f t="shared" si="52"/>
        <v>0</v>
      </c>
      <c r="AV88" s="468">
        <f t="shared" si="52"/>
        <v>0</v>
      </c>
      <c r="AW88" s="468">
        <f t="shared" si="52"/>
        <v>0</v>
      </c>
      <c r="AX88" s="468">
        <f t="shared" si="52"/>
        <v>0</v>
      </c>
      <c r="AY88" s="468">
        <f t="shared" si="52"/>
        <v>0</v>
      </c>
      <c r="AZ88" s="468">
        <f t="shared" si="52"/>
        <v>0</v>
      </c>
      <c r="BA88" s="468">
        <f t="shared" si="52"/>
        <v>0</v>
      </c>
      <c r="BB88" s="468">
        <f t="shared" si="52"/>
        <v>0</v>
      </c>
      <c r="BC88" s="468">
        <f t="shared" si="52"/>
        <v>0</v>
      </c>
      <c r="BD88" s="468">
        <f t="shared" si="52"/>
        <v>0</v>
      </c>
      <c r="BE88" s="468">
        <f t="shared" si="52"/>
        <v>0</v>
      </c>
      <c r="BF88" s="468">
        <f t="shared" si="52"/>
        <v>0</v>
      </c>
      <c r="BG88" s="468">
        <f t="shared" si="52"/>
        <v>0</v>
      </c>
      <c r="BH88" s="468">
        <f t="shared" si="52"/>
        <v>0</v>
      </c>
      <c r="BI88" s="468">
        <f t="shared" si="52"/>
        <v>0</v>
      </c>
      <c r="BJ88" s="468">
        <f t="shared" si="52"/>
        <v>0</v>
      </c>
      <c r="BK88" s="468">
        <f t="shared" si="52"/>
        <v>0</v>
      </c>
      <c r="BL88" s="468">
        <f t="shared" si="52"/>
        <v>0</v>
      </c>
      <c r="BM88" s="468">
        <f t="shared" si="52"/>
        <v>0</v>
      </c>
      <c r="BN88" s="468">
        <f t="shared" si="52"/>
        <v>0</v>
      </c>
      <c r="BO88" s="468">
        <f t="shared" si="52"/>
        <v>0</v>
      </c>
      <c r="BP88" s="468">
        <f t="shared" si="52"/>
        <v>0</v>
      </c>
      <c r="BQ88" s="468">
        <f t="shared" si="52"/>
        <v>0</v>
      </c>
      <c r="BR88" s="468">
        <f t="shared" ref="BR88:DV88" si="53">-BR78</f>
        <v>0</v>
      </c>
      <c r="BS88" s="468">
        <f t="shared" si="53"/>
        <v>0</v>
      </c>
      <c r="BT88" s="468">
        <f t="shared" si="53"/>
        <v>0</v>
      </c>
      <c r="BU88" s="468">
        <f t="shared" si="53"/>
        <v>0</v>
      </c>
      <c r="BV88" s="468">
        <f t="shared" si="53"/>
        <v>0</v>
      </c>
      <c r="BW88" s="468">
        <f t="shared" si="53"/>
        <v>0</v>
      </c>
      <c r="BX88" s="468">
        <f t="shared" si="53"/>
        <v>0</v>
      </c>
      <c r="BY88" s="468">
        <f t="shared" si="53"/>
        <v>0</v>
      </c>
      <c r="BZ88" s="468">
        <f t="shared" si="53"/>
        <v>0</v>
      </c>
      <c r="CA88" s="468">
        <f t="shared" si="53"/>
        <v>0</v>
      </c>
      <c r="CB88" s="468">
        <f t="shared" si="53"/>
        <v>0</v>
      </c>
      <c r="CC88" s="468">
        <f t="shared" si="53"/>
        <v>0</v>
      </c>
      <c r="CD88" s="468">
        <f t="shared" si="53"/>
        <v>0</v>
      </c>
      <c r="CE88" s="468">
        <f t="shared" si="53"/>
        <v>0</v>
      </c>
      <c r="CF88" s="468">
        <f t="shared" si="53"/>
        <v>0</v>
      </c>
      <c r="CG88" s="468">
        <f t="shared" si="53"/>
        <v>0</v>
      </c>
      <c r="CH88" s="468">
        <f t="shared" si="53"/>
        <v>0</v>
      </c>
      <c r="CI88" s="468">
        <f t="shared" si="53"/>
        <v>0</v>
      </c>
      <c r="CJ88" s="468">
        <f t="shared" si="53"/>
        <v>0</v>
      </c>
      <c r="CK88" s="468">
        <f t="shared" si="53"/>
        <v>0</v>
      </c>
      <c r="CL88" s="468">
        <f t="shared" si="53"/>
        <v>0</v>
      </c>
      <c r="CM88" s="468">
        <f t="shared" si="53"/>
        <v>0</v>
      </c>
      <c r="CN88" s="468">
        <f t="shared" si="53"/>
        <v>0</v>
      </c>
      <c r="CO88" s="468">
        <f t="shared" si="53"/>
        <v>0</v>
      </c>
      <c r="CP88" s="468">
        <f t="shared" si="53"/>
        <v>0</v>
      </c>
      <c r="CQ88" s="468">
        <f t="shared" si="53"/>
        <v>0</v>
      </c>
      <c r="CR88" s="468">
        <f t="shared" si="53"/>
        <v>0</v>
      </c>
      <c r="CS88" s="468">
        <f t="shared" si="53"/>
        <v>0</v>
      </c>
      <c r="CT88" s="468">
        <f t="shared" si="53"/>
        <v>0</v>
      </c>
      <c r="CU88" s="468">
        <f t="shared" si="53"/>
        <v>0</v>
      </c>
      <c r="CV88" s="468">
        <f t="shared" si="53"/>
        <v>0</v>
      </c>
      <c r="CW88" s="468">
        <f t="shared" si="53"/>
        <v>0</v>
      </c>
      <c r="CX88" s="468">
        <f t="shared" si="53"/>
        <v>0</v>
      </c>
      <c r="CY88" s="468">
        <f t="shared" si="53"/>
        <v>0</v>
      </c>
      <c r="CZ88" s="468">
        <f t="shared" si="53"/>
        <v>0</v>
      </c>
      <c r="DA88" s="468">
        <f t="shared" si="53"/>
        <v>0</v>
      </c>
      <c r="DB88" s="468">
        <f t="shared" si="53"/>
        <v>0</v>
      </c>
      <c r="DC88" s="468">
        <f t="shared" si="53"/>
        <v>0</v>
      </c>
      <c r="DD88" s="468">
        <f t="shared" si="53"/>
        <v>0</v>
      </c>
      <c r="DE88" s="468">
        <f t="shared" si="53"/>
        <v>0</v>
      </c>
      <c r="DF88" s="468">
        <f t="shared" si="53"/>
        <v>0</v>
      </c>
      <c r="DG88" s="468">
        <f t="shared" si="53"/>
        <v>0</v>
      </c>
      <c r="DH88" s="468">
        <f t="shared" si="53"/>
        <v>0</v>
      </c>
      <c r="DI88" s="468">
        <f t="shared" si="53"/>
        <v>0</v>
      </c>
      <c r="DJ88" s="468">
        <f t="shared" si="53"/>
        <v>0</v>
      </c>
      <c r="DK88" s="468">
        <f t="shared" si="53"/>
        <v>0</v>
      </c>
      <c r="DL88" s="468">
        <f t="shared" si="53"/>
        <v>0</v>
      </c>
      <c r="DM88" s="468">
        <f t="shared" si="53"/>
        <v>0</v>
      </c>
      <c r="DN88" s="468">
        <f t="shared" si="53"/>
        <v>0</v>
      </c>
      <c r="DO88" s="468">
        <f t="shared" si="53"/>
        <v>0</v>
      </c>
      <c r="DP88" s="468">
        <f t="shared" si="53"/>
        <v>0</v>
      </c>
      <c r="DQ88" s="468">
        <f t="shared" si="53"/>
        <v>0</v>
      </c>
      <c r="DR88" s="468">
        <f t="shared" si="53"/>
        <v>0</v>
      </c>
      <c r="DS88" s="468">
        <f t="shared" si="53"/>
        <v>0</v>
      </c>
      <c r="DT88" s="468">
        <f t="shared" si="53"/>
        <v>0</v>
      </c>
      <c r="DU88" s="468">
        <f t="shared" si="53"/>
        <v>0</v>
      </c>
      <c r="DV88" s="468">
        <f t="shared" si="53"/>
        <v>0</v>
      </c>
      <c r="DW88" s="322" t="s">
        <v>372</v>
      </c>
    </row>
    <row r="89" spans="3:127" hidden="1" outlineLevel="1" x14ac:dyDescent="0.3">
      <c r="C89" s="374" t="s">
        <v>401</v>
      </c>
      <c r="D89" s="374"/>
      <c r="E89" s="463">
        <f>SUM(F89:DV89)</f>
        <v>504564.7624981277</v>
      </c>
      <c r="F89" s="468">
        <v>0</v>
      </c>
      <c r="G89" s="468">
        <f>G87*(((1+$D$38)^(1/$K$38)-1)*G85)</f>
        <v>0</v>
      </c>
      <c r="H89" s="468">
        <f t="shared" ref="H89:BS89" si="54">H87*(((1+$D$38)^(1/$K$38)-1)*H85)</f>
        <v>0</v>
      </c>
      <c r="I89" s="468">
        <f t="shared" si="54"/>
        <v>26185.795380637734</v>
      </c>
      <c r="J89" s="468">
        <f t="shared" si="54"/>
        <v>0</v>
      </c>
      <c r="K89" s="468">
        <f t="shared" si="54"/>
        <v>0</v>
      </c>
      <c r="L89" s="468">
        <f t="shared" si="54"/>
        <v>26131.768643381332</v>
      </c>
      <c r="M89" s="468">
        <f t="shared" si="54"/>
        <v>0</v>
      </c>
      <c r="N89" s="468">
        <f t="shared" si="54"/>
        <v>0</v>
      </c>
      <c r="O89" s="468">
        <f t="shared" si="54"/>
        <v>26076.692353179318</v>
      </c>
      <c r="P89" s="468">
        <f t="shared" si="54"/>
        <v>0</v>
      </c>
      <c r="Q89" s="468">
        <f t="shared" si="54"/>
        <v>0</v>
      </c>
      <c r="R89" s="468">
        <f t="shared" si="54"/>
        <v>26020.546120842155</v>
      </c>
      <c r="S89" s="468">
        <f t="shared" si="54"/>
        <v>0</v>
      </c>
      <c r="T89" s="468">
        <f t="shared" si="54"/>
        <v>0</v>
      </c>
      <c r="U89" s="468">
        <f t="shared" si="54"/>
        <v>25937.246142237374</v>
      </c>
      <c r="V89" s="468">
        <f t="shared" si="54"/>
        <v>0</v>
      </c>
      <c r="W89" s="468">
        <f t="shared" si="54"/>
        <v>0</v>
      </c>
      <c r="X89" s="468">
        <f t="shared" si="54"/>
        <v>25839.29642326507</v>
      </c>
      <c r="Y89" s="468">
        <f t="shared" si="54"/>
        <v>0</v>
      </c>
      <c r="Z89" s="468">
        <f t="shared" si="54"/>
        <v>0</v>
      </c>
      <c r="AA89" s="468">
        <f t="shared" si="54"/>
        <v>25739.443879482493</v>
      </c>
      <c r="AB89" s="468">
        <f t="shared" si="54"/>
        <v>0</v>
      </c>
      <c r="AC89" s="468">
        <f t="shared" si="54"/>
        <v>0</v>
      </c>
      <c r="AD89" s="468">
        <f t="shared" si="54"/>
        <v>25637.651545574216</v>
      </c>
      <c r="AE89" s="468">
        <f t="shared" si="54"/>
        <v>0</v>
      </c>
      <c r="AF89" s="468">
        <f t="shared" si="54"/>
        <v>0</v>
      </c>
      <c r="AG89" s="468">
        <f t="shared" si="54"/>
        <v>25507.036828699423</v>
      </c>
      <c r="AH89" s="468">
        <f t="shared" si="54"/>
        <v>0</v>
      </c>
      <c r="AI89" s="468">
        <f t="shared" si="54"/>
        <v>0</v>
      </c>
      <c r="AJ89" s="468">
        <f t="shared" si="54"/>
        <v>25360.462264191887</v>
      </c>
      <c r="AK89" s="468">
        <f t="shared" si="54"/>
        <v>0</v>
      </c>
      <c r="AL89" s="468">
        <f t="shared" si="54"/>
        <v>0</v>
      </c>
      <c r="AM89" s="468">
        <f t="shared" si="54"/>
        <v>25211.04026203138</v>
      </c>
      <c r="AN89" s="468">
        <f t="shared" si="54"/>
        <v>0</v>
      </c>
      <c r="AO89" s="468">
        <f t="shared" si="54"/>
        <v>0</v>
      </c>
      <c r="AP89" s="468">
        <f t="shared" si="54"/>
        <v>25058.715506336772</v>
      </c>
      <c r="AQ89" s="468">
        <f t="shared" si="54"/>
        <v>0</v>
      </c>
      <c r="AR89" s="468">
        <f t="shared" si="54"/>
        <v>0</v>
      </c>
      <c r="AS89" s="468">
        <f t="shared" si="54"/>
        <v>24875.78134993093</v>
      </c>
      <c r="AT89" s="468">
        <f t="shared" si="54"/>
        <v>0</v>
      </c>
      <c r="AU89" s="468">
        <f t="shared" si="54"/>
        <v>0</v>
      </c>
      <c r="AV89" s="468">
        <f t="shared" si="54"/>
        <v>24675.468286204825</v>
      </c>
      <c r="AW89" s="468">
        <f t="shared" si="54"/>
        <v>0</v>
      </c>
      <c r="AX89" s="468">
        <f t="shared" si="54"/>
        <v>0</v>
      </c>
      <c r="AY89" s="468">
        <f t="shared" si="54"/>
        <v>24471.263831349901</v>
      </c>
      <c r="AZ89" s="468">
        <f t="shared" si="54"/>
        <v>0</v>
      </c>
      <c r="BA89" s="468">
        <f t="shared" si="54"/>
        <v>0</v>
      </c>
      <c r="BB89" s="468">
        <f t="shared" si="54"/>
        <v>24263.092389073856</v>
      </c>
      <c r="BC89" s="468">
        <f t="shared" si="54"/>
        <v>0</v>
      </c>
      <c r="BD89" s="468">
        <f t="shared" si="54"/>
        <v>0</v>
      </c>
      <c r="BE89" s="468">
        <f t="shared" si="54"/>
        <v>24253.735522049668</v>
      </c>
      <c r="BF89" s="468">
        <f t="shared" si="54"/>
        <v>0</v>
      </c>
      <c r="BG89" s="468">
        <f t="shared" si="54"/>
        <v>0</v>
      </c>
      <c r="BH89" s="468">
        <f t="shared" si="54"/>
        <v>24345.626197179419</v>
      </c>
      <c r="BI89" s="468">
        <f t="shared" si="54"/>
        <v>0</v>
      </c>
      <c r="BJ89" s="468">
        <f t="shared" si="54"/>
        <v>0</v>
      </c>
      <c r="BK89" s="468">
        <f t="shared" si="54"/>
        <v>24439.301990820004</v>
      </c>
      <c r="BL89" s="468">
        <f t="shared" si="54"/>
        <v>0</v>
      </c>
      <c r="BM89" s="468">
        <f t="shared" si="54"/>
        <v>0</v>
      </c>
      <c r="BN89" s="468">
        <f t="shared" si="54"/>
        <v>24534.797581659921</v>
      </c>
      <c r="BO89" s="468">
        <f t="shared" si="54"/>
        <v>0</v>
      </c>
      <c r="BP89" s="468">
        <f t="shared" si="54"/>
        <v>0</v>
      </c>
      <c r="BQ89" s="468">
        <f t="shared" si="54"/>
        <v>0</v>
      </c>
      <c r="BR89" s="468">
        <f t="shared" si="54"/>
        <v>0</v>
      </c>
      <c r="BS89" s="468">
        <f t="shared" si="54"/>
        <v>0</v>
      </c>
      <c r="BT89" s="468">
        <f>BT87*(((1+$D$38)^(1/$K$38)-1)*BT85)</f>
        <v>0</v>
      </c>
      <c r="BU89" s="468">
        <f>BU87*(((1+$D$38)^(1/$K$38)-1)*BU85)</f>
        <v>0</v>
      </c>
      <c r="BV89" s="468">
        <f>BV87*(((1+$D$38)^(1/$K$38)-1)*BV85)</f>
        <v>0</v>
      </c>
      <c r="BW89" s="468">
        <f>BW87*(((1+$D$38)^(1/$K$38)-1)*BW85)</f>
        <v>0</v>
      </c>
      <c r="BX89" s="468">
        <f t="shared" ref="BX89:DV89" si="55">BX87*(((1+$D$38)^(1/$K$38)-1)*BX85)</f>
        <v>0</v>
      </c>
      <c r="BY89" s="468">
        <f t="shared" si="55"/>
        <v>0</v>
      </c>
      <c r="BZ89" s="468">
        <f t="shared" si="55"/>
        <v>0</v>
      </c>
      <c r="CA89" s="468">
        <f t="shared" si="55"/>
        <v>0</v>
      </c>
      <c r="CB89" s="468">
        <f t="shared" si="55"/>
        <v>0</v>
      </c>
      <c r="CC89" s="468">
        <f t="shared" si="55"/>
        <v>0</v>
      </c>
      <c r="CD89" s="468">
        <f t="shared" si="55"/>
        <v>0</v>
      </c>
      <c r="CE89" s="468">
        <f t="shared" si="55"/>
        <v>0</v>
      </c>
      <c r="CF89" s="468">
        <f t="shared" si="55"/>
        <v>0</v>
      </c>
      <c r="CG89" s="468">
        <f t="shared" si="55"/>
        <v>0</v>
      </c>
      <c r="CH89" s="468">
        <f t="shared" si="55"/>
        <v>0</v>
      </c>
      <c r="CI89" s="468">
        <f t="shared" si="55"/>
        <v>0</v>
      </c>
      <c r="CJ89" s="468">
        <f t="shared" si="55"/>
        <v>0</v>
      </c>
      <c r="CK89" s="468">
        <f t="shared" si="55"/>
        <v>0</v>
      </c>
      <c r="CL89" s="468">
        <f t="shared" si="55"/>
        <v>0</v>
      </c>
      <c r="CM89" s="468">
        <f t="shared" si="55"/>
        <v>0</v>
      </c>
      <c r="CN89" s="468">
        <f t="shared" si="55"/>
        <v>0</v>
      </c>
      <c r="CO89" s="468">
        <f t="shared" si="55"/>
        <v>0</v>
      </c>
      <c r="CP89" s="468">
        <f t="shared" si="55"/>
        <v>0</v>
      </c>
      <c r="CQ89" s="468">
        <f t="shared" si="55"/>
        <v>0</v>
      </c>
      <c r="CR89" s="468">
        <f t="shared" si="55"/>
        <v>0</v>
      </c>
      <c r="CS89" s="468">
        <f t="shared" si="55"/>
        <v>0</v>
      </c>
      <c r="CT89" s="468">
        <f t="shared" si="55"/>
        <v>0</v>
      </c>
      <c r="CU89" s="468">
        <f t="shared" si="55"/>
        <v>0</v>
      </c>
      <c r="CV89" s="468">
        <f t="shared" si="55"/>
        <v>0</v>
      </c>
      <c r="CW89" s="468">
        <f t="shared" si="55"/>
        <v>0</v>
      </c>
      <c r="CX89" s="468">
        <f t="shared" si="55"/>
        <v>0</v>
      </c>
      <c r="CY89" s="468">
        <f t="shared" si="55"/>
        <v>0</v>
      </c>
      <c r="CZ89" s="468">
        <f t="shared" si="55"/>
        <v>0</v>
      </c>
      <c r="DA89" s="468">
        <f t="shared" si="55"/>
        <v>0</v>
      </c>
      <c r="DB89" s="468">
        <f t="shared" si="55"/>
        <v>0</v>
      </c>
      <c r="DC89" s="468">
        <f t="shared" si="55"/>
        <v>0</v>
      </c>
      <c r="DD89" s="468">
        <f t="shared" si="55"/>
        <v>0</v>
      </c>
      <c r="DE89" s="468">
        <f t="shared" si="55"/>
        <v>0</v>
      </c>
      <c r="DF89" s="468">
        <f t="shared" si="55"/>
        <v>0</v>
      </c>
      <c r="DG89" s="468">
        <f t="shared" si="55"/>
        <v>0</v>
      </c>
      <c r="DH89" s="468">
        <f t="shared" si="55"/>
        <v>0</v>
      </c>
      <c r="DI89" s="468">
        <f t="shared" si="55"/>
        <v>0</v>
      </c>
      <c r="DJ89" s="468">
        <f t="shared" si="55"/>
        <v>0</v>
      </c>
      <c r="DK89" s="468">
        <f t="shared" si="55"/>
        <v>0</v>
      </c>
      <c r="DL89" s="468">
        <f t="shared" si="55"/>
        <v>0</v>
      </c>
      <c r="DM89" s="468">
        <f t="shared" si="55"/>
        <v>0</v>
      </c>
      <c r="DN89" s="468">
        <f t="shared" si="55"/>
        <v>0</v>
      </c>
      <c r="DO89" s="468">
        <f t="shared" si="55"/>
        <v>0</v>
      </c>
      <c r="DP89" s="468">
        <f t="shared" si="55"/>
        <v>0</v>
      </c>
      <c r="DQ89" s="468">
        <f t="shared" si="55"/>
        <v>0</v>
      </c>
      <c r="DR89" s="468">
        <f t="shared" si="55"/>
        <v>0</v>
      </c>
      <c r="DS89" s="468">
        <f t="shared" si="55"/>
        <v>0</v>
      </c>
      <c r="DT89" s="468">
        <f t="shared" si="55"/>
        <v>0</v>
      </c>
      <c r="DU89" s="468">
        <f t="shared" si="55"/>
        <v>0</v>
      </c>
      <c r="DV89" s="468">
        <f t="shared" si="55"/>
        <v>0</v>
      </c>
      <c r="DW89" s="322" t="s">
        <v>372</v>
      </c>
    </row>
    <row r="90" spans="3:127" hidden="1" outlineLevel="1" x14ac:dyDescent="0.3">
      <c r="C90" s="469" t="str">
        <f>TEXT(D38,"0.00%")&amp;" Accrual Distribution"</f>
        <v>8.00% Accrual Distribution</v>
      </c>
      <c r="D90" s="469"/>
      <c r="E90" s="463">
        <f>SUM(F90:DV90)</f>
        <v>-1871814.7624981306</v>
      </c>
      <c r="F90" s="468">
        <v>0</v>
      </c>
      <c r="G90" s="468">
        <f t="shared" ref="G90:AL90" si="56">-MIN(G81*$D$126,SUM(G87:G89))</f>
        <v>-9655.6243749999994</v>
      </c>
      <c r="H90" s="468">
        <f t="shared" si="56"/>
        <v>-9655.6243749999994</v>
      </c>
      <c r="I90" s="468">
        <f t="shared" si="56"/>
        <v>-9655.6243749999994</v>
      </c>
      <c r="J90" s="468">
        <f t="shared" si="56"/>
        <v>-9655.6243749999994</v>
      </c>
      <c r="K90" s="468">
        <f t="shared" si="56"/>
        <v>-9655.6243749999994</v>
      </c>
      <c r="L90" s="468">
        <f t="shared" si="56"/>
        <v>-9655.6243749999994</v>
      </c>
      <c r="M90" s="468">
        <f t="shared" si="56"/>
        <v>-9655.6243749999994</v>
      </c>
      <c r="N90" s="468">
        <f t="shared" si="56"/>
        <v>-9655.6243749999994</v>
      </c>
      <c r="O90" s="468">
        <f t="shared" si="56"/>
        <v>-9655.6243749999994</v>
      </c>
      <c r="P90" s="468">
        <f t="shared" si="56"/>
        <v>-9655.6243749999994</v>
      </c>
      <c r="Q90" s="468">
        <f t="shared" si="56"/>
        <v>-9655.6243749999994</v>
      </c>
      <c r="R90" s="468">
        <f t="shared" si="56"/>
        <v>-9655.6243749999994</v>
      </c>
      <c r="S90" s="468">
        <f t="shared" si="56"/>
        <v>-10326.433731250003</v>
      </c>
      <c r="T90" s="468">
        <f t="shared" si="56"/>
        <v>-10326.433731250003</v>
      </c>
      <c r="U90" s="468">
        <f t="shared" si="56"/>
        <v>-10326.433731250003</v>
      </c>
      <c r="V90" s="468">
        <f t="shared" si="56"/>
        <v>-10326.433731250003</v>
      </c>
      <c r="W90" s="468">
        <f t="shared" si="56"/>
        <v>-10326.433731250003</v>
      </c>
      <c r="X90" s="468">
        <f t="shared" si="56"/>
        <v>-10326.433731250003</v>
      </c>
      <c r="Y90" s="468">
        <f t="shared" si="56"/>
        <v>-10326.433731250003</v>
      </c>
      <c r="Z90" s="468">
        <f t="shared" si="56"/>
        <v>-10326.433731250003</v>
      </c>
      <c r="AA90" s="468">
        <f t="shared" si="56"/>
        <v>-10326.433731250003</v>
      </c>
      <c r="AB90" s="468">
        <f t="shared" si="56"/>
        <v>-10326.433731250003</v>
      </c>
      <c r="AC90" s="468">
        <f t="shared" si="56"/>
        <v>-10326.433731250003</v>
      </c>
      <c r="AD90" s="468">
        <f t="shared" si="56"/>
        <v>-10326.433731250003</v>
      </c>
      <c r="AE90" s="468">
        <f t="shared" si="56"/>
        <v>-11017.367368187497</v>
      </c>
      <c r="AF90" s="468">
        <f t="shared" si="56"/>
        <v>-11017.367368187497</v>
      </c>
      <c r="AG90" s="468">
        <f t="shared" si="56"/>
        <v>-11017.367368187497</v>
      </c>
      <c r="AH90" s="468">
        <f t="shared" si="56"/>
        <v>-11017.367368187497</v>
      </c>
      <c r="AI90" s="468">
        <f t="shared" si="56"/>
        <v>-11017.367368187497</v>
      </c>
      <c r="AJ90" s="468">
        <f t="shared" si="56"/>
        <v>-11017.367368187497</v>
      </c>
      <c r="AK90" s="468">
        <f t="shared" si="56"/>
        <v>-11017.367368187497</v>
      </c>
      <c r="AL90" s="468">
        <f t="shared" si="56"/>
        <v>-11017.367368187497</v>
      </c>
      <c r="AM90" s="468">
        <f t="shared" ref="AM90:CX90" si="57">-MIN(AM81*$D$126,SUM(AM87:AM89))</f>
        <v>-11017.367368187497</v>
      </c>
      <c r="AN90" s="468">
        <f t="shared" si="57"/>
        <v>-11017.367368187497</v>
      </c>
      <c r="AO90" s="468">
        <f t="shared" si="57"/>
        <v>-11017.367368187497</v>
      </c>
      <c r="AP90" s="468">
        <f t="shared" si="57"/>
        <v>-11017.367368187497</v>
      </c>
      <c r="AQ90" s="468">
        <f t="shared" si="57"/>
        <v>-11729.029014233121</v>
      </c>
      <c r="AR90" s="468">
        <f t="shared" si="57"/>
        <v>-11729.029014233121</v>
      </c>
      <c r="AS90" s="468">
        <f t="shared" si="57"/>
        <v>-11729.029014233121</v>
      </c>
      <c r="AT90" s="468">
        <f t="shared" si="57"/>
        <v>-11729.029014233121</v>
      </c>
      <c r="AU90" s="468">
        <f t="shared" si="57"/>
        <v>-11729.029014233121</v>
      </c>
      <c r="AV90" s="468">
        <f t="shared" si="57"/>
        <v>-11729.029014233121</v>
      </c>
      <c r="AW90" s="468">
        <f t="shared" si="57"/>
        <v>-11729.029014233121</v>
      </c>
      <c r="AX90" s="468">
        <f t="shared" si="57"/>
        <v>-11729.029014233121</v>
      </c>
      <c r="AY90" s="468">
        <f t="shared" si="57"/>
        <v>-11729.029014233121</v>
      </c>
      <c r="AZ90" s="468">
        <f t="shared" si="57"/>
        <v>-11729.029014233121</v>
      </c>
      <c r="BA90" s="468">
        <f t="shared" si="57"/>
        <v>-11729.029014233121</v>
      </c>
      <c r="BB90" s="468">
        <f t="shared" si="57"/>
        <v>-11729.029014233121</v>
      </c>
      <c r="BC90" s="468">
        <f t="shared" si="57"/>
        <v>-6507.8585072451388</v>
      </c>
      <c r="BD90" s="468">
        <f t="shared" si="57"/>
        <v>-6507.8585072451388</v>
      </c>
      <c r="BE90" s="468">
        <f t="shared" si="57"/>
        <v>-6507.8585072451388</v>
      </c>
      <c r="BF90" s="468">
        <f t="shared" si="57"/>
        <v>-6507.8585072451388</v>
      </c>
      <c r="BG90" s="468">
        <f t="shared" si="57"/>
        <v>-6507.8585072451388</v>
      </c>
      <c r="BH90" s="468">
        <f t="shared" si="57"/>
        <v>-6507.8585072451388</v>
      </c>
      <c r="BI90" s="468">
        <f t="shared" si="57"/>
        <v>-6507.8585072451388</v>
      </c>
      <c r="BJ90" s="468">
        <f t="shared" si="57"/>
        <v>-6507.8585072451388</v>
      </c>
      <c r="BK90" s="468">
        <f t="shared" si="57"/>
        <v>-6507.8585072451388</v>
      </c>
      <c r="BL90" s="468">
        <f t="shared" si="57"/>
        <v>-6507.8585072451388</v>
      </c>
      <c r="BM90" s="468">
        <f t="shared" si="57"/>
        <v>-6507.8585072451388</v>
      </c>
      <c r="BN90" s="468">
        <f t="shared" si="57"/>
        <v>-1287486.8650543864</v>
      </c>
      <c r="BO90" s="468">
        <f t="shared" si="57"/>
        <v>0</v>
      </c>
      <c r="BP90" s="468">
        <f t="shared" si="57"/>
        <v>0</v>
      </c>
      <c r="BQ90" s="468">
        <f t="shared" si="57"/>
        <v>0</v>
      </c>
      <c r="BR90" s="468">
        <f t="shared" si="57"/>
        <v>0</v>
      </c>
      <c r="BS90" s="468">
        <f t="shared" si="57"/>
        <v>0</v>
      </c>
      <c r="BT90" s="468">
        <f t="shared" si="57"/>
        <v>0</v>
      </c>
      <c r="BU90" s="468">
        <f t="shared" si="57"/>
        <v>0</v>
      </c>
      <c r="BV90" s="468">
        <f t="shared" si="57"/>
        <v>0</v>
      </c>
      <c r="BW90" s="468">
        <f t="shared" si="57"/>
        <v>0</v>
      </c>
      <c r="BX90" s="468">
        <f t="shared" si="57"/>
        <v>0</v>
      </c>
      <c r="BY90" s="468">
        <f t="shared" si="57"/>
        <v>0</v>
      </c>
      <c r="BZ90" s="468">
        <f t="shared" si="57"/>
        <v>0</v>
      </c>
      <c r="CA90" s="468">
        <f t="shared" si="57"/>
        <v>0</v>
      </c>
      <c r="CB90" s="468">
        <f t="shared" si="57"/>
        <v>0</v>
      </c>
      <c r="CC90" s="468">
        <f t="shared" si="57"/>
        <v>0</v>
      </c>
      <c r="CD90" s="468">
        <f t="shared" si="57"/>
        <v>0</v>
      </c>
      <c r="CE90" s="468">
        <f t="shared" si="57"/>
        <v>0</v>
      </c>
      <c r="CF90" s="468">
        <f t="shared" si="57"/>
        <v>0</v>
      </c>
      <c r="CG90" s="468">
        <f t="shared" si="57"/>
        <v>0</v>
      </c>
      <c r="CH90" s="468">
        <f t="shared" si="57"/>
        <v>0</v>
      </c>
      <c r="CI90" s="468">
        <f t="shared" si="57"/>
        <v>0</v>
      </c>
      <c r="CJ90" s="468">
        <f t="shared" si="57"/>
        <v>0</v>
      </c>
      <c r="CK90" s="468">
        <f t="shared" si="57"/>
        <v>0</v>
      </c>
      <c r="CL90" s="468">
        <f t="shared" si="57"/>
        <v>0</v>
      </c>
      <c r="CM90" s="468">
        <f t="shared" si="57"/>
        <v>0</v>
      </c>
      <c r="CN90" s="468">
        <f t="shared" si="57"/>
        <v>0</v>
      </c>
      <c r="CO90" s="468">
        <f t="shared" si="57"/>
        <v>0</v>
      </c>
      <c r="CP90" s="468">
        <f t="shared" si="57"/>
        <v>0</v>
      </c>
      <c r="CQ90" s="468">
        <f t="shared" si="57"/>
        <v>0</v>
      </c>
      <c r="CR90" s="468">
        <f t="shared" si="57"/>
        <v>0</v>
      </c>
      <c r="CS90" s="468">
        <f t="shared" si="57"/>
        <v>0</v>
      </c>
      <c r="CT90" s="468">
        <f t="shared" si="57"/>
        <v>0</v>
      </c>
      <c r="CU90" s="468">
        <f t="shared" si="57"/>
        <v>0</v>
      </c>
      <c r="CV90" s="468">
        <f t="shared" si="57"/>
        <v>0</v>
      </c>
      <c r="CW90" s="468">
        <f t="shared" si="57"/>
        <v>0</v>
      </c>
      <c r="CX90" s="468">
        <f t="shared" si="57"/>
        <v>0</v>
      </c>
      <c r="CY90" s="468">
        <f t="shared" ref="CY90:DV90" si="58">-MIN(CY81*$D$126,SUM(CY87:CY89))</f>
        <v>0</v>
      </c>
      <c r="CZ90" s="468">
        <f t="shared" si="58"/>
        <v>0</v>
      </c>
      <c r="DA90" s="468">
        <f t="shared" si="58"/>
        <v>0</v>
      </c>
      <c r="DB90" s="468">
        <f t="shared" si="58"/>
        <v>0</v>
      </c>
      <c r="DC90" s="468">
        <f t="shared" si="58"/>
        <v>0</v>
      </c>
      <c r="DD90" s="468">
        <f t="shared" si="58"/>
        <v>0</v>
      </c>
      <c r="DE90" s="468">
        <f t="shared" si="58"/>
        <v>0</v>
      </c>
      <c r="DF90" s="468">
        <f t="shared" si="58"/>
        <v>0</v>
      </c>
      <c r="DG90" s="468">
        <f t="shared" si="58"/>
        <v>0</v>
      </c>
      <c r="DH90" s="468">
        <f t="shared" si="58"/>
        <v>0</v>
      </c>
      <c r="DI90" s="468">
        <f t="shared" si="58"/>
        <v>0</v>
      </c>
      <c r="DJ90" s="468">
        <f t="shared" si="58"/>
        <v>0</v>
      </c>
      <c r="DK90" s="468">
        <f t="shared" si="58"/>
        <v>0</v>
      </c>
      <c r="DL90" s="468">
        <f t="shared" si="58"/>
        <v>0</v>
      </c>
      <c r="DM90" s="468">
        <f t="shared" si="58"/>
        <v>0</v>
      </c>
      <c r="DN90" s="468">
        <f t="shared" si="58"/>
        <v>0</v>
      </c>
      <c r="DO90" s="468">
        <f t="shared" si="58"/>
        <v>0</v>
      </c>
      <c r="DP90" s="468">
        <f t="shared" si="58"/>
        <v>0</v>
      </c>
      <c r="DQ90" s="468">
        <f t="shared" si="58"/>
        <v>0</v>
      </c>
      <c r="DR90" s="468">
        <f t="shared" si="58"/>
        <v>0</v>
      </c>
      <c r="DS90" s="468">
        <f t="shared" si="58"/>
        <v>0</v>
      </c>
      <c r="DT90" s="468">
        <f t="shared" si="58"/>
        <v>0</v>
      </c>
      <c r="DU90" s="468">
        <f t="shared" si="58"/>
        <v>0</v>
      </c>
      <c r="DV90" s="468">
        <f t="shared" si="58"/>
        <v>0</v>
      </c>
      <c r="DW90" s="322" t="s">
        <v>372</v>
      </c>
    </row>
    <row r="91" spans="3:127" ht="17.25" hidden="1" outlineLevel="1" thickBot="1" x14ac:dyDescent="0.35">
      <c r="C91" s="365" t="s">
        <v>352</v>
      </c>
      <c r="D91" s="365"/>
      <c r="E91" s="415">
        <f>SUM(E88:E90)</f>
        <v>-2.7939677238464355E-9</v>
      </c>
      <c r="F91" s="415">
        <f t="shared" ref="F91:BQ91" si="59">SUM(F87:F90)</f>
        <v>1367250</v>
      </c>
      <c r="G91" s="415">
        <f t="shared" si="59"/>
        <v>1357594.3756250001</v>
      </c>
      <c r="H91" s="415">
        <f t="shared" si="59"/>
        <v>1347938.7512500002</v>
      </c>
      <c r="I91" s="415">
        <f t="shared" si="59"/>
        <v>1364468.9222556381</v>
      </c>
      <c r="J91" s="415">
        <f t="shared" si="59"/>
        <v>1354813.2978806382</v>
      </c>
      <c r="K91" s="415">
        <f t="shared" si="59"/>
        <v>1345157.6735056383</v>
      </c>
      <c r="L91" s="415">
        <f t="shared" si="59"/>
        <v>1361633.8177740197</v>
      </c>
      <c r="M91" s="415">
        <f t="shared" si="59"/>
        <v>1351978.1933990198</v>
      </c>
      <c r="N91" s="415">
        <f t="shared" si="59"/>
        <v>1342322.5690240199</v>
      </c>
      <c r="O91" s="415">
        <f t="shared" si="59"/>
        <v>1358743.6370021992</v>
      </c>
      <c r="P91" s="415">
        <f t="shared" si="59"/>
        <v>1349088.0126271993</v>
      </c>
      <c r="Q91" s="415">
        <f t="shared" si="59"/>
        <v>1339432.3882521994</v>
      </c>
      <c r="R91" s="415">
        <f t="shared" si="59"/>
        <v>1355797.3099980417</v>
      </c>
      <c r="S91" s="415">
        <f t="shared" si="59"/>
        <v>1345470.8762667917</v>
      </c>
      <c r="T91" s="415">
        <f t="shared" si="59"/>
        <v>1335144.4425355417</v>
      </c>
      <c r="U91" s="415">
        <f t="shared" si="59"/>
        <v>1350755.2549465292</v>
      </c>
      <c r="V91" s="415">
        <f t="shared" si="59"/>
        <v>1340428.8212152792</v>
      </c>
      <c r="W91" s="415">
        <f t="shared" si="59"/>
        <v>1330102.3874840292</v>
      </c>
      <c r="X91" s="415">
        <f t="shared" si="59"/>
        <v>1345615.2501760442</v>
      </c>
      <c r="Y91" s="415">
        <f t="shared" si="59"/>
        <v>1335288.8164447942</v>
      </c>
      <c r="Z91" s="415">
        <f t="shared" si="59"/>
        <v>1324962.3827135442</v>
      </c>
      <c r="AA91" s="415">
        <f t="shared" si="59"/>
        <v>1340375.3928617768</v>
      </c>
      <c r="AB91" s="415">
        <f t="shared" si="59"/>
        <v>1330048.9591305268</v>
      </c>
      <c r="AC91" s="415">
        <f t="shared" si="59"/>
        <v>1319722.5253992768</v>
      </c>
      <c r="AD91" s="415">
        <f t="shared" si="59"/>
        <v>1335033.7432136009</v>
      </c>
      <c r="AE91" s="415">
        <f t="shared" si="59"/>
        <v>1324016.3758454134</v>
      </c>
      <c r="AF91" s="415">
        <f t="shared" si="59"/>
        <v>1312999.0084772259</v>
      </c>
      <c r="AG91" s="415">
        <f t="shared" si="59"/>
        <v>1327488.6779377379</v>
      </c>
      <c r="AH91" s="415">
        <f t="shared" si="59"/>
        <v>1316471.3105695504</v>
      </c>
      <c r="AI91" s="415">
        <f t="shared" si="59"/>
        <v>1305453.9432013629</v>
      </c>
      <c r="AJ91" s="415">
        <f t="shared" si="59"/>
        <v>1319797.0380973672</v>
      </c>
      <c r="AK91" s="415">
        <f t="shared" si="59"/>
        <v>1308779.6707291796</v>
      </c>
      <c r="AL91" s="415">
        <f t="shared" si="59"/>
        <v>1297762.3033609921</v>
      </c>
      <c r="AM91" s="415">
        <f t="shared" si="59"/>
        <v>1311955.976254836</v>
      </c>
      <c r="AN91" s="415">
        <f t="shared" si="59"/>
        <v>1300938.6088866484</v>
      </c>
      <c r="AO91" s="415">
        <f t="shared" si="59"/>
        <v>1289921.2415184609</v>
      </c>
      <c r="AP91" s="415">
        <f t="shared" si="59"/>
        <v>1303962.5896566103</v>
      </c>
      <c r="AQ91" s="415">
        <f t="shared" si="59"/>
        <v>1292233.5606423772</v>
      </c>
      <c r="AR91" s="415">
        <f t="shared" si="59"/>
        <v>1280504.5316281442</v>
      </c>
      <c r="AS91" s="415">
        <f t="shared" si="59"/>
        <v>1293651.2839638421</v>
      </c>
      <c r="AT91" s="415">
        <f t="shared" si="59"/>
        <v>1281922.2549496091</v>
      </c>
      <c r="AU91" s="415">
        <f t="shared" si="59"/>
        <v>1270193.225935376</v>
      </c>
      <c r="AV91" s="415">
        <f t="shared" si="59"/>
        <v>1283139.6652073478</v>
      </c>
      <c r="AW91" s="415">
        <f t="shared" si="59"/>
        <v>1271410.6361931148</v>
      </c>
      <c r="AX91" s="415">
        <f t="shared" si="59"/>
        <v>1259681.6071788818</v>
      </c>
      <c r="AY91" s="415">
        <f t="shared" si="59"/>
        <v>1272423.8419959985</v>
      </c>
      <c r="AZ91" s="415">
        <f t="shared" si="59"/>
        <v>1260694.8129817655</v>
      </c>
      <c r="BA91" s="415">
        <f t="shared" si="59"/>
        <v>1248965.7839675325</v>
      </c>
      <c r="BB91" s="415">
        <f t="shared" si="59"/>
        <v>1261499.8473423733</v>
      </c>
      <c r="BC91" s="415">
        <f t="shared" si="59"/>
        <v>1254991.9888351283</v>
      </c>
      <c r="BD91" s="415">
        <f t="shared" si="59"/>
        <v>1248484.1303278832</v>
      </c>
      <c r="BE91" s="415">
        <f t="shared" si="59"/>
        <v>1266230.0073426878</v>
      </c>
      <c r="BF91" s="415">
        <f t="shared" si="59"/>
        <v>1259722.1488354427</v>
      </c>
      <c r="BG91" s="415">
        <f t="shared" si="59"/>
        <v>1253214.2903281976</v>
      </c>
      <c r="BH91" s="415">
        <f t="shared" si="59"/>
        <v>1271052.0580181319</v>
      </c>
      <c r="BI91" s="415">
        <f t="shared" si="59"/>
        <v>1264544.1995108868</v>
      </c>
      <c r="BJ91" s="415">
        <f t="shared" si="59"/>
        <v>1258036.3410036417</v>
      </c>
      <c r="BK91" s="415">
        <f t="shared" si="59"/>
        <v>1275967.7844872167</v>
      </c>
      <c r="BL91" s="415">
        <f t="shared" si="59"/>
        <v>1269459.9259799717</v>
      </c>
      <c r="BM91" s="415">
        <f t="shared" si="59"/>
        <v>1262952.0674727266</v>
      </c>
      <c r="BN91" s="415">
        <f t="shared" si="59"/>
        <v>0</v>
      </c>
      <c r="BO91" s="415">
        <f t="shared" si="59"/>
        <v>0</v>
      </c>
      <c r="BP91" s="415">
        <f t="shared" si="59"/>
        <v>0</v>
      </c>
      <c r="BQ91" s="415">
        <f t="shared" si="59"/>
        <v>0</v>
      </c>
      <c r="BR91" s="415">
        <f t="shared" ref="BR91:DV91" si="60">SUM(BR87:BR90)</f>
        <v>0</v>
      </c>
      <c r="BS91" s="415">
        <f t="shared" si="60"/>
        <v>0</v>
      </c>
      <c r="BT91" s="415">
        <f t="shared" si="60"/>
        <v>0</v>
      </c>
      <c r="BU91" s="415">
        <f t="shared" si="60"/>
        <v>0</v>
      </c>
      <c r="BV91" s="415">
        <f t="shared" si="60"/>
        <v>0</v>
      </c>
      <c r="BW91" s="415">
        <f t="shared" si="60"/>
        <v>0</v>
      </c>
      <c r="BX91" s="415">
        <f t="shared" si="60"/>
        <v>0</v>
      </c>
      <c r="BY91" s="415">
        <f t="shared" si="60"/>
        <v>0</v>
      </c>
      <c r="BZ91" s="415">
        <f t="shared" si="60"/>
        <v>0</v>
      </c>
      <c r="CA91" s="415">
        <f t="shared" si="60"/>
        <v>0</v>
      </c>
      <c r="CB91" s="415">
        <f t="shared" si="60"/>
        <v>0</v>
      </c>
      <c r="CC91" s="415">
        <f t="shared" si="60"/>
        <v>0</v>
      </c>
      <c r="CD91" s="415">
        <f t="shared" si="60"/>
        <v>0</v>
      </c>
      <c r="CE91" s="415">
        <f t="shared" si="60"/>
        <v>0</v>
      </c>
      <c r="CF91" s="415">
        <f t="shared" si="60"/>
        <v>0</v>
      </c>
      <c r="CG91" s="415">
        <f t="shared" si="60"/>
        <v>0</v>
      </c>
      <c r="CH91" s="415">
        <f t="shared" si="60"/>
        <v>0</v>
      </c>
      <c r="CI91" s="415">
        <f t="shared" si="60"/>
        <v>0</v>
      </c>
      <c r="CJ91" s="415">
        <f t="shared" si="60"/>
        <v>0</v>
      </c>
      <c r="CK91" s="415">
        <f t="shared" si="60"/>
        <v>0</v>
      </c>
      <c r="CL91" s="415">
        <f t="shared" si="60"/>
        <v>0</v>
      </c>
      <c r="CM91" s="415">
        <f t="shared" si="60"/>
        <v>0</v>
      </c>
      <c r="CN91" s="415">
        <f t="shared" si="60"/>
        <v>0</v>
      </c>
      <c r="CO91" s="415">
        <f t="shared" si="60"/>
        <v>0</v>
      </c>
      <c r="CP91" s="415">
        <f t="shared" si="60"/>
        <v>0</v>
      </c>
      <c r="CQ91" s="415">
        <f t="shared" si="60"/>
        <v>0</v>
      </c>
      <c r="CR91" s="415">
        <f t="shared" si="60"/>
        <v>0</v>
      </c>
      <c r="CS91" s="415">
        <f t="shared" si="60"/>
        <v>0</v>
      </c>
      <c r="CT91" s="415">
        <f t="shared" si="60"/>
        <v>0</v>
      </c>
      <c r="CU91" s="415">
        <f t="shared" si="60"/>
        <v>0</v>
      </c>
      <c r="CV91" s="415">
        <f t="shared" si="60"/>
        <v>0</v>
      </c>
      <c r="CW91" s="415">
        <f t="shared" si="60"/>
        <v>0</v>
      </c>
      <c r="CX91" s="415">
        <f t="shared" si="60"/>
        <v>0</v>
      </c>
      <c r="CY91" s="415">
        <f t="shared" si="60"/>
        <v>0</v>
      </c>
      <c r="CZ91" s="415">
        <f t="shared" si="60"/>
        <v>0</v>
      </c>
      <c r="DA91" s="415">
        <f t="shared" si="60"/>
        <v>0</v>
      </c>
      <c r="DB91" s="415">
        <f t="shared" si="60"/>
        <v>0</v>
      </c>
      <c r="DC91" s="415">
        <f t="shared" si="60"/>
        <v>0</v>
      </c>
      <c r="DD91" s="415">
        <f t="shared" si="60"/>
        <v>0</v>
      </c>
      <c r="DE91" s="415">
        <f t="shared" si="60"/>
        <v>0</v>
      </c>
      <c r="DF91" s="415">
        <f t="shared" si="60"/>
        <v>0</v>
      </c>
      <c r="DG91" s="415">
        <f t="shared" si="60"/>
        <v>0</v>
      </c>
      <c r="DH91" s="415">
        <f t="shared" si="60"/>
        <v>0</v>
      </c>
      <c r="DI91" s="415">
        <f t="shared" si="60"/>
        <v>0</v>
      </c>
      <c r="DJ91" s="415">
        <f t="shared" si="60"/>
        <v>0</v>
      </c>
      <c r="DK91" s="415">
        <f t="shared" si="60"/>
        <v>0</v>
      </c>
      <c r="DL91" s="415">
        <f t="shared" si="60"/>
        <v>0</v>
      </c>
      <c r="DM91" s="415">
        <f t="shared" si="60"/>
        <v>0</v>
      </c>
      <c r="DN91" s="415">
        <f t="shared" si="60"/>
        <v>0</v>
      </c>
      <c r="DO91" s="415">
        <f t="shared" si="60"/>
        <v>0</v>
      </c>
      <c r="DP91" s="415">
        <f t="shared" si="60"/>
        <v>0</v>
      </c>
      <c r="DQ91" s="415">
        <f t="shared" si="60"/>
        <v>0</v>
      </c>
      <c r="DR91" s="415">
        <f t="shared" si="60"/>
        <v>0</v>
      </c>
      <c r="DS91" s="415">
        <f t="shared" si="60"/>
        <v>0</v>
      </c>
      <c r="DT91" s="415">
        <f t="shared" si="60"/>
        <v>0</v>
      </c>
      <c r="DU91" s="415">
        <f t="shared" si="60"/>
        <v>0</v>
      </c>
      <c r="DV91" s="415">
        <f t="shared" si="60"/>
        <v>0</v>
      </c>
      <c r="DW91" s="322" t="s">
        <v>372</v>
      </c>
    </row>
    <row r="92" spans="3:127" ht="17.25" hidden="1" outlineLevel="1" thickTop="1" x14ac:dyDescent="0.3">
      <c r="C92" s="365"/>
      <c r="D92" s="365"/>
      <c r="E92" s="470"/>
      <c r="F92" s="374"/>
      <c r="G92" s="374"/>
      <c r="H92" s="463"/>
      <c r="I92" s="463"/>
      <c r="J92" s="463"/>
      <c r="K92" s="463"/>
      <c r="L92" s="463"/>
      <c r="M92" s="463"/>
      <c r="N92" s="463"/>
      <c r="O92" s="463"/>
      <c r="P92" s="463"/>
      <c r="Q92" s="463"/>
      <c r="R92" s="463"/>
      <c r="S92" s="463"/>
      <c r="T92" s="463"/>
      <c r="U92" s="463"/>
      <c r="V92" s="463"/>
      <c r="W92" s="463"/>
      <c r="X92" s="463"/>
      <c r="Y92" s="463"/>
      <c r="Z92" s="463"/>
      <c r="AA92" s="463"/>
      <c r="AB92" s="463"/>
      <c r="AC92" s="463"/>
      <c r="AD92" s="463"/>
      <c r="AE92" s="463"/>
      <c r="AF92" s="463"/>
      <c r="AG92" s="463"/>
      <c r="AH92" s="463"/>
      <c r="AI92" s="463"/>
      <c r="AJ92" s="463"/>
      <c r="AK92" s="463"/>
      <c r="AL92" s="463"/>
      <c r="AM92" s="463"/>
      <c r="AN92" s="463"/>
      <c r="AO92" s="463"/>
      <c r="AP92" s="463"/>
      <c r="AQ92" s="463"/>
      <c r="AR92" s="463"/>
      <c r="AS92" s="463"/>
      <c r="AT92" s="463"/>
      <c r="AU92" s="463"/>
      <c r="AV92" s="463"/>
      <c r="AW92" s="463"/>
      <c r="AX92" s="463"/>
      <c r="AY92" s="463"/>
      <c r="AZ92" s="463"/>
      <c r="BA92" s="463"/>
      <c r="BB92" s="463"/>
      <c r="BC92" s="463"/>
      <c r="BD92" s="463"/>
      <c r="BE92" s="463"/>
      <c r="BF92" s="463"/>
      <c r="BG92" s="463"/>
      <c r="BH92" s="463"/>
      <c r="BI92" s="463"/>
      <c r="BJ92" s="463"/>
      <c r="BK92" s="463"/>
      <c r="BL92" s="463"/>
      <c r="BM92" s="463"/>
      <c r="BN92" s="463"/>
      <c r="BO92" s="463"/>
      <c r="BP92" s="463"/>
      <c r="BQ92" s="463"/>
      <c r="BR92" s="463"/>
      <c r="BS92" s="463"/>
      <c r="BT92" s="463"/>
      <c r="BU92" s="463"/>
      <c r="BV92" s="463"/>
      <c r="BW92" s="463"/>
      <c r="BX92" s="463"/>
      <c r="BY92" s="463"/>
      <c r="BZ92" s="463"/>
      <c r="CA92" s="463"/>
      <c r="CB92" s="463"/>
      <c r="CC92" s="463"/>
      <c r="CD92" s="463"/>
      <c r="CE92" s="463"/>
      <c r="CF92" s="463"/>
      <c r="CG92" s="463"/>
      <c r="CH92" s="463"/>
      <c r="CI92" s="463"/>
      <c r="CJ92" s="463"/>
      <c r="CK92" s="463"/>
      <c r="CL92" s="463"/>
      <c r="CM92" s="463"/>
      <c r="CN92" s="463"/>
      <c r="CO92" s="463"/>
      <c r="CP92" s="463"/>
      <c r="CQ92" s="463"/>
      <c r="CR92" s="463"/>
      <c r="CS92" s="463"/>
      <c r="CT92" s="463"/>
      <c r="CU92" s="463"/>
      <c r="CV92" s="463"/>
      <c r="CW92" s="463"/>
      <c r="CX92" s="463"/>
      <c r="CY92" s="463"/>
      <c r="CZ92" s="463"/>
      <c r="DA92" s="463"/>
      <c r="DB92" s="463"/>
      <c r="DC92" s="463"/>
      <c r="DD92" s="463"/>
      <c r="DE92" s="463"/>
      <c r="DF92" s="463"/>
      <c r="DG92" s="463"/>
      <c r="DH92" s="463"/>
      <c r="DI92" s="463"/>
      <c r="DJ92" s="463"/>
      <c r="DK92" s="463"/>
      <c r="DL92" s="463"/>
      <c r="DM92" s="463"/>
      <c r="DN92" s="463"/>
      <c r="DO92" s="463"/>
      <c r="DP92" s="463"/>
      <c r="DQ92" s="463"/>
      <c r="DR92" s="463"/>
      <c r="DS92" s="463"/>
      <c r="DT92" s="463"/>
      <c r="DU92" s="463"/>
      <c r="DV92" s="463"/>
      <c r="DW92" s="322" t="s">
        <v>372</v>
      </c>
    </row>
    <row r="93" spans="3:127" hidden="1" outlineLevel="1" x14ac:dyDescent="0.3">
      <c r="C93" s="382" t="s">
        <v>402</v>
      </c>
      <c r="D93" s="395"/>
      <c r="E93" s="471"/>
      <c r="F93" s="463"/>
      <c r="G93" s="463"/>
      <c r="H93" s="463"/>
      <c r="I93" s="463"/>
      <c r="J93" s="463"/>
      <c r="K93" s="463"/>
      <c r="L93" s="463"/>
      <c r="M93" s="463"/>
      <c r="N93" s="463"/>
      <c r="O93" s="463"/>
      <c r="P93" s="463"/>
      <c r="Q93" s="463"/>
      <c r="R93" s="463"/>
      <c r="S93" s="463"/>
      <c r="T93" s="463"/>
      <c r="U93" s="463"/>
      <c r="V93" s="463"/>
      <c r="W93" s="463"/>
      <c r="X93" s="463"/>
      <c r="Y93" s="463"/>
      <c r="Z93" s="463"/>
      <c r="AA93" s="463"/>
      <c r="AB93" s="463"/>
      <c r="AC93" s="463"/>
      <c r="AD93" s="463"/>
      <c r="AE93" s="463"/>
      <c r="AF93" s="463"/>
      <c r="AG93" s="463"/>
      <c r="AH93" s="463"/>
      <c r="AI93" s="463"/>
      <c r="AJ93" s="463"/>
      <c r="AK93" s="463"/>
      <c r="AL93" s="463"/>
      <c r="AM93" s="374"/>
      <c r="AN93" s="374"/>
      <c r="AO93" s="374"/>
      <c r="AP93" s="472"/>
      <c r="AQ93" s="472"/>
      <c r="AR93" s="472"/>
      <c r="AS93" s="472"/>
      <c r="AT93" s="472"/>
      <c r="AU93" s="472"/>
      <c r="AV93" s="473" t="s">
        <v>372</v>
      </c>
      <c r="AW93" s="360"/>
      <c r="AX93" s="360"/>
      <c r="AY93" s="360"/>
      <c r="AZ93" s="360"/>
      <c r="BA93" s="360"/>
      <c r="BB93" s="360"/>
      <c r="BC93" s="360"/>
      <c r="BD93" s="360"/>
      <c r="BE93" s="360"/>
      <c r="BF93" s="360"/>
      <c r="BG93" s="360"/>
      <c r="BH93" s="360"/>
      <c r="BI93" s="360"/>
      <c r="BJ93" s="360"/>
      <c r="BK93" s="360"/>
      <c r="BL93" s="360"/>
      <c r="BM93" s="360"/>
      <c r="BN93" s="360"/>
      <c r="BO93" s="360"/>
      <c r="BP93" s="360"/>
      <c r="BQ93" s="360"/>
      <c r="BR93" s="360"/>
      <c r="BS93" s="360"/>
      <c r="BT93" s="360"/>
      <c r="BU93" s="360"/>
      <c r="BV93" s="360"/>
      <c r="BW93" s="360"/>
      <c r="BX93" s="360"/>
      <c r="BY93" s="360"/>
      <c r="BZ93" s="360"/>
      <c r="CA93" s="360"/>
      <c r="CB93" s="360"/>
      <c r="CC93" s="360"/>
      <c r="CD93" s="360"/>
      <c r="CE93" s="360"/>
      <c r="CF93" s="360"/>
      <c r="CG93" s="360"/>
      <c r="CH93" s="360"/>
      <c r="CI93" s="360"/>
      <c r="CJ93" s="360"/>
      <c r="CK93" s="360"/>
      <c r="CL93" s="360"/>
      <c r="CM93" s="360"/>
      <c r="CN93" s="360"/>
      <c r="CO93" s="360"/>
      <c r="CP93" s="360"/>
      <c r="CQ93" s="360"/>
      <c r="CR93" s="360"/>
      <c r="CS93" s="360"/>
      <c r="CT93" s="360"/>
      <c r="CU93" s="360"/>
      <c r="CV93" s="360"/>
      <c r="CW93" s="360"/>
      <c r="CX93" s="360"/>
      <c r="CY93" s="360"/>
      <c r="CZ93" s="360"/>
      <c r="DA93" s="360"/>
      <c r="DB93" s="360"/>
      <c r="DC93" s="360"/>
      <c r="DD93" s="360"/>
      <c r="DE93" s="360"/>
      <c r="DF93" s="360"/>
      <c r="DG93" s="360"/>
      <c r="DH93" s="360"/>
      <c r="DI93" s="360"/>
      <c r="DJ93" s="360"/>
      <c r="DK93" s="360"/>
      <c r="DL93" s="360"/>
      <c r="DM93" s="360"/>
      <c r="DN93" s="360"/>
      <c r="DO93" s="360"/>
      <c r="DP93" s="360"/>
      <c r="DQ93" s="360"/>
      <c r="DR93" s="360"/>
      <c r="DS93" s="360"/>
      <c r="DT93" s="360"/>
      <c r="DU93" s="360"/>
      <c r="DV93" s="360"/>
      <c r="DW93" s="322" t="s">
        <v>372</v>
      </c>
    </row>
    <row r="94" spans="3:127" hidden="1" outlineLevel="1" x14ac:dyDescent="0.3">
      <c r="C94" s="374" t="s">
        <v>400</v>
      </c>
      <c r="D94" s="474"/>
      <c r="E94" s="467">
        <f>SUM(F94:BN94)</f>
        <v>1367250</v>
      </c>
      <c r="F94" s="466">
        <f>F88</f>
        <v>1367250</v>
      </c>
      <c r="G94" s="466">
        <f t="shared" ref="G94:BR94" si="61">G88</f>
        <v>0</v>
      </c>
      <c r="H94" s="466">
        <f t="shared" si="61"/>
        <v>0</v>
      </c>
      <c r="I94" s="466">
        <f t="shared" si="61"/>
        <v>0</v>
      </c>
      <c r="J94" s="466">
        <f t="shared" si="61"/>
        <v>0</v>
      </c>
      <c r="K94" s="466">
        <f t="shared" si="61"/>
        <v>0</v>
      </c>
      <c r="L94" s="466">
        <f t="shared" si="61"/>
        <v>0</v>
      </c>
      <c r="M94" s="466">
        <f t="shared" si="61"/>
        <v>0</v>
      </c>
      <c r="N94" s="466">
        <f t="shared" si="61"/>
        <v>0</v>
      </c>
      <c r="O94" s="466">
        <f t="shared" si="61"/>
        <v>0</v>
      </c>
      <c r="P94" s="466">
        <f t="shared" si="61"/>
        <v>0</v>
      </c>
      <c r="Q94" s="466">
        <f t="shared" si="61"/>
        <v>0</v>
      </c>
      <c r="R94" s="466">
        <f t="shared" si="61"/>
        <v>0</v>
      </c>
      <c r="S94" s="466">
        <f t="shared" si="61"/>
        <v>0</v>
      </c>
      <c r="T94" s="466">
        <f t="shared" si="61"/>
        <v>0</v>
      </c>
      <c r="U94" s="466">
        <f t="shared" si="61"/>
        <v>0</v>
      </c>
      <c r="V94" s="466">
        <f t="shared" si="61"/>
        <v>0</v>
      </c>
      <c r="W94" s="466">
        <f t="shared" si="61"/>
        <v>0</v>
      </c>
      <c r="X94" s="466">
        <f t="shared" si="61"/>
        <v>0</v>
      </c>
      <c r="Y94" s="466">
        <f t="shared" si="61"/>
        <v>0</v>
      </c>
      <c r="Z94" s="466">
        <f t="shared" si="61"/>
        <v>0</v>
      </c>
      <c r="AA94" s="466">
        <f t="shared" si="61"/>
        <v>0</v>
      </c>
      <c r="AB94" s="466">
        <f t="shared" si="61"/>
        <v>0</v>
      </c>
      <c r="AC94" s="466">
        <f t="shared" si="61"/>
        <v>0</v>
      </c>
      <c r="AD94" s="466">
        <f t="shared" si="61"/>
        <v>0</v>
      </c>
      <c r="AE94" s="466">
        <f t="shared" si="61"/>
        <v>0</v>
      </c>
      <c r="AF94" s="466">
        <f t="shared" si="61"/>
        <v>0</v>
      </c>
      <c r="AG94" s="466">
        <f t="shared" si="61"/>
        <v>0</v>
      </c>
      <c r="AH94" s="466">
        <f t="shared" si="61"/>
        <v>0</v>
      </c>
      <c r="AI94" s="466">
        <f t="shared" si="61"/>
        <v>0</v>
      </c>
      <c r="AJ94" s="466">
        <f t="shared" si="61"/>
        <v>0</v>
      </c>
      <c r="AK94" s="466">
        <f t="shared" si="61"/>
        <v>0</v>
      </c>
      <c r="AL94" s="466">
        <f t="shared" si="61"/>
        <v>0</v>
      </c>
      <c r="AM94" s="466">
        <f t="shared" si="61"/>
        <v>0</v>
      </c>
      <c r="AN94" s="466">
        <f t="shared" si="61"/>
        <v>0</v>
      </c>
      <c r="AO94" s="466">
        <f t="shared" si="61"/>
        <v>0</v>
      </c>
      <c r="AP94" s="466">
        <f t="shared" si="61"/>
        <v>0</v>
      </c>
      <c r="AQ94" s="466">
        <f t="shared" si="61"/>
        <v>0</v>
      </c>
      <c r="AR94" s="466">
        <f t="shared" si="61"/>
        <v>0</v>
      </c>
      <c r="AS94" s="466">
        <f t="shared" si="61"/>
        <v>0</v>
      </c>
      <c r="AT94" s="466">
        <f t="shared" si="61"/>
        <v>0</v>
      </c>
      <c r="AU94" s="466">
        <f t="shared" si="61"/>
        <v>0</v>
      </c>
      <c r="AV94" s="466">
        <f t="shared" si="61"/>
        <v>0</v>
      </c>
      <c r="AW94" s="466">
        <f t="shared" si="61"/>
        <v>0</v>
      </c>
      <c r="AX94" s="466">
        <f t="shared" si="61"/>
        <v>0</v>
      </c>
      <c r="AY94" s="466">
        <f t="shared" si="61"/>
        <v>0</v>
      </c>
      <c r="AZ94" s="466">
        <f t="shared" si="61"/>
        <v>0</v>
      </c>
      <c r="BA94" s="466">
        <f t="shared" si="61"/>
        <v>0</v>
      </c>
      <c r="BB94" s="466">
        <f t="shared" si="61"/>
        <v>0</v>
      </c>
      <c r="BC94" s="466">
        <f t="shared" si="61"/>
        <v>0</v>
      </c>
      <c r="BD94" s="466">
        <f t="shared" si="61"/>
        <v>0</v>
      </c>
      <c r="BE94" s="466">
        <f t="shared" si="61"/>
        <v>0</v>
      </c>
      <c r="BF94" s="466">
        <f t="shared" si="61"/>
        <v>0</v>
      </c>
      <c r="BG94" s="466">
        <f t="shared" si="61"/>
        <v>0</v>
      </c>
      <c r="BH94" s="466">
        <f t="shared" si="61"/>
        <v>0</v>
      </c>
      <c r="BI94" s="466">
        <f t="shared" si="61"/>
        <v>0</v>
      </c>
      <c r="BJ94" s="466">
        <f t="shared" si="61"/>
        <v>0</v>
      </c>
      <c r="BK94" s="466">
        <f t="shared" si="61"/>
        <v>0</v>
      </c>
      <c r="BL94" s="466">
        <f t="shared" si="61"/>
        <v>0</v>
      </c>
      <c r="BM94" s="466">
        <f t="shared" si="61"/>
        <v>0</v>
      </c>
      <c r="BN94" s="466">
        <f t="shared" si="61"/>
        <v>0</v>
      </c>
      <c r="BO94" s="466">
        <f t="shared" si="61"/>
        <v>0</v>
      </c>
      <c r="BP94" s="466">
        <f t="shared" si="61"/>
        <v>0</v>
      </c>
      <c r="BQ94" s="466">
        <f t="shared" si="61"/>
        <v>0</v>
      </c>
      <c r="BR94" s="466">
        <f t="shared" si="61"/>
        <v>0</v>
      </c>
      <c r="BS94" s="466">
        <f t="shared" ref="BS94:DV94" si="62">BS88</f>
        <v>0</v>
      </c>
      <c r="BT94" s="466">
        <f t="shared" si="62"/>
        <v>0</v>
      </c>
      <c r="BU94" s="466">
        <f t="shared" si="62"/>
        <v>0</v>
      </c>
      <c r="BV94" s="466">
        <f t="shared" si="62"/>
        <v>0</v>
      </c>
      <c r="BW94" s="466">
        <f t="shared" si="62"/>
        <v>0</v>
      </c>
      <c r="BX94" s="466">
        <f t="shared" si="62"/>
        <v>0</v>
      </c>
      <c r="BY94" s="466">
        <f t="shared" si="62"/>
        <v>0</v>
      </c>
      <c r="BZ94" s="466">
        <f t="shared" si="62"/>
        <v>0</v>
      </c>
      <c r="CA94" s="466">
        <f t="shared" si="62"/>
        <v>0</v>
      </c>
      <c r="CB94" s="466">
        <f t="shared" si="62"/>
        <v>0</v>
      </c>
      <c r="CC94" s="466">
        <f t="shared" si="62"/>
        <v>0</v>
      </c>
      <c r="CD94" s="466">
        <f t="shared" si="62"/>
        <v>0</v>
      </c>
      <c r="CE94" s="466">
        <f t="shared" si="62"/>
        <v>0</v>
      </c>
      <c r="CF94" s="466">
        <f t="shared" si="62"/>
        <v>0</v>
      </c>
      <c r="CG94" s="466">
        <f t="shared" si="62"/>
        <v>0</v>
      </c>
      <c r="CH94" s="466">
        <f t="shared" si="62"/>
        <v>0</v>
      </c>
      <c r="CI94" s="466">
        <f t="shared" si="62"/>
        <v>0</v>
      </c>
      <c r="CJ94" s="466">
        <f t="shared" si="62"/>
        <v>0</v>
      </c>
      <c r="CK94" s="466">
        <f t="shared" si="62"/>
        <v>0</v>
      </c>
      <c r="CL94" s="466">
        <f t="shared" si="62"/>
        <v>0</v>
      </c>
      <c r="CM94" s="466">
        <f t="shared" si="62"/>
        <v>0</v>
      </c>
      <c r="CN94" s="466">
        <f t="shared" si="62"/>
        <v>0</v>
      </c>
      <c r="CO94" s="466">
        <f t="shared" si="62"/>
        <v>0</v>
      </c>
      <c r="CP94" s="466">
        <f t="shared" si="62"/>
        <v>0</v>
      </c>
      <c r="CQ94" s="466">
        <f t="shared" si="62"/>
        <v>0</v>
      </c>
      <c r="CR94" s="466">
        <f t="shared" si="62"/>
        <v>0</v>
      </c>
      <c r="CS94" s="466">
        <f t="shared" si="62"/>
        <v>0</v>
      </c>
      <c r="CT94" s="466">
        <f t="shared" si="62"/>
        <v>0</v>
      </c>
      <c r="CU94" s="466">
        <f t="shared" si="62"/>
        <v>0</v>
      </c>
      <c r="CV94" s="466">
        <f t="shared" si="62"/>
        <v>0</v>
      </c>
      <c r="CW94" s="466">
        <f t="shared" si="62"/>
        <v>0</v>
      </c>
      <c r="CX94" s="466">
        <f t="shared" si="62"/>
        <v>0</v>
      </c>
      <c r="CY94" s="466">
        <f t="shared" si="62"/>
        <v>0</v>
      </c>
      <c r="CZ94" s="466">
        <f t="shared" si="62"/>
        <v>0</v>
      </c>
      <c r="DA94" s="466">
        <f t="shared" si="62"/>
        <v>0</v>
      </c>
      <c r="DB94" s="466">
        <f t="shared" si="62"/>
        <v>0</v>
      </c>
      <c r="DC94" s="466">
        <f t="shared" si="62"/>
        <v>0</v>
      </c>
      <c r="DD94" s="466">
        <f t="shared" si="62"/>
        <v>0</v>
      </c>
      <c r="DE94" s="466">
        <f t="shared" si="62"/>
        <v>0</v>
      </c>
      <c r="DF94" s="466">
        <f t="shared" si="62"/>
        <v>0</v>
      </c>
      <c r="DG94" s="466">
        <f t="shared" si="62"/>
        <v>0</v>
      </c>
      <c r="DH94" s="466">
        <f t="shared" si="62"/>
        <v>0</v>
      </c>
      <c r="DI94" s="466">
        <f t="shared" si="62"/>
        <v>0</v>
      </c>
      <c r="DJ94" s="466">
        <f t="shared" si="62"/>
        <v>0</v>
      </c>
      <c r="DK94" s="466">
        <f t="shared" si="62"/>
        <v>0</v>
      </c>
      <c r="DL94" s="466">
        <f t="shared" si="62"/>
        <v>0</v>
      </c>
      <c r="DM94" s="466">
        <f t="shared" si="62"/>
        <v>0</v>
      </c>
      <c r="DN94" s="466">
        <f t="shared" si="62"/>
        <v>0</v>
      </c>
      <c r="DO94" s="466">
        <f t="shared" si="62"/>
        <v>0</v>
      </c>
      <c r="DP94" s="466">
        <f t="shared" si="62"/>
        <v>0</v>
      </c>
      <c r="DQ94" s="466">
        <f t="shared" si="62"/>
        <v>0</v>
      </c>
      <c r="DR94" s="466">
        <f t="shared" si="62"/>
        <v>0</v>
      </c>
      <c r="DS94" s="466">
        <f t="shared" si="62"/>
        <v>0</v>
      </c>
      <c r="DT94" s="466">
        <f t="shared" si="62"/>
        <v>0</v>
      </c>
      <c r="DU94" s="466">
        <f t="shared" si="62"/>
        <v>0</v>
      </c>
      <c r="DV94" s="466">
        <f t="shared" si="62"/>
        <v>0</v>
      </c>
      <c r="DW94" s="322" t="s">
        <v>372</v>
      </c>
    </row>
    <row r="95" spans="3:127" hidden="1" outlineLevel="1" x14ac:dyDescent="0.3">
      <c r="C95" s="374" t="s">
        <v>351</v>
      </c>
      <c r="D95" s="470"/>
      <c r="E95" s="463">
        <f>SUM(F95:BN95)</f>
        <v>-18134237.649718024</v>
      </c>
      <c r="F95" s="475">
        <v>0</v>
      </c>
      <c r="G95" s="467">
        <f t="shared" ref="G95:BR95" si="63">F98</f>
        <v>0</v>
      </c>
      <c r="H95" s="467">
        <f t="shared" si="63"/>
        <v>-9655.6243749999994</v>
      </c>
      <c r="I95" s="467">
        <f t="shared" si="63"/>
        <v>-19311.248749999999</v>
      </c>
      <c r="J95" s="467">
        <f t="shared" si="63"/>
        <v>-28966.873124999998</v>
      </c>
      <c r="K95" s="467">
        <f t="shared" si="63"/>
        <v>-38622.497499999998</v>
      </c>
      <c r="L95" s="467">
        <f t="shared" si="63"/>
        <v>-48278.121874999997</v>
      </c>
      <c r="M95" s="467">
        <f t="shared" si="63"/>
        <v>-57933.746249999997</v>
      </c>
      <c r="N95" s="467">
        <f t="shared" si="63"/>
        <v>-67589.370624999996</v>
      </c>
      <c r="O95" s="467">
        <f t="shared" si="63"/>
        <v>-77244.994999999995</v>
      </c>
      <c r="P95" s="467">
        <f t="shared" si="63"/>
        <v>-86900.619374999995</v>
      </c>
      <c r="Q95" s="467">
        <f t="shared" si="63"/>
        <v>-96556.243749999994</v>
      </c>
      <c r="R95" s="467">
        <f t="shared" si="63"/>
        <v>-106211.86812499999</v>
      </c>
      <c r="S95" s="467">
        <f t="shared" si="63"/>
        <v>-115867.49249999999</v>
      </c>
      <c r="T95" s="467">
        <f t="shared" si="63"/>
        <v>-126193.92623124999</v>
      </c>
      <c r="U95" s="467">
        <f t="shared" si="63"/>
        <v>-136520.35996249999</v>
      </c>
      <c r="V95" s="467">
        <f t="shared" si="63"/>
        <v>-146846.79369374999</v>
      </c>
      <c r="W95" s="467">
        <f t="shared" si="63"/>
        <v>-157173.22742499999</v>
      </c>
      <c r="X95" s="467">
        <f t="shared" si="63"/>
        <v>-167499.66115624999</v>
      </c>
      <c r="Y95" s="467">
        <f t="shared" si="63"/>
        <v>-177826.09488749999</v>
      </c>
      <c r="Z95" s="467">
        <f t="shared" si="63"/>
        <v>-188152.52861874999</v>
      </c>
      <c r="AA95" s="467">
        <f t="shared" si="63"/>
        <v>-198478.96234999999</v>
      </c>
      <c r="AB95" s="467">
        <f t="shared" si="63"/>
        <v>-208805.39608124999</v>
      </c>
      <c r="AC95" s="467">
        <f t="shared" si="63"/>
        <v>-219131.82981249999</v>
      </c>
      <c r="AD95" s="467">
        <f t="shared" si="63"/>
        <v>-229458.26354374998</v>
      </c>
      <c r="AE95" s="467">
        <f t="shared" si="63"/>
        <v>-239784.69727499998</v>
      </c>
      <c r="AF95" s="467">
        <f t="shared" si="63"/>
        <v>-250802.06464318748</v>
      </c>
      <c r="AG95" s="467">
        <f t="shared" si="63"/>
        <v>-261819.43201137497</v>
      </c>
      <c r="AH95" s="467">
        <f t="shared" si="63"/>
        <v>-272836.79937956249</v>
      </c>
      <c r="AI95" s="467">
        <f t="shared" si="63"/>
        <v>-283854.16674775002</v>
      </c>
      <c r="AJ95" s="467">
        <f t="shared" si="63"/>
        <v>-294871.53411593754</v>
      </c>
      <c r="AK95" s="467">
        <f t="shared" si="63"/>
        <v>-305888.90148412506</v>
      </c>
      <c r="AL95" s="467">
        <f t="shared" si="63"/>
        <v>-316906.26885231258</v>
      </c>
      <c r="AM95" s="467">
        <f t="shared" si="63"/>
        <v>-327923.63622050011</v>
      </c>
      <c r="AN95" s="467">
        <f t="shared" si="63"/>
        <v>-338941.00358868763</v>
      </c>
      <c r="AO95" s="467">
        <f t="shared" si="63"/>
        <v>-349958.37095687515</v>
      </c>
      <c r="AP95" s="467">
        <f t="shared" si="63"/>
        <v>-360975.73832506267</v>
      </c>
      <c r="AQ95" s="467">
        <f t="shared" si="63"/>
        <v>-371993.1056932502</v>
      </c>
      <c r="AR95" s="467">
        <f t="shared" si="63"/>
        <v>-383722.13470748335</v>
      </c>
      <c r="AS95" s="467">
        <f t="shared" si="63"/>
        <v>-395451.1637217165</v>
      </c>
      <c r="AT95" s="467">
        <f t="shared" si="63"/>
        <v>-407180.19273594965</v>
      </c>
      <c r="AU95" s="467">
        <f t="shared" si="63"/>
        <v>-418909.2217501828</v>
      </c>
      <c r="AV95" s="467">
        <f t="shared" si="63"/>
        <v>-430638.25076441595</v>
      </c>
      <c r="AW95" s="467">
        <f t="shared" si="63"/>
        <v>-442367.2797786491</v>
      </c>
      <c r="AX95" s="467">
        <f t="shared" si="63"/>
        <v>-454096.30879288225</v>
      </c>
      <c r="AY95" s="467">
        <f t="shared" si="63"/>
        <v>-465825.3378071154</v>
      </c>
      <c r="AZ95" s="467">
        <f t="shared" si="63"/>
        <v>-477554.36682134855</v>
      </c>
      <c r="BA95" s="467">
        <f t="shared" si="63"/>
        <v>-489283.3958355817</v>
      </c>
      <c r="BB95" s="467">
        <f t="shared" si="63"/>
        <v>-501012.42484981485</v>
      </c>
      <c r="BC95" s="467">
        <f t="shared" si="63"/>
        <v>-512741.453864048</v>
      </c>
      <c r="BD95" s="467">
        <f t="shared" si="63"/>
        <v>-519249.31237129314</v>
      </c>
      <c r="BE95" s="467">
        <f t="shared" si="63"/>
        <v>-525757.17087853828</v>
      </c>
      <c r="BF95" s="467">
        <f t="shared" si="63"/>
        <v>-532265.02938578348</v>
      </c>
      <c r="BG95" s="467">
        <f t="shared" si="63"/>
        <v>-538772.88789302856</v>
      </c>
      <c r="BH95" s="467">
        <f t="shared" si="63"/>
        <v>-545280.74640027364</v>
      </c>
      <c r="BI95" s="467">
        <f t="shared" si="63"/>
        <v>-551788.60490751872</v>
      </c>
      <c r="BJ95" s="467">
        <f t="shared" si="63"/>
        <v>-558296.4634147638</v>
      </c>
      <c r="BK95" s="467">
        <f t="shared" si="63"/>
        <v>-564804.32192200888</v>
      </c>
      <c r="BL95" s="467">
        <f t="shared" si="63"/>
        <v>-571312.18042925396</v>
      </c>
      <c r="BM95" s="467">
        <f t="shared" si="63"/>
        <v>-577820.03893649904</v>
      </c>
      <c r="BN95" s="467">
        <f t="shared" si="63"/>
        <v>-584327.89744374412</v>
      </c>
      <c r="BO95" s="467">
        <f t="shared" si="63"/>
        <v>-1871814.7624981306</v>
      </c>
      <c r="BP95" s="467">
        <f t="shared" si="63"/>
        <v>-1871814.7624981306</v>
      </c>
      <c r="BQ95" s="467">
        <f t="shared" si="63"/>
        <v>-1871814.7624981306</v>
      </c>
      <c r="BR95" s="467">
        <f t="shared" si="63"/>
        <v>-1871814.7624981306</v>
      </c>
      <c r="BS95" s="467">
        <f t="shared" ref="BS95:DV95" si="64">BR98</f>
        <v>-1871814.7624981306</v>
      </c>
      <c r="BT95" s="467">
        <f t="shared" si="64"/>
        <v>-1871814.7624981306</v>
      </c>
      <c r="BU95" s="467">
        <f t="shared" si="64"/>
        <v>-1871814.7624981306</v>
      </c>
      <c r="BV95" s="467">
        <f t="shared" si="64"/>
        <v>-1871814.7624981306</v>
      </c>
      <c r="BW95" s="467">
        <f t="shared" si="64"/>
        <v>-1871814.7624981306</v>
      </c>
      <c r="BX95" s="467">
        <f t="shared" si="64"/>
        <v>-1871814.7624981306</v>
      </c>
      <c r="BY95" s="467">
        <f t="shared" si="64"/>
        <v>-1871814.7624981306</v>
      </c>
      <c r="BZ95" s="467">
        <f t="shared" si="64"/>
        <v>-1871814.7624981306</v>
      </c>
      <c r="CA95" s="467">
        <f t="shared" si="64"/>
        <v>-1871814.7624981306</v>
      </c>
      <c r="CB95" s="467">
        <f t="shared" si="64"/>
        <v>-1871814.7624981306</v>
      </c>
      <c r="CC95" s="467">
        <f t="shared" si="64"/>
        <v>-1871814.7624981306</v>
      </c>
      <c r="CD95" s="467">
        <f t="shared" si="64"/>
        <v>-1871814.7624981306</v>
      </c>
      <c r="CE95" s="467">
        <f t="shared" si="64"/>
        <v>-1871814.7624981306</v>
      </c>
      <c r="CF95" s="467">
        <f t="shared" si="64"/>
        <v>-1871814.7624981306</v>
      </c>
      <c r="CG95" s="467">
        <f t="shared" si="64"/>
        <v>-1871814.7624981306</v>
      </c>
      <c r="CH95" s="467">
        <f t="shared" si="64"/>
        <v>-1871814.7624981306</v>
      </c>
      <c r="CI95" s="467">
        <f t="shared" si="64"/>
        <v>-1871814.7624981306</v>
      </c>
      <c r="CJ95" s="467">
        <f t="shared" si="64"/>
        <v>-1871814.7624981306</v>
      </c>
      <c r="CK95" s="467">
        <f t="shared" si="64"/>
        <v>-1871814.7624981306</v>
      </c>
      <c r="CL95" s="467">
        <f t="shared" si="64"/>
        <v>-1871814.7624981306</v>
      </c>
      <c r="CM95" s="467">
        <f t="shared" si="64"/>
        <v>-1871814.7624981306</v>
      </c>
      <c r="CN95" s="467">
        <f t="shared" si="64"/>
        <v>-1871814.7624981306</v>
      </c>
      <c r="CO95" s="467">
        <f t="shared" si="64"/>
        <v>-1871814.7624981306</v>
      </c>
      <c r="CP95" s="467">
        <f t="shared" si="64"/>
        <v>-1871814.7624981306</v>
      </c>
      <c r="CQ95" s="467">
        <f t="shared" si="64"/>
        <v>-1871814.7624981306</v>
      </c>
      <c r="CR95" s="467">
        <f t="shared" si="64"/>
        <v>-1871814.7624981306</v>
      </c>
      <c r="CS95" s="467">
        <f t="shared" si="64"/>
        <v>-1871814.7624981306</v>
      </c>
      <c r="CT95" s="467">
        <f t="shared" si="64"/>
        <v>-1871814.7624981306</v>
      </c>
      <c r="CU95" s="467">
        <f t="shared" si="64"/>
        <v>-1871814.7624981306</v>
      </c>
      <c r="CV95" s="467">
        <f t="shared" si="64"/>
        <v>-1871814.7624981306</v>
      </c>
      <c r="CW95" s="467">
        <f t="shared" si="64"/>
        <v>-1871814.7624981306</v>
      </c>
      <c r="CX95" s="467">
        <f t="shared" si="64"/>
        <v>-1871814.7624981306</v>
      </c>
      <c r="CY95" s="467">
        <f t="shared" si="64"/>
        <v>-1871814.7624981306</v>
      </c>
      <c r="CZ95" s="467">
        <f t="shared" si="64"/>
        <v>-1871814.7624981306</v>
      </c>
      <c r="DA95" s="467">
        <f t="shared" si="64"/>
        <v>-1871814.7624981306</v>
      </c>
      <c r="DB95" s="467">
        <f t="shared" si="64"/>
        <v>-1871814.7624981306</v>
      </c>
      <c r="DC95" s="467">
        <f t="shared" si="64"/>
        <v>-1871814.7624981306</v>
      </c>
      <c r="DD95" s="467">
        <f t="shared" si="64"/>
        <v>-1871814.7624981306</v>
      </c>
      <c r="DE95" s="467">
        <f t="shared" si="64"/>
        <v>-1871814.7624981306</v>
      </c>
      <c r="DF95" s="467">
        <f t="shared" si="64"/>
        <v>-1871814.7624981306</v>
      </c>
      <c r="DG95" s="467">
        <f t="shared" si="64"/>
        <v>-1871814.7624981306</v>
      </c>
      <c r="DH95" s="467">
        <f t="shared" si="64"/>
        <v>-1871814.7624981306</v>
      </c>
      <c r="DI95" s="467">
        <f t="shared" si="64"/>
        <v>-1871814.7624981306</v>
      </c>
      <c r="DJ95" s="467">
        <f t="shared" si="64"/>
        <v>-1871814.7624981306</v>
      </c>
      <c r="DK95" s="467">
        <f t="shared" si="64"/>
        <v>-1871814.7624981306</v>
      </c>
      <c r="DL95" s="467">
        <f t="shared" si="64"/>
        <v>-1871814.7624981306</v>
      </c>
      <c r="DM95" s="467">
        <f t="shared" si="64"/>
        <v>-1871814.7624981306</v>
      </c>
      <c r="DN95" s="467">
        <f t="shared" si="64"/>
        <v>-1871814.7624981306</v>
      </c>
      <c r="DO95" s="467">
        <f t="shared" si="64"/>
        <v>-1871814.7624981306</v>
      </c>
      <c r="DP95" s="467">
        <f t="shared" si="64"/>
        <v>-1871814.7624981306</v>
      </c>
      <c r="DQ95" s="467">
        <f t="shared" si="64"/>
        <v>-1871814.7624981306</v>
      </c>
      <c r="DR95" s="467">
        <f t="shared" si="64"/>
        <v>-1871814.7624981306</v>
      </c>
      <c r="DS95" s="467">
        <f t="shared" si="64"/>
        <v>-1871814.7624981306</v>
      </c>
      <c r="DT95" s="467">
        <f t="shared" si="64"/>
        <v>-1871814.7624981306</v>
      </c>
      <c r="DU95" s="467">
        <f t="shared" si="64"/>
        <v>-1871814.7624981306</v>
      </c>
      <c r="DV95" s="467">
        <f t="shared" si="64"/>
        <v>-1871814.7624981306</v>
      </c>
      <c r="DW95" s="322" t="s">
        <v>372</v>
      </c>
    </row>
    <row r="96" spans="3:127" hidden="1" outlineLevel="1" x14ac:dyDescent="0.3">
      <c r="C96" s="476" t="s">
        <v>403</v>
      </c>
      <c r="D96" s="477">
        <f>F38</f>
        <v>0</v>
      </c>
      <c r="E96" s="463">
        <f>SUM(F96:BN96)</f>
        <v>0</v>
      </c>
      <c r="F96" s="468">
        <f>F94*$D$96</f>
        <v>0</v>
      </c>
      <c r="G96" s="468">
        <f t="shared" ref="G96:BR96" si="65">G94*$D$96</f>
        <v>0</v>
      </c>
      <c r="H96" s="468">
        <f t="shared" si="65"/>
        <v>0</v>
      </c>
      <c r="I96" s="468">
        <f t="shared" si="65"/>
        <v>0</v>
      </c>
      <c r="J96" s="468">
        <f t="shared" si="65"/>
        <v>0</v>
      </c>
      <c r="K96" s="468">
        <f t="shared" si="65"/>
        <v>0</v>
      </c>
      <c r="L96" s="468">
        <f t="shared" si="65"/>
        <v>0</v>
      </c>
      <c r="M96" s="468">
        <f t="shared" si="65"/>
        <v>0</v>
      </c>
      <c r="N96" s="468">
        <f t="shared" si="65"/>
        <v>0</v>
      </c>
      <c r="O96" s="468">
        <f t="shared" si="65"/>
        <v>0</v>
      </c>
      <c r="P96" s="468">
        <f t="shared" si="65"/>
        <v>0</v>
      </c>
      <c r="Q96" s="468">
        <f t="shared" si="65"/>
        <v>0</v>
      </c>
      <c r="R96" s="468">
        <f t="shared" si="65"/>
        <v>0</v>
      </c>
      <c r="S96" s="468">
        <f t="shared" si="65"/>
        <v>0</v>
      </c>
      <c r="T96" s="468">
        <f t="shared" si="65"/>
        <v>0</v>
      </c>
      <c r="U96" s="468">
        <f t="shared" si="65"/>
        <v>0</v>
      </c>
      <c r="V96" s="468">
        <f t="shared" si="65"/>
        <v>0</v>
      </c>
      <c r="W96" s="468">
        <f t="shared" si="65"/>
        <v>0</v>
      </c>
      <c r="X96" s="468">
        <f t="shared" si="65"/>
        <v>0</v>
      </c>
      <c r="Y96" s="468">
        <f t="shared" si="65"/>
        <v>0</v>
      </c>
      <c r="Z96" s="468">
        <f t="shared" si="65"/>
        <v>0</v>
      </c>
      <c r="AA96" s="468">
        <f t="shared" si="65"/>
        <v>0</v>
      </c>
      <c r="AB96" s="468">
        <f t="shared" si="65"/>
        <v>0</v>
      </c>
      <c r="AC96" s="468">
        <f t="shared" si="65"/>
        <v>0</v>
      </c>
      <c r="AD96" s="468">
        <f t="shared" si="65"/>
        <v>0</v>
      </c>
      <c r="AE96" s="468">
        <f t="shared" si="65"/>
        <v>0</v>
      </c>
      <c r="AF96" s="468">
        <f t="shared" si="65"/>
        <v>0</v>
      </c>
      <c r="AG96" s="468">
        <f t="shared" si="65"/>
        <v>0</v>
      </c>
      <c r="AH96" s="468">
        <f t="shared" si="65"/>
        <v>0</v>
      </c>
      <c r="AI96" s="468">
        <f t="shared" si="65"/>
        <v>0</v>
      </c>
      <c r="AJ96" s="468">
        <f t="shared" si="65"/>
        <v>0</v>
      </c>
      <c r="AK96" s="468">
        <f t="shared" si="65"/>
        <v>0</v>
      </c>
      <c r="AL96" s="468">
        <f t="shared" si="65"/>
        <v>0</v>
      </c>
      <c r="AM96" s="468">
        <f t="shared" si="65"/>
        <v>0</v>
      </c>
      <c r="AN96" s="468">
        <f t="shared" si="65"/>
        <v>0</v>
      </c>
      <c r="AO96" s="468">
        <f t="shared" si="65"/>
        <v>0</v>
      </c>
      <c r="AP96" s="468">
        <f t="shared" si="65"/>
        <v>0</v>
      </c>
      <c r="AQ96" s="468">
        <f t="shared" si="65"/>
        <v>0</v>
      </c>
      <c r="AR96" s="468">
        <f t="shared" si="65"/>
        <v>0</v>
      </c>
      <c r="AS96" s="468">
        <f t="shared" si="65"/>
        <v>0</v>
      </c>
      <c r="AT96" s="468">
        <f t="shared" si="65"/>
        <v>0</v>
      </c>
      <c r="AU96" s="468">
        <f t="shared" si="65"/>
        <v>0</v>
      </c>
      <c r="AV96" s="468">
        <f t="shared" si="65"/>
        <v>0</v>
      </c>
      <c r="AW96" s="468">
        <f t="shared" si="65"/>
        <v>0</v>
      </c>
      <c r="AX96" s="468">
        <f t="shared" si="65"/>
        <v>0</v>
      </c>
      <c r="AY96" s="468">
        <f t="shared" si="65"/>
        <v>0</v>
      </c>
      <c r="AZ96" s="468">
        <f t="shared" si="65"/>
        <v>0</v>
      </c>
      <c r="BA96" s="468">
        <f t="shared" si="65"/>
        <v>0</v>
      </c>
      <c r="BB96" s="468">
        <f t="shared" si="65"/>
        <v>0</v>
      </c>
      <c r="BC96" s="468">
        <f t="shared" si="65"/>
        <v>0</v>
      </c>
      <c r="BD96" s="468">
        <f t="shared" si="65"/>
        <v>0</v>
      </c>
      <c r="BE96" s="468">
        <f t="shared" si="65"/>
        <v>0</v>
      </c>
      <c r="BF96" s="468">
        <f t="shared" si="65"/>
        <v>0</v>
      </c>
      <c r="BG96" s="468">
        <f t="shared" si="65"/>
        <v>0</v>
      </c>
      <c r="BH96" s="468">
        <f t="shared" si="65"/>
        <v>0</v>
      </c>
      <c r="BI96" s="468">
        <f t="shared" si="65"/>
        <v>0</v>
      </c>
      <c r="BJ96" s="468">
        <f t="shared" si="65"/>
        <v>0</v>
      </c>
      <c r="BK96" s="468">
        <f t="shared" si="65"/>
        <v>0</v>
      </c>
      <c r="BL96" s="468">
        <f t="shared" si="65"/>
        <v>0</v>
      </c>
      <c r="BM96" s="468">
        <f t="shared" si="65"/>
        <v>0</v>
      </c>
      <c r="BN96" s="468">
        <f t="shared" si="65"/>
        <v>0</v>
      </c>
      <c r="BO96" s="468">
        <f t="shared" si="65"/>
        <v>0</v>
      </c>
      <c r="BP96" s="468">
        <f t="shared" si="65"/>
        <v>0</v>
      </c>
      <c r="BQ96" s="468">
        <f t="shared" si="65"/>
        <v>0</v>
      </c>
      <c r="BR96" s="468">
        <f t="shared" si="65"/>
        <v>0</v>
      </c>
      <c r="BS96" s="468">
        <f t="shared" ref="BS96:DV96" si="66">BS94*$D$96</f>
        <v>0</v>
      </c>
      <c r="BT96" s="468">
        <f t="shared" si="66"/>
        <v>0</v>
      </c>
      <c r="BU96" s="468">
        <f t="shared" si="66"/>
        <v>0</v>
      </c>
      <c r="BV96" s="468">
        <f t="shared" si="66"/>
        <v>0</v>
      </c>
      <c r="BW96" s="468">
        <f t="shared" si="66"/>
        <v>0</v>
      </c>
      <c r="BX96" s="468">
        <f t="shared" si="66"/>
        <v>0</v>
      </c>
      <c r="BY96" s="468">
        <f t="shared" si="66"/>
        <v>0</v>
      </c>
      <c r="BZ96" s="468">
        <f t="shared" si="66"/>
        <v>0</v>
      </c>
      <c r="CA96" s="468">
        <f t="shared" si="66"/>
        <v>0</v>
      </c>
      <c r="CB96" s="468">
        <f t="shared" si="66"/>
        <v>0</v>
      </c>
      <c r="CC96" s="468">
        <f t="shared" si="66"/>
        <v>0</v>
      </c>
      <c r="CD96" s="468">
        <f t="shared" si="66"/>
        <v>0</v>
      </c>
      <c r="CE96" s="468">
        <f t="shared" si="66"/>
        <v>0</v>
      </c>
      <c r="CF96" s="468">
        <f t="shared" si="66"/>
        <v>0</v>
      </c>
      <c r="CG96" s="468">
        <f t="shared" si="66"/>
        <v>0</v>
      </c>
      <c r="CH96" s="468">
        <f t="shared" si="66"/>
        <v>0</v>
      </c>
      <c r="CI96" s="468">
        <f t="shared" si="66"/>
        <v>0</v>
      </c>
      <c r="CJ96" s="468">
        <f t="shared" si="66"/>
        <v>0</v>
      </c>
      <c r="CK96" s="468">
        <f t="shared" si="66"/>
        <v>0</v>
      </c>
      <c r="CL96" s="468">
        <f t="shared" si="66"/>
        <v>0</v>
      </c>
      <c r="CM96" s="468">
        <f t="shared" si="66"/>
        <v>0</v>
      </c>
      <c r="CN96" s="468">
        <f t="shared" si="66"/>
        <v>0</v>
      </c>
      <c r="CO96" s="468">
        <f t="shared" si="66"/>
        <v>0</v>
      </c>
      <c r="CP96" s="468">
        <f t="shared" si="66"/>
        <v>0</v>
      </c>
      <c r="CQ96" s="468">
        <f t="shared" si="66"/>
        <v>0</v>
      </c>
      <c r="CR96" s="468">
        <f t="shared" si="66"/>
        <v>0</v>
      </c>
      <c r="CS96" s="468">
        <f t="shared" si="66"/>
        <v>0</v>
      </c>
      <c r="CT96" s="468">
        <f t="shared" si="66"/>
        <v>0</v>
      </c>
      <c r="CU96" s="468">
        <f t="shared" si="66"/>
        <v>0</v>
      </c>
      <c r="CV96" s="468">
        <f t="shared" si="66"/>
        <v>0</v>
      </c>
      <c r="CW96" s="468">
        <f t="shared" si="66"/>
        <v>0</v>
      </c>
      <c r="CX96" s="468">
        <f t="shared" si="66"/>
        <v>0</v>
      </c>
      <c r="CY96" s="468">
        <f t="shared" si="66"/>
        <v>0</v>
      </c>
      <c r="CZ96" s="468">
        <f t="shared" si="66"/>
        <v>0</v>
      </c>
      <c r="DA96" s="468">
        <f t="shared" si="66"/>
        <v>0</v>
      </c>
      <c r="DB96" s="468">
        <f t="shared" si="66"/>
        <v>0</v>
      </c>
      <c r="DC96" s="468">
        <f t="shared" si="66"/>
        <v>0</v>
      </c>
      <c r="DD96" s="468">
        <f t="shared" si="66"/>
        <v>0</v>
      </c>
      <c r="DE96" s="468">
        <f t="shared" si="66"/>
        <v>0</v>
      </c>
      <c r="DF96" s="468">
        <f t="shared" si="66"/>
        <v>0</v>
      </c>
      <c r="DG96" s="468">
        <f t="shared" si="66"/>
        <v>0</v>
      </c>
      <c r="DH96" s="468">
        <f t="shared" si="66"/>
        <v>0</v>
      </c>
      <c r="DI96" s="468">
        <f t="shared" si="66"/>
        <v>0</v>
      </c>
      <c r="DJ96" s="468">
        <f t="shared" si="66"/>
        <v>0</v>
      </c>
      <c r="DK96" s="468">
        <f t="shared" si="66"/>
        <v>0</v>
      </c>
      <c r="DL96" s="468">
        <f t="shared" si="66"/>
        <v>0</v>
      </c>
      <c r="DM96" s="468">
        <f t="shared" si="66"/>
        <v>0</v>
      </c>
      <c r="DN96" s="468">
        <f t="shared" si="66"/>
        <v>0</v>
      </c>
      <c r="DO96" s="468">
        <f t="shared" si="66"/>
        <v>0</v>
      </c>
      <c r="DP96" s="468">
        <f t="shared" si="66"/>
        <v>0</v>
      </c>
      <c r="DQ96" s="468">
        <f t="shared" si="66"/>
        <v>0</v>
      </c>
      <c r="DR96" s="468">
        <f t="shared" si="66"/>
        <v>0</v>
      </c>
      <c r="DS96" s="468">
        <f t="shared" si="66"/>
        <v>0</v>
      </c>
      <c r="DT96" s="468">
        <f t="shared" si="66"/>
        <v>0</v>
      </c>
      <c r="DU96" s="468">
        <f t="shared" si="66"/>
        <v>0</v>
      </c>
      <c r="DV96" s="468">
        <f t="shared" si="66"/>
        <v>0</v>
      </c>
      <c r="DW96" s="322" t="s">
        <v>372</v>
      </c>
    </row>
    <row r="97" spans="3:127" hidden="1" outlineLevel="1" x14ac:dyDescent="0.3">
      <c r="C97" s="469" t="str">
        <f>C90</f>
        <v>8.00% Accrual Distribution</v>
      </c>
      <c r="D97" s="478"/>
      <c r="E97" s="463">
        <f>SUM(F97:BN97)</f>
        <v>-1871814.7624981306</v>
      </c>
      <c r="F97" s="468">
        <f>F90</f>
        <v>0</v>
      </c>
      <c r="G97" s="468">
        <f t="shared" ref="G97:BR97" si="67">G90</f>
        <v>-9655.6243749999994</v>
      </c>
      <c r="H97" s="468">
        <f t="shared" si="67"/>
        <v>-9655.6243749999994</v>
      </c>
      <c r="I97" s="468">
        <f t="shared" si="67"/>
        <v>-9655.6243749999994</v>
      </c>
      <c r="J97" s="468">
        <f t="shared" si="67"/>
        <v>-9655.6243749999994</v>
      </c>
      <c r="K97" s="468">
        <f t="shared" si="67"/>
        <v>-9655.6243749999994</v>
      </c>
      <c r="L97" s="468">
        <f t="shared" si="67"/>
        <v>-9655.6243749999994</v>
      </c>
      <c r="M97" s="468">
        <f t="shared" si="67"/>
        <v>-9655.6243749999994</v>
      </c>
      <c r="N97" s="468">
        <f t="shared" si="67"/>
        <v>-9655.6243749999994</v>
      </c>
      <c r="O97" s="468">
        <f t="shared" si="67"/>
        <v>-9655.6243749999994</v>
      </c>
      <c r="P97" s="468">
        <f t="shared" si="67"/>
        <v>-9655.6243749999994</v>
      </c>
      <c r="Q97" s="468">
        <f t="shared" si="67"/>
        <v>-9655.6243749999994</v>
      </c>
      <c r="R97" s="468">
        <f t="shared" si="67"/>
        <v>-9655.6243749999994</v>
      </c>
      <c r="S97" s="468">
        <f t="shared" si="67"/>
        <v>-10326.433731250003</v>
      </c>
      <c r="T97" s="468">
        <f t="shared" si="67"/>
        <v>-10326.433731250003</v>
      </c>
      <c r="U97" s="468">
        <f t="shared" si="67"/>
        <v>-10326.433731250003</v>
      </c>
      <c r="V97" s="468">
        <f t="shared" si="67"/>
        <v>-10326.433731250003</v>
      </c>
      <c r="W97" s="468">
        <f t="shared" si="67"/>
        <v>-10326.433731250003</v>
      </c>
      <c r="X97" s="468">
        <f t="shared" si="67"/>
        <v>-10326.433731250003</v>
      </c>
      <c r="Y97" s="468">
        <f t="shared" si="67"/>
        <v>-10326.433731250003</v>
      </c>
      <c r="Z97" s="468">
        <f t="shared" si="67"/>
        <v>-10326.433731250003</v>
      </c>
      <c r="AA97" s="468">
        <f t="shared" si="67"/>
        <v>-10326.433731250003</v>
      </c>
      <c r="AB97" s="468">
        <f t="shared" si="67"/>
        <v>-10326.433731250003</v>
      </c>
      <c r="AC97" s="468">
        <f t="shared" si="67"/>
        <v>-10326.433731250003</v>
      </c>
      <c r="AD97" s="468">
        <f t="shared" si="67"/>
        <v>-10326.433731250003</v>
      </c>
      <c r="AE97" s="468">
        <f t="shared" si="67"/>
        <v>-11017.367368187497</v>
      </c>
      <c r="AF97" s="468">
        <f t="shared" si="67"/>
        <v>-11017.367368187497</v>
      </c>
      <c r="AG97" s="468">
        <f t="shared" si="67"/>
        <v>-11017.367368187497</v>
      </c>
      <c r="AH97" s="468">
        <f t="shared" si="67"/>
        <v>-11017.367368187497</v>
      </c>
      <c r="AI97" s="468">
        <f t="shared" si="67"/>
        <v>-11017.367368187497</v>
      </c>
      <c r="AJ97" s="468">
        <f t="shared" si="67"/>
        <v>-11017.367368187497</v>
      </c>
      <c r="AK97" s="468">
        <f t="shared" si="67"/>
        <v>-11017.367368187497</v>
      </c>
      <c r="AL97" s="468">
        <f t="shared" si="67"/>
        <v>-11017.367368187497</v>
      </c>
      <c r="AM97" s="468">
        <f t="shared" si="67"/>
        <v>-11017.367368187497</v>
      </c>
      <c r="AN97" s="468">
        <f t="shared" si="67"/>
        <v>-11017.367368187497</v>
      </c>
      <c r="AO97" s="468">
        <f t="shared" si="67"/>
        <v>-11017.367368187497</v>
      </c>
      <c r="AP97" s="468">
        <f t="shared" si="67"/>
        <v>-11017.367368187497</v>
      </c>
      <c r="AQ97" s="468">
        <f t="shared" si="67"/>
        <v>-11729.029014233121</v>
      </c>
      <c r="AR97" s="468">
        <f t="shared" si="67"/>
        <v>-11729.029014233121</v>
      </c>
      <c r="AS97" s="468">
        <f t="shared" si="67"/>
        <v>-11729.029014233121</v>
      </c>
      <c r="AT97" s="468">
        <f t="shared" si="67"/>
        <v>-11729.029014233121</v>
      </c>
      <c r="AU97" s="468">
        <f t="shared" si="67"/>
        <v>-11729.029014233121</v>
      </c>
      <c r="AV97" s="468">
        <f t="shared" si="67"/>
        <v>-11729.029014233121</v>
      </c>
      <c r="AW97" s="468">
        <f t="shared" si="67"/>
        <v>-11729.029014233121</v>
      </c>
      <c r="AX97" s="468">
        <f t="shared" si="67"/>
        <v>-11729.029014233121</v>
      </c>
      <c r="AY97" s="468">
        <f t="shared" si="67"/>
        <v>-11729.029014233121</v>
      </c>
      <c r="AZ97" s="468">
        <f t="shared" si="67"/>
        <v>-11729.029014233121</v>
      </c>
      <c r="BA97" s="468">
        <f t="shared" si="67"/>
        <v>-11729.029014233121</v>
      </c>
      <c r="BB97" s="468">
        <f t="shared" si="67"/>
        <v>-11729.029014233121</v>
      </c>
      <c r="BC97" s="468">
        <f t="shared" si="67"/>
        <v>-6507.8585072451388</v>
      </c>
      <c r="BD97" s="468">
        <f t="shared" si="67"/>
        <v>-6507.8585072451388</v>
      </c>
      <c r="BE97" s="468">
        <f t="shared" si="67"/>
        <v>-6507.8585072451388</v>
      </c>
      <c r="BF97" s="468">
        <f t="shared" si="67"/>
        <v>-6507.8585072451388</v>
      </c>
      <c r="BG97" s="468">
        <f t="shared" si="67"/>
        <v>-6507.8585072451388</v>
      </c>
      <c r="BH97" s="468">
        <f t="shared" si="67"/>
        <v>-6507.8585072451388</v>
      </c>
      <c r="BI97" s="468">
        <f t="shared" si="67"/>
        <v>-6507.8585072451388</v>
      </c>
      <c r="BJ97" s="468">
        <f t="shared" si="67"/>
        <v>-6507.8585072451388</v>
      </c>
      <c r="BK97" s="468">
        <f t="shared" si="67"/>
        <v>-6507.8585072451388</v>
      </c>
      <c r="BL97" s="468">
        <f t="shared" si="67"/>
        <v>-6507.8585072451388</v>
      </c>
      <c r="BM97" s="468">
        <f t="shared" si="67"/>
        <v>-6507.8585072451388</v>
      </c>
      <c r="BN97" s="468">
        <f t="shared" si="67"/>
        <v>-1287486.8650543864</v>
      </c>
      <c r="BO97" s="468">
        <f t="shared" si="67"/>
        <v>0</v>
      </c>
      <c r="BP97" s="468">
        <f t="shared" si="67"/>
        <v>0</v>
      </c>
      <c r="BQ97" s="468">
        <f t="shared" si="67"/>
        <v>0</v>
      </c>
      <c r="BR97" s="468">
        <f t="shared" si="67"/>
        <v>0</v>
      </c>
      <c r="BS97" s="468">
        <f t="shared" ref="BS97:DV97" si="68">BS90</f>
        <v>0</v>
      </c>
      <c r="BT97" s="468">
        <f t="shared" si="68"/>
        <v>0</v>
      </c>
      <c r="BU97" s="468">
        <f t="shared" si="68"/>
        <v>0</v>
      </c>
      <c r="BV97" s="468">
        <f t="shared" si="68"/>
        <v>0</v>
      </c>
      <c r="BW97" s="468">
        <f t="shared" si="68"/>
        <v>0</v>
      </c>
      <c r="BX97" s="468">
        <f t="shared" si="68"/>
        <v>0</v>
      </c>
      <c r="BY97" s="468">
        <f t="shared" si="68"/>
        <v>0</v>
      </c>
      <c r="BZ97" s="468">
        <f t="shared" si="68"/>
        <v>0</v>
      </c>
      <c r="CA97" s="468">
        <f t="shared" si="68"/>
        <v>0</v>
      </c>
      <c r="CB97" s="468">
        <f t="shared" si="68"/>
        <v>0</v>
      </c>
      <c r="CC97" s="468">
        <f t="shared" si="68"/>
        <v>0</v>
      </c>
      <c r="CD97" s="468">
        <f t="shared" si="68"/>
        <v>0</v>
      </c>
      <c r="CE97" s="468">
        <f t="shared" si="68"/>
        <v>0</v>
      </c>
      <c r="CF97" s="468">
        <f t="shared" si="68"/>
        <v>0</v>
      </c>
      <c r="CG97" s="468">
        <f t="shared" si="68"/>
        <v>0</v>
      </c>
      <c r="CH97" s="468">
        <f t="shared" si="68"/>
        <v>0</v>
      </c>
      <c r="CI97" s="468">
        <f t="shared" si="68"/>
        <v>0</v>
      </c>
      <c r="CJ97" s="468">
        <f t="shared" si="68"/>
        <v>0</v>
      </c>
      <c r="CK97" s="468">
        <f t="shared" si="68"/>
        <v>0</v>
      </c>
      <c r="CL97" s="468">
        <f t="shared" si="68"/>
        <v>0</v>
      </c>
      <c r="CM97" s="468">
        <f t="shared" si="68"/>
        <v>0</v>
      </c>
      <c r="CN97" s="468">
        <f t="shared" si="68"/>
        <v>0</v>
      </c>
      <c r="CO97" s="468">
        <f t="shared" si="68"/>
        <v>0</v>
      </c>
      <c r="CP97" s="468">
        <f t="shared" si="68"/>
        <v>0</v>
      </c>
      <c r="CQ97" s="468">
        <f t="shared" si="68"/>
        <v>0</v>
      </c>
      <c r="CR97" s="468">
        <f t="shared" si="68"/>
        <v>0</v>
      </c>
      <c r="CS97" s="468">
        <f t="shared" si="68"/>
        <v>0</v>
      </c>
      <c r="CT97" s="468">
        <f t="shared" si="68"/>
        <v>0</v>
      </c>
      <c r="CU97" s="468">
        <f t="shared" si="68"/>
        <v>0</v>
      </c>
      <c r="CV97" s="468">
        <f t="shared" si="68"/>
        <v>0</v>
      </c>
      <c r="CW97" s="468">
        <f t="shared" si="68"/>
        <v>0</v>
      </c>
      <c r="CX97" s="468">
        <f t="shared" si="68"/>
        <v>0</v>
      </c>
      <c r="CY97" s="468">
        <f t="shared" si="68"/>
        <v>0</v>
      </c>
      <c r="CZ97" s="468">
        <f t="shared" si="68"/>
        <v>0</v>
      </c>
      <c r="DA97" s="468">
        <f t="shared" si="68"/>
        <v>0</v>
      </c>
      <c r="DB97" s="468">
        <f t="shared" si="68"/>
        <v>0</v>
      </c>
      <c r="DC97" s="468">
        <f t="shared" si="68"/>
        <v>0</v>
      </c>
      <c r="DD97" s="468">
        <f t="shared" si="68"/>
        <v>0</v>
      </c>
      <c r="DE97" s="468">
        <f t="shared" si="68"/>
        <v>0</v>
      </c>
      <c r="DF97" s="468">
        <f t="shared" si="68"/>
        <v>0</v>
      </c>
      <c r="DG97" s="468">
        <f t="shared" si="68"/>
        <v>0</v>
      </c>
      <c r="DH97" s="468">
        <f t="shared" si="68"/>
        <v>0</v>
      </c>
      <c r="DI97" s="468">
        <f t="shared" si="68"/>
        <v>0</v>
      </c>
      <c r="DJ97" s="468">
        <f t="shared" si="68"/>
        <v>0</v>
      </c>
      <c r="DK97" s="468">
        <f t="shared" si="68"/>
        <v>0</v>
      </c>
      <c r="DL97" s="468">
        <f t="shared" si="68"/>
        <v>0</v>
      </c>
      <c r="DM97" s="468">
        <f t="shared" si="68"/>
        <v>0</v>
      </c>
      <c r="DN97" s="468">
        <f t="shared" si="68"/>
        <v>0</v>
      </c>
      <c r="DO97" s="468">
        <f t="shared" si="68"/>
        <v>0</v>
      </c>
      <c r="DP97" s="468">
        <f t="shared" si="68"/>
        <v>0</v>
      </c>
      <c r="DQ97" s="468">
        <f t="shared" si="68"/>
        <v>0</v>
      </c>
      <c r="DR97" s="468">
        <f t="shared" si="68"/>
        <v>0</v>
      </c>
      <c r="DS97" s="468">
        <f t="shared" si="68"/>
        <v>0</v>
      </c>
      <c r="DT97" s="468">
        <f t="shared" si="68"/>
        <v>0</v>
      </c>
      <c r="DU97" s="468">
        <f t="shared" si="68"/>
        <v>0</v>
      </c>
      <c r="DV97" s="468">
        <f t="shared" si="68"/>
        <v>0</v>
      </c>
      <c r="DW97" s="322" t="s">
        <v>372</v>
      </c>
    </row>
    <row r="98" spans="3:127" ht="17.25" hidden="1" outlineLevel="1" thickBot="1" x14ac:dyDescent="0.35">
      <c r="C98" s="365" t="s">
        <v>352</v>
      </c>
      <c r="D98" s="470"/>
      <c r="E98" s="414">
        <v>0</v>
      </c>
      <c r="F98" s="414">
        <f t="shared" ref="F98:BQ98" si="69">SUM(F95:F97)</f>
        <v>0</v>
      </c>
      <c r="G98" s="414">
        <f t="shared" si="69"/>
        <v>-9655.6243749999994</v>
      </c>
      <c r="H98" s="414">
        <f t="shared" si="69"/>
        <v>-19311.248749999999</v>
      </c>
      <c r="I98" s="414">
        <f t="shared" si="69"/>
        <v>-28966.873124999998</v>
      </c>
      <c r="J98" s="414">
        <f t="shared" si="69"/>
        <v>-38622.497499999998</v>
      </c>
      <c r="K98" s="414">
        <f t="shared" si="69"/>
        <v>-48278.121874999997</v>
      </c>
      <c r="L98" s="414">
        <f t="shared" si="69"/>
        <v>-57933.746249999997</v>
      </c>
      <c r="M98" s="414">
        <f t="shared" si="69"/>
        <v>-67589.370624999996</v>
      </c>
      <c r="N98" s="414">
        <f t="shared" si="69"/>
        <v>-77244.994999999995</v>
      </c>
      <c r="O98" s="414">
        <f t="shared" si="69"/>
        <v>-86900.619374999995</v>
      </c>
      <c r="P98" s="414">
        <f t="shared" si="69"/>
        <v>-96556.243749999994</v>
      </c>
      <c r="Q98" s="414">
        <f t="shared" si="69"/>
        <v>-106211.86812499999</v>
      </c>
      <c r="R98" s="414">
        <f t="shared" si="69"/>
        <v>-115867.49249999999</v>
      </c>
      <c r="S98" s="414">
        <f t="shared" si="69"/>
        <v>-126193.92623124999</v>
      </c>
      <c r="T98" s="414">
        <f t="shared" si="69"/>
        <v>-136520.35996249999</v>
      </c>
      <c r="U98" s="414">
        <f t="shared" si="69"/>
        <v>-146846.79369374999</v>
      </c>
      <c r="V98" s="414">
        <f t="shared" si="69"/>
        <v>-157173.22742499999</v>
      </c>
      <c r="W98" s="414">
        <f t="shared" si="69"/>
        <v>-167499.66115624999</v>
      </c>
      <c r="X98" s="414">
        <f t="shared" si="69"/>
        <v>-177826.09488749999</v>
      </c>
      <c r="Y98" s="414">
        <f t="shared" si="69"/>
        <v>-188152.52861874999</v>
      </c>
      <c r="Z98" s="414">
        <f t="shared" si="69"/>
        <v>-198478.96234999999</v>
      </c>
      <c r="AA98" s="414">
        <f t="shared" si="69"/>
        <v>-208805.39608124999</v>
      </c>
      <c r="AB98" s="414">
        <f t="shared" si="69"/>
        <v>-219131.82981249999</v>
      </c>
      <c r="AC98" s="414">
        <f t="shared" si="69"/>
        <v>-229458.26354374998</v>
      </c>
      <c r="AD98" s="414">
        <f t="shared" si="69"/>
        <v>-239784.69727499998</v>
      </c>
      <c r="AE98" s="414">
        <f t="shared" si="69"/>
        <v>-250802.06464318748</v>
      </c>
      <c r="AF98" s="414">
        <f t="shared" si="69"/>
        <v>-261819.43201137497</v>
      </c>
      <c r="AG98" s="414">
        <f t="shared" si="69"/>
        <v>-272836.79937956249</v>
      </c>
      <c r="AH98" s="414">
        <f t="shared" si="69"/>
        <v>-283854.16674775002</v>
      </c>
      <c r="AI98" s="414">
        <f t="shared" si="69"/>
        <v>-294871.53411593754</v>
      </c>
      <c r="AJ98" s="414">
        <f t="shared" si="69"/>
        <v>-305888.90148412506</v>
      </c>
      <c r="AK98" s="414">
        <f t="shared" si="69"/>
        <v>-316906.26885231258</v>
      </c>
      <c r="AL98" s="414">
        <f t="shared" si="69"/>
        <v>-327923.63622050011</v>
      </c>
      <c r="AM98" s="414">
        <f t="shared" si="69"/>
        <v>-338941.00358868763</v>
      </c>
      <c r="AN98" s="414">
        <f t="shared" si="69"/>
        <v>-349958.37095687515</v>
      </c>
      <c r="AO98" s="414">
        <f t="shared" si="69"/>
        <v>-360975.73832506267</v>
      </c>
      <c r="AP98" s="414">
        <f t="shared" si="69"/>
        <v>-371993.1056932502</v>
      </c>
      <c r="AQ98" s="414">
        <f t="shared" si="69"/>
        <v>-383722.13470748335</v>
      </c>
      <c r="AR98" s="414">
        <f t="shared" si="69"/>
        <v>-395451.1637217165</v>
      </c>
      <c r="AS98" s="414">
        <f t="shared" si="69"/>
        <v>-407180.19273594965</v>
      </c>
      <c r="AT98" s="414">
        <f t="shared" si="69"/>
        <v>-418909.2217501828</v>
      </c>
      <c r="AU98" s="414">
        <f t="shared" si="69"/>
        <v>-430638.25076441595</v>
      </c>
      <c r="AV98" s="414">
        <f t="shared" si="69"/>
        <v>-442367.2797786491</v>
      </c>
      <c r="AW98" s="414">
        <f t="shared" si="69"/>
        <v>-454096.30879288225</v>
      </c>
      <c r="AX98" s="414">
        <f t="shared" si="69"/>
        <v>-465825.3378071154</v>
      </c>
      <c r="AY98" s="414">
        <f t="shared" si="69"/>
        <v>-477554.36682134855</v>
      </c>
      <c r="AZ98" s="414">
        <f t="shared" si="69"/>
        <v>-489283.3958355817</v>
      </c>
      <c r="BA98" s="414">
        <f t="shared" si="69"/>
        <v>-501012.42484981485</v>
      </c>
      <c r="BB98" s="414">
        <f t="shared" si="69"/>
        <v>-512741.453864048</v>
      </c>
      <c r="BC98" s="414">
        <f t="shared" si="69"/>
        <v>-519249.31237129314</v>
      </c>
      <c r="BD98" s="414">
        <f t="shared" si="69"/>
        <v>-525757.17087853828</v>
      </c>
      <c r="BE98" s="414">
        <f t="shared" si="69"/>
        <v>-532265.02938578348</v>
      </c>
      <c r="BF98" s="414">
        <f t="shared" si="69"/>
        <v>-538772.88789302856</v>
      </c>
      <c r="BG98" s="414">
        <f t="shared" si="69"/>
        <v>-545280.74640027364</v>
      </c>
      <c r="BH98" s="414">
        <f t="shared" si="69"/>
        <v>-551788.60490751872</v>
      </c>
      <c r="BI98" s="414">
        <f t="shared" si="69"/>
        <v>-558296.4634147638</v>
      </c>
      <c r="BJ98" s="414">
        <f t="shared" si="69"/>
        <v>-564804.32192200888</v>
      </c>
      <c r="BK98" s="414">
        <f t="shared" si="69"/>
        <v>-571312.18042925396</v>
      </c>
      <c r="BL98" s="414">
        <f t="shared" si="69"/>
        <v>-577820.03893649904</v>
      </c>
      <c r="BM98" s="414">
        <f t="shared" si="69"/>
        <v>-584327.89744374412</v>
      </c>
      <c r="BN98" s="414">
        <f t="shared" si="69"/>
        <v>-1871814.7624981306</v>
      </c>
      <c r="BO98" s="414">
        <f t="shared" si="69"/>
        <v>-1871814.7624981306</v>
      </c>
      <c r="BP98" s="414">
        <f t="shared" si="69"/>
        <v>-1871814.7624981306</v>
      </c>
      <c r="BQ98" s="414">
        <f t="shared" si="69"/>
        <v>-1871814.7624981306</v>
      </c>
      <c r="BR98" s="414">
        <f t="shared" ref="BR98:DV98" si="70">SUM(BR95:BR97)</f>
        <v>-1871814.7624981306</v>
      </c>
      <c r="BS98" s="414">
        <f t="shared" si="70"/>
        <v>-1871814.7624981306</v>
      </c>
      <c r="BT98" s="414">
        <f t="shared" si="70"/>
        <v>-1871814.7624981306</v>
      </c>
      <c r="BU98" s="414">
        <f t="shared" si="70"/>
        <v>-1871814.7624981306</v>
      </c>
      <c r="BV98" s="414">
        <f t="shared" si="70"/>
        <v>-1871814.7624981306</v>
      </c>
      <c r="BW98" s="414">
        <f t="shared" si="70"/>
        <v>-1871814.7624981306</v>
      </c>
      <c r="BX98" s="414">
        <f t="shared" si="70"/>
        <v>-1871814.7624981306</v>
      </c>
      <c r="BY98" s="414">
        <f t="shared" si="70"/>
        <v>-1871814.7624981306</v>
      </c>
      <c r="BZ98" s="414">
        <f t="shared" si="70"/>
        <v>-1871814.7624981306</v>
      </c>
      <c r="CA98" s="414">
        <f t="shared" si="70"/>
        <v>-1871814.7624981306</v>
      </c>
      <c r="CB98" s="414">
        <f t="shared" si="70"/>
        <v>-1871814.7624981306</v>
      </c>
      <c r="CC98" s="414">
        <f t="shared" si="70"/>
        <v>-1871814.7624981306</v>
      </c>
      <c r="CD98" s="414">
        <f t="shared" si="70"/>
        <v>-1871814.7624981306</v>
      </c>
      <c r="CE98" s="414">
        <f t="shared" si="70"/>
        <v>-1871814.7624981306</v>
      </c>
      <c r="CF98" s="414">
        <f t="shared" si="70"/>
        <v>-1871814.7624981306</v>
      </c>
      <c r="CG98" s="414">
        <f t="shared" si="70"/>
        <v>-1871814.7624981306</v>
      </c>
      <c r="CH98" s="414">
        <f t="shared" si="70"/>
        <v>-1871814.7624981306</v>
      </c>
      <c r="CI98" s="414">
        <f t="shared" si="70"/>
        <v>-1871814.7624981306</v>
      </c>
      <c r="CJ98" s="414">
        <f t="shared" si="70"/>
        <v>-1871814.7624981306</v>
      </c>
      <c r="CK98" s="414">
        <f t="shared" si="70"/>
        <v>-1871814.7624981306</v>
      </c>
      <c r="CL98" s="414">
        <f t="shared" si="70"/>
        <v>-1871814.7624981306</v>
      </c>
      <c r="CM98" s="414">
        <f t="shared" si="70"/>
        <v>-1871814.7624981306</v>
      </c>
      <c r="CN98" s="414">
        <f t="shared" si="70"/>
        <v>-1871814.7624981306</v>
      </c>
      <c r="CO98" s="414">
        <f t="shared" si="70"/>
        <v>-1871814.7624981306</v>
      </c>
      <c r="CP98" s="414">
        <f t="shared" si="70"/>
        <v>-1871814.7624981306</v>
      </c>
      <c r="CQ98" s="414">
        <f t="shared" si="70"/>
        <v>-1871814.7624981306</v>
      </c>
      <c r="CR98" s="414">
        <f t="shared" si="70"/>
        <v>-1871814.7624981306</v>
      </c>
      <c r="CS98" s="414">
        <f t="shared" si="70"/>
        <v>-1871814.7624981306</v>
      </c>
      <c r="CT98" s="414">
        <f t="shared" si="70"/>
        <v>-1871814.7624981306</v>
      </c>
      <c r="CU98" s="414">
        <f t="shared" si="70"/>
        <v>-1871814.7624981306</v>
      </c>
      <c r="CV98" s="414">
        <f t="shared" si="70"/>
        <v>-1871814.7624981306</v>
      </c>
      <c r="CW98" s="414">
        <f t="shared" si="70"/>
        <v>-1871814.7624981306</v>
      </c>
      <c r="CX98" s="414">
        <f t="shared" si="70"/>
        <v>-1871814.7624981306</v>
      </c>
      <c r="CY98" s="414">
        <f t="shared" si="70"/>
        <v>-1871814.7624981306</v>
      </c>
      <c r="CZ98" s="414">
        <f t="shared" si="70"/>
        <v>-1871814.7624981306</v>
      </c>
      <c r="DA98" s="414">
        <f t="shared" si="70"/>
        <v>-1871814.7624981306</v>
      </c>
      <c r="DB98" s="414">
        <f t="shared" si="70"/>
        <v>-1871814.7624981306</v>
      </c>
      <c r="DC98" s="414">
        <f t="shared" si="70"/>
        <v>-1871814.7624981306</v>
      </c>
      <c r="DD98" s="414">
        <f t="shared" si="70"/>
        <v>-1871814.7624981306</v>
      </c>
      <c r="DE98" s="414">
        <f t="shared" si="70"/>
        <v>-1871814.7624981306</v>
      </c>
      <c r="DF98" s="414">
        <f t="shared" si="70"/>
        <v>-1871814.7624981306</v>
      </c>
      <c r="DG98" s="414">
        <f t="shared" si="70"/>
        <v>-1871814.7624981306</v>
      </c>
      <c r="DH98" s="414">
        <f t="shared" si="70"/>
        <v>-1871814.7624981306</v>
      </c>
      <c r="DI98" s="414">
        <f t="shared" si="70"/>
        <v>-1871814.7624981306</v>
      </c>
      <c r="DJ98" s="414">
        <f t="shared" si="70"/>
        <v>-1871814.7624981306</v>
      </c>
      <c r="DK98" s="414">
        <f t="shared" si="70"/>
        <v>-1871814.7624981306</v>
      </c>
      <c r="DL98" s="414">
        <f t="shared" si="70"/>
        <v>-1871814.7624981306</v>
      </c>
      <c r="DM98" s="414">
        <f t="shared" si="70"/>
        <v>-1871814.7624981306</v>
      </c>
      <c r="DN98" s="414">
        <f t="shared" si="70"/>
        <v>-1871814.7624981306</v>
      </c>
      <c r="DO98" s="414">
        <f t="shared" si="70"/>
        <v>-1871814.7624981306</v>
      </c>
      <c r="DP98" s="414">
        <f t="shared" si="70"/>
        <v>-1871814.7624981306</v>
      </c>
      <c r="DQ98" s="414">
        <f t="shared" si="70"/>
        <v>-1871814.7624981306</v>
      </c>
      <c r="DR98" s="414">
        <f t="shared" si="70"/>
        <v>-1871814.7624981306</v>
      </c>
      <c r="DS98" s="414">
        <f t="shared" si="70"/>
        <v>-1871814.7624981306</v>
      </c>
      <c r="DT98" s="414">
        <f t="shared" si="70"/>
        <v>-1871814.7624981306</v>
      </c>
      <c r="DU98" s="414">
        <f t="shared" si="70"/>
        <v>-1871814.7624981306</v>
      </c>
      <c r="DV98" s="414">
        <f t="shared" si="70"/>
        <v>-1871814.7624981306</v>
      </c>
      <c r="DW98" s="322" t="s">
        <v>372</v>
      </c>
    </row>
    <row r="99" spans="3:127" ht="17.25" hidden="1" outlineLevel="1" thickTop="1" x14ac:dyDescent="0.3">
      <c r="C99" s="365"/>
      <c r="D99" s="470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8"/>
      <c r="R99" s="408"/>
      <c r="S99" s="408"/>
      <c r="T99" s="408"/>
      <c r="U99" s="408"/>
      <c r="V99" s="408"/>
      <c r="W99" s="408"/>
      <c r="X99" s="408"/>
      <c r="Y99" s="408"/>
      <c r="Z99" s="408"/>
      <c r="AA99" s="408"/>
      <c r="AB99" s="408"/>
      <c r="AC99" s="408"/>
      <c r="AD99" s="408"/>
      <c r="AE99" s="408"/>
      <c r="AF99" s="408"/>
      <c r="AG99" s="408"/>
      <c r="AH99" s="408"/>
      <c r="AI99" s="408"/>
      <c r="AJ99" s="408"/>
      <c r="AK99" s="408"/>
      <c r="AL99" s="408"/>
      <c r="AM99" s="374"/>
      <c r="AN99" s="374"/>
      <c r="AO99" s="374"/>
      <c r="AP99" s="472"/>
      <c r="AQ99" s="472"/>
      <c r="AR99" s="472"/>
      <c r="AS99" s="472"/>
      <c r="AT99" s="472"/>
      <c r="AU99" s="472"/>
      <c r="AV99" s="473"/>
      <c r="AW99" s="360"/>
      <c r="AX99" s="360"/>
      <c r="AY99" s="360"/>
      <c r="AZ99" s="360"/>
      <c r="BA99" s="360"/>
      <c r="BB99" s="360"/>
      <c r="BC99" s="360"/>
      <c r="BD99" s="360"/>
      <c r="BE99" s="360"/>
      <c r="BF99" s="360"/>
      <c r="BG99" s="360"/>
      <c r="BH99" s="360"/>
      <c r="BI99" s="360"/>
      <c r="BJ99" s="360"/>
      <c r="BK99" s="360"/>
      <c r="BL99" s="360"/>
      <c r="BM99" s="360"/>
      <c r="BN99" s="360"/>
      <c r="BO99" s="360"/>
      <c r="BP99" s="360"/>
      <c r="BQ99" s="360"/>
      <c r="BR99" s="360"/>
      <c r="BS99" s="360"/>
      <c r="BT99" s="360"/>
      <c r="BU99" s="360"/>
      <c r="BV99" s="360"/>
      <c r="BW99" s="360"/>
      <c r="BX99" s="360"/>
      <c r="BY99" s="360"/>
      <c r="BZ99" s="360"/>
      <c r="CA99" s="360"/>
      <c r="CB99" s="360"/>
      <c r="CC99" s="360"/>
      <c r="CD99" s="360"/>
      <c r="CE99" s="360"/>
      <c r="CF99" s="360"/>
      <c r="CG99" s="360"/>
      <c r="CH99" s="360"/>
      <c r="CI99" s="360"/>
      <c r="CJ99" s="360"/>
      <c r="CK99" s="360"/>
      <c r="CL99" s="360"/>
      <c r="CM99" s="360"/>
      <c r="CN99" s="360"/>
      <c r="CO99" s="360"/>
      <c r="CP99" s="360"/>
      <c r="CQ99" s="360"/>
      <c r="CR99" s="360"/>
      <c r="CS99" s="360"/>
      <c r="CT99" s="360"/>
      <c r="CU99" s="360"/>
      <c r="CV99" s="360"/>
      <c r="CW99" s="360"/>
      <c r="CX99" s="360"/>
      <c r="CY99" s="360"/>
      <c r="CZ99" s="360"/>
      <c r="DA99" s="360"/>
      <c r="DB99" s="360"/>
      <c r="DC99" s="360"/>
      <c r="DD99" s="360"/>
      <c r="DE99" s="360"/>
      <c r="DF99" s="360"/>
      <c r="DG99" s="360"/>
      <c r="DH99" s="360"/>
      <c r="DI99" s="360"/>
      <c r="DJ99" s="360"/>
      <c r="DK99" s="360"/>
      <c r="DL99" s="360"/>
      <c r="DM99" s="360"/>
      <c r="DN99" s="360"/>
      <c r="DO99" s="360"/>
      <c r="DP99" s="360"/>
      <c r="DQ99" s="360"/>
      <c r="DR99" s="360"/>
      <c r="DS99" s="360"/>
      <c r="DT99" s="360"/>
      <c r="DU99" s="360"/>
      <c r="DV99" s="360"/>
      <c r="DW99" s="322" t="s">
        <v>372</v>
      </c>
    </row>
    <row r="100" spans="3:127" hidden="1" outlineLevel="1" x14ac:dyDescent="0.3">
      <c r="C100" s="479" t="s">
        <v>404</v>
      </c>
      <c r="D100" s="480"/>
      <c r="E100" s="481"/>
      <c r="F100" s="481"/>
      <c r="G100" s="481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481"/>
      <c r="AC100" s="481"/>
      <c r="AD100" s="481"/>
      <c r="AE100" s="481"/>
      <c r="AF100" s="481"/>
      <c r="AG100" s="481"/>
      <c r="AH100" s="481"/>
      <c r="AI100" s="481"/>
      <c r="AJ100" s="481"/>
      <c r="AK100" s="481"/>
      <c r="AL100" s="481"/>
      <c r="AM100" s="481"/>
      <c r="AN100" s="481"/>
      <c r="AO100" s="481"/>
      <c r="AP100" s="481"/>
      <c r="AQ100" s="481"/>
      <c r="AR100" s="481"/>
      <c r="AS100" s="481"/>
      <c r="AT100" s="481"/>
      <c r="AU100" s="481"/>
      <c r="AV100" s="481"/>
      <c r="AW100" s="481"/>
      <c r="AX100" s="481"/>
      <c r="AY100" s="481"/>
      <c r="AZ100" s="481"/>
      <c r="BA100" s="481"/>
      <c r="BB100" s="481"/>
      <c r="BC100" s="481"/>
      <c r="BD100" s="481"/>
      <c r="BE100" s="481"/>
      <c r="BF100" s="481"/>
      <c r="BG100" s="481"/>
      <c r="BH100" s="481"/>
      <c r="BI100" s="481"/>
      <c r="BJ100" s="481"/>
      <c r="BK100" s="481"/>
      <c r="BL100" s="481"/>
      <c r="BM100" s="481"/>
      <c r="BN100" s="481"/>
      <c r="BO100" s="481"/>
      <c r="BP100" s="481"/>
      <c r="BQ100" s="481"/>
      <c r="BR100" s="481"/>
      <c r="BS100" s="481"/>
      <c r="BT100" s="481"/>
      <c r="BU100" s="481"/>
      <c r="BV100" s="481"/>
      <c r="BW100" s="481"/>
      <c r="BX100" s="481"/>
      <c r="BY100" s="481"/>
      <c r="BZ100" s="481"/>
      <c r="CA100" s="481"/>
      <c r="CB100" s="481"/>
      <c r="CC100" s="481"/>
      <c r="CD100" s="481"/>
      <c r="CE100" s="481"/>
      <c r="CF100" s="481"/>
      <c r="CG100" s="481"/>
      <c r="CH100" s="481"/>
      <c r="CI100" s="481"/>
      <c r="CJ100" s="481"/>
      <c r="CK100" s="481"/>
      <c r="CL100" s="481"/>
      <c r="CM100" s="481"/>
      <c r="CN100" s="481"/>
      <c r="CO100" s="481"/>
      <c r="CP100" s="481"/>
      <c r="CQ100" s="481"/>
      <c r="CR100" s="481"/>
      <c r="CS100" s="481"/>
      <c r="CT100" s="481"/>
      <c r="CU100" s="481"/>
      <c r="CV100" s="481"/>
      <c r="CW100" s="481"/>
      <c r="CX100" s="481"/>
      <c r="CY100" s="481"/>
      <c r="CZ100" s="481"/>
      <c r="DA100" s="481"/>
      <c r="DB100" s="481"/>
      <c r="DC100" s="481"/>
      <c r="DD100" s="481"/>
      <c r="DE100" s="481"/>
      <c r="DF100" s="481"/>
      <c r="DG100" s="481"/>
      <c r="DH100" s="481"/>
      <c r="DI100" s="481"/>
      <c r="DJ100" s="481"/>
      <c r="DK100" s="481"/>
      <c r="DL100" s="481"/>
      <c r="DM100" s="481"/>
      <c r="DN100" s="481"/>
      <c r="DO100" s="481"/>
      <c r="DP100" s="481"/>
      <c r="DQ100" s="481"/>
      <c r="DR100" s="481"/>
      <c r="DS100" s="481"/>
      <c r="DT100" s="481"/>
      <c r="DU100" s="481"/>
      <c r="DV100" s="481"/>
      <c r="DW100" s="322" t="s">
        <v>372</v>
      </c>
    </row>
    <row r="101" spans="3:127" hidden="1" outlineLevel="1" x14ac:dyDescent="0.3">
      <c r="C101" s="479" t="str">
        <f>"IRR and Equity Multiple Test for "&amp;C86</f>
        <v>IRR and Equity Multiple Test for LP</v>
      </c>
      <c r="D101" s="480"/>
      <c r="E101" s="481"/>
      <c r="F101" s="481">
        <f>MAX(SUM(F87:F89),SUM(F95:F96))</f>
        <v>1367250</v>
      </c>
      <c r="G101" s="481">
        <f t="shared" ref="G101:BR101" si="71">MAX(SUM(G87:G89),SUM(G95:G96))</f>
        <v>1367250</v>
      </c>
      <c r="H101" s="481">
        <f t="shared" si="71"/>
        <v>1357594.3756250001</v>
      </c>
      <c r="I101" s="481">
        <f t="shared" si="71"/>
        <v>1374124.546630638</v>
      </c>
      <c r="J101" s="481">
        <f t="shared" si="71"/>
        <v>1364468.9222556381</v>
      </c>
      <c r="K101" s="481">
        <f t="shared" si="71"/>
        <v>1354813.2978806382</v>
      </c>
      <c r="L101" s="481">
        <f t="shared" si="71"/>
        <v>1371289.4421490196</v>
      </c>
      <c r="M101" s="481">
        <f t="shared" si="71"/>
        <v>1361633.8177740197</v>
      </c>
      <c r="N101" s="481">
        <f t="shared" si="71"/>
        <v>1351978.1933990198</v>
      </c>
      <c r="O101" s="481">
        <f t="shared" si="71"/>
        <v>1368399.2613771991</v>
      </c>
      <c r="P101" s="481">
        <f t="shared" si="71"/>
        <v>1358743.6370021992</v>
      </c>
      <c r="Q101" s="481">
        <f t="shared" si="71"/>
        <v>1349088.0126271993</v>
      </c>
      <c r="R101" s="481">
        <f t="shared" si="71"/>
        <v>1365452.9343730416</v>
      </c>
      <c r="S101" s="481">
        <f t="shared" si="71"/>
        <v>1355797.3099980417</v>
      </c>
      <c r="T101" s="481">
        <f t="shared" si="71"/>
        <v>1345470.8762667917</v>
      </c>
      <c r="U101" s="481">
        <f t="shared" si="71"/>
        <v>1361081.6886777792</v>
      </c>
      <c r="V101" s="481">
        <f t="shared" si="71"/>
        <v>1350755.2549465292</v>
      </c>
      <c r="W101" s="481">
        <f t="shared" si="71"/>
        <v>1340428.8212152792</v>
      </c>
      <c r="X101" s="481">
        <f t="shared" si="71"/>
        <v>1355941.6839072942</v>
      </c>
      <c r="Y101" s="481">
        <f t="shared" si="71"/>
        <v>1345615.2501760442</v>
      </c>
      <c r="Z101" s="481">
        <f t="shared" si="71"/>
        <v>1335288.8164447942</v>
      </c>
      <c r="AA101" s="481">
        <f t="shared" si="71"/>
        <v>1350701.8265930268</v>
      </c>
      <c r="AB101" s="481">
        <f t="shared" si="71"/>
        <v>1340375.3928617768</v>
      </c>
      <c r="AC101" s="481">
        <f t="shared" si="71"/>
        <v>1330048.9591305268</v>
      </c>
      <c r="AD101" s="481">
        <f t="shared" si="71"/>
        <v>1345360.1769448509</v>
      </c>
      <c r="AE101" s="481">
        <f t="shared" si="71"/>
        <v>1335033.7432136009</v>
      </c>
      <c r="AF101" s="481">
        <f t="shared" si="71"/>
        <v>1324016.3758454134</v>
      </c>
      <c r="AG101" s="481">
        <f t="shared" si="71"/>
        <v>1338506.0453059254</v>
      </c>
      <c r="AH101" s="481">
        <f t="shared" si="71"/>
        <v>1327488.6779377379</v>
      </c>
      <c r="AI101" s="481">
        <f t="shared" si="71"/>
        <v>1316471.3105695504</v>
      </c>
      <c r="AJ101" s="481">
        <f t="shared" si="71"/>
        <v>1330814.4054655547</v>
      </c>
      <c r="AK101" s="481">
        <f t="shared" si="71"/>
        <v>1319797.0380973672</v>
      </c>
      <c r="AL101" s="481">
        <f t="shared" si="71"/>
        <v>1308779.6707291796</v>
      </c>
      <c r="AM101" s="481">
        <f t="shared" si="71"/>
        <v>1322973.3436230235</v>
      </c>
      <c r="AN101" s="481">
        <f t="shared" si="71"/>
        <v>1311955.976254836</v>
      </c>
      <c r="AO101" s="481">
        <f t="shared" si="71"/>
        <v>1300938.6088866484</v>
      </c>
      <c r="AP101" s="481">
        <f t="shared" si="71"/>
        <v>1314979.9570247978</v>
      </c>
      <c r="AQ101" s="481">
        <f t="shared" si="71"/>
        <v>1303962.5896566103</v>
      </c>
      <c r="AR101" s="481">
        <f t="shared" si="71"/>
        <v>1292233.5606423772</v>
      </c>
      <c r="AS101" s="481">
        <f t="shared" si="71"/>
        <v>1305380.3129780751</v>
      </c>
      <c r="AT101" s="481">
        <f t="shared" si="71"/>
        <v>1293651.2839638421</v>
      </c>
      <c r="AU101" s="481">
        <f t="shared" si="71"/>
        <v>1281922.2549496091</v>
      </c>
      <c r="AV101" s="481">
        <f t="shared" si="71"/>
        <v>1294868.6942215809</v>
      </c>
      <c r="AW101" s="481">
        <f t="shared" si="71"/>
        <v>1283139.6652073478</v>
      </c>
      <c r="AX101" s="481">
        <f t="shared" si="71"/>
        <v>1271410.6361931148</v>
      </c>
      <c r="AY101" s="481">
        <f t="shared" si="71"/>
        <v>1284152.8710102316</v>
      </c>
      <c r="AZ101" s="481">
        <f t="shared" si="71"/>
        <v>1272423.8419959985</v>
      </c>
      <c r="BA101" s="481">
        <f t="shared" si="71"/>
        <v>1260694.8129817655</v>
      </c>
      <c r="BB101" s="481">
        <f t="shared" si="71"/>
        <v>1273228.8763566064</v>
      </c>
      <c r="BC101" s="481">
        <f t="shared" si="71"/>
        <v>1261499.8473423733</v>
      </c>
      <c r="BD101" s="481">
        <f t="shared" si="71"/>
        <v>1254991.9888351283</v>
      </c>
      <c r="BE101" s="481">
        <f t="shared" si="71"/>
        <v>1272737.8658499329</v>
      </c>
      <c r="BF101" s="481">
        <f t="shared" si="71"/>
        <v>1266230.0073426878</v>
      </c>
      <c r="BG101" s="481">
        <f t="shared" si="71"/>
        <v>1259722.1488354427</v>
      </c>
      <c r="BH101" s="481">
        <f t="shared" si="71"/>
        <v>1277559.916525377</v>
      </c>
      <c r="BI101" s="481">
        <f t="shared" si="71"/>
        <v>1271052.0580181319</v>
      </c>
      <c r="BJ101" s="481">
        <f t="shared" si="71"/>
        <v>1264544.1995108868</v>
      </c>
      <c r="BK101" s="481">
        <f t="shared" si="71"/>
        <v>1282475.6429944618</v>
      </c>
      <c r="BL101" s="481">
        <f t="shared" si="71"/>
        <v>1275967.7844872167</v>
      </c>
      <c r="BM101" s="481">
        <f t="shared" si="71"/>
        <v>1269459.9259799717</v>
      </c>
      <c r="BN101" s="481">
        <f t="shared" si="71"/>
        <v>1287486.8650543864</v>
      </c>
      <c r="BO101" s="481">
        <f t="shared" si="71"/>
        <v>0</v>
      </c>
      <c r="BP101" s="481">
        <f t="shared" si="71"/>
        <v>0</v>
      </c>
      <c r="BQ101" s="481">
        <f t="shared" si="71"/>
        <v>0</v>
      </c>
      <c r="BR101" s="481">
        <f t="shared" si="71"/>
        <v>0</v>
      </c>
      <c r="BS101" s="481">
        <f t="shared" ref="BS101:DV101" si="72">MAX(SUM(BS87:BS89),SUM(BS95:BS96))</f>
        <v>0</v>
      </c>
      <c r="BT101" s="481">
        <f t="shared" si="72"/>
        <v>0</v>
      </c>
      <c r="BU101" s="481">
        <f t="shared" si="72"/>
        <v>0</v>
      </c>
      <c r="BV101" s="481">
        <f t="shared" si="72"/>
        <v>0</v>
      </c>
      <c r="BW101" s="481">
        <f t="shared" si="72"/>
        <v>0</v>
      </c>
      <c r="BX101" s="481">
        <f t="shared" si="72"/>
        <v>0</v>
      </c>
      <c r="BY101" s="481">
        <f t="shared" si="72"/>
        <v>0</v>
      </c>
      <c r="BZ101" s="481">
        <f t="shared" si="72"/>
        <v>0</v>
      </c>
      <c r="CA101" s="481">
        <f t="shared" si="72"/>
        <v>0</v>
      </c>
      <c r="CB101" s="481">
        <f t="shared" si="72"/>
        <v>0</v>
      </c>
      <c r="CC101" s="481">
        <f t="shared" si="72"/>
        <v>0</v>
      </c>
      <c r="CD101" s="481">
        <f t="shared" si="72"/>
        <v>0</v>
      </c>
      <c r="CE101" s="481">
        <f t="shared" si="72"/>
        <v>0</v>
      </c>
      <c r="CF101" s="481">
        <f t="shared" si="72"/>
        <v>0</v>
      </c>
      <c r="CG101" s="481">
        <f t="shared" si="72"/>
        <v>0</v>
      </c>
      <c r="CH101" s="481">
        <f t="shared" si="72"/>
        <v>0</v>
      </c>
      <c r="CI101" s="481">
        <f t="shared" si="72"/>
        <v>0</v>
      </c>
      <c r="CJ101" s="481">
        <f t="shared" si="72"/>
        <v>0</v>
      </c>
      <c r="CK101" s="481">
        <f t="shared" si="72"/>
        <v>0</v>
      </c>
      <c r="CL101" s="481">
        <f t="shared" si="72"/>
        <v>0</v>
      </c>
      <c r="CM101" s="481">
        <f t="shared" si="72"/>
        <v>0</v>
      </c>
      <c r="CN101" s="481">
        <f t="shared" si="72"/>
        <v>0</v>
      </c>
      <c r="CO101" s="481">
        <f t="shared" si="72"/>
        <v>0</v>
      </c>
      <c r="CP101" s="481">
        <f t="shared" si="72"/>
        <v>0</v>
      </c>
      <c r="CQ101" s="481">
        <f t="shared" si="72"/>
        <v>0</v>
      </c>
      <c r="CR101" s="481">
        <f t="shared" si="72"/>
        <v>0</v>
      </c>
      <c r="CS101" s="481">
        <f t="shared" si="72"/>
        <v>0</v>
      </c>
      <c r="CT101" s="481">
        <f t="shared" si="72"/>
        <v>0</v>
      </c>
      <c r="CU101" s="481">
        <f t="shared" si="72"/>
        <v>0</v>
      </c>
      <c r="CV101" s="481">
        <f t="shared" si="72"/>
        <v>0</v>
      </c>
      <c r="CW101" s="481">
        <f t="shared" si="72"/>
        <v>0</v>
      </c>
      <c r="CX101" s="481">
        <f t="shared" si="72"/>
        <v>0</v>
      </c>
      <c r="CY101" s="481">
        <f t="shared" si="72"/>
        <v>0</v>
      </c>
      <c r="CZ101" s="481">
        <f t="shared" si="72"/>
        <v>0</v>
      </c>
      <c r="DA101" s="481">
        <f t="shared" si="72"/>
        <v>0</v>
      </c>
      <c r="DB101" s="481">
        <f t="shared" si="72"/>
        <v>0</v>
      </c>
      <c r="DC101" s="481">
        <f t="shared" si="72"/>
        <v>0</v>
      </c>
      <c r="DD101" s="481">
        <f t="shared" si="72"/>
        <v>0</v>
      </c>
      <c r="DE101" s="481">
        <f t="shared" si="72"/>
        <v>0</v>
      </c>
      <c r="DF101" s="481">
        <f t="shared" si="72"/>
        <v>0</v>
      </c>
      <c r="DG101" s="481">
        <f t="shared" si="72"/>
        <v>0</v>
      </c>
      <c r="DH101" s="481">
        <f t="shared" si="72"/>
        <v>0</v>
      </c>
      <c r="DI101" s="481">
        <f t="shared" si="72"/>
        <v>0</v>
      </c>
      <c r="DJ101" s="481">
        <f t="shared" si="72"/>
        <v>0</v>
      </c>
      <c r="DK101" s="481">
        <f t="shared" si="72"/>
        <v>0</v>
      </c>
      <c r="DL101" s="481">
        <f t="shared" si="72"/>
        <v>0</v>
      </c>
      <c r="DM101" s="481">
        <f t="shared" si="72"/>
        <v>0</v>
      </c>
      <c r="DN101" s="481">
        <f t="shared" si="72"/>
        <v>0</v>
      </c>
      <c r="DO101" s="481">
        <f t="shared" si="72"/>
        <v>0</v>
      </c>
      <c r="DP101" s="481">
        <f t="shared" si="72"/>
        <v>0</v>
      </c>
      <c r="DQ101" s="481">
        <f t="shared" si="72"/>
        <v>0</v>
      </c>
      <c r="DR101" s="481">
        <f t="shared" si="72"/>
        <v>0</v>
      </c>
      <c r="DS101" s="481">
        <f t="shared" si="72"/>
        <v>0</v>
      </c>
      <c r="DT101" s="481">
        <f t="shared" si="72"/>
        <v>0</v>
      </c>
      <c r="DU101" s="481">
        <f t="shared" si="72"/>
        <v>0</v>
      </c>
      <c r="DV101" s="481">
        <f t="shared" si="72"/>
        <v>0</v>
      </c>
      <c r="DW101" s="322" t="s">
        <v>372</v>
      </c>
    </row>
    <row r="102" spans="3:127" hidden="1" outlineLevel="1" x14ac:dyDescent="0.3">
      <c r="C102" s="479"/>
      <c r="D102" s="480"/>
      <c r="E102" s="481"/>
      <c r="F102" s="481"/>
      <c r="G102" s="481"/>
      <c r="H102" s="481"/>
      <c r="I102" s="481"/>
      <c r="J102" s="481"/>
      <c r="K102" s="481"/>
      <c r="L102" s="481"/>
      <c r="M102" s="481"/>
      <c r="N102" s="481"/>
      <c r="O102" s="481"/>
      <c r="P102" s="481"/>
      <c r="Q102" s="481"/>
      <c r="R102" s="481"/>
      <c r="S102" s="481"/>
      <c r="T102" s="481"/>
      <c r="U102" s="481"/>
      <c r="V102" s="481"/>
      <c r="W102" s="481"/>
      <c r="X102" s="481"/>
      <c r="Y102" s="481"/>
      <c r="Z102" s="481"/>
      <c r="AA102" s="481"/>
      <c r="AB102" s="481"/>
      <c r="AC102" s="481"/>
      <c r="AD102" s="481"/>
      <c r="AE102" s="481"/>
      <c r="AF102" s="481"/>
      <c r="AG102" s="481"/>
      <c r="AH102" s="481"/>
      <c r="AI102" s="481"/>
      <c r="AJ102" s="481"/>
      <c r="AK102" s="481"/>
      <c r="AL102" s="481"/>
      <c r="AM102" s="481"/>
      <c r="AN102" s="481"/>
      <c r="AO102" s="481"/>
      <c r="AP102" s="481"/>
      <c r="AQ102" s="481"/>
      <c r="AR102" s="481"/>
      <c r="AS102" s="481"/>
      <c r="AT102" s="481"/>
      <c r="AU102" s="481"/>
      <c r="AV102" s="481"/>
      <c r="AW102" s="481"/>
      <c r="AX102" s="481"/>
      <c r="AY102" s="481"/>
      <c r="AZ102" s="481"/>
      <c r="BA102" s="481"/>
      <c r="BB102" s="481"/>
      <c r="BC102" s="481"/>
      <c r="BD102" s="481"/>
      <c r="BE102" s="481"/>
      <c r="BF102" s="481"/>
      <c r="BG102" s="481"/>
      <c r="BH102" s="481"/>
      <c r="BI102" s="481"/>
      <c r="BJ102" s="481"/>
      <c r="BK102" s="481"/>
      <c r="BL102" s="481"/>
      <c r="BM102" s="481"/>
      <c r="BN102" s="481"/>
      <c r="BO102" s="481"/>
      <c r="BP102" s="481"/>
      <c r="BQ102" s="481"/>
      <c r="BR102" s="481"/>
      <c r="BS102" s="481"/>
      <c r="BT102" s="481"/>
      <c r="BU102" s="481"/>
      <c r="BV102" s="481"/>
      <c r="BW102" s="481"/>
      <c r="BX102" s="481"/>
      <c r="BY102" s="481"/>
      <c r="BZ102" s="481"/>
      <c r="CA102" s="481"/>
      <c r="CB102" s="481"/>
      <c r="CC102" s="481"/>
      <c r="CD102" s="481"/>
      <c r="CE102" s="481"/>
      <c r="CF102" s="481"/>
      <c r="CG102" s="481"/>
      <c r="CH102" s="481"/>
      <c r="CI102" s="481"/>
      <c r="CJ102" s="481"/>
      <c r="CK102" s="481"/>
      <c r="CL102" s="481"/>
      <c r="CM102" s="481"/>
      <c r="CN102" s="481"/>
      <c r="CO102" s="481"/>
      <c r="CP102" s="481"/>
      <c r="CQ102" s="481"/>
      <c r="CR102" s="481"/>
      <c r="CS102" s="481"/>
      <c r="CT102" s="481"/>
      <c r="CU102" s="481"/>
      <c r="CV102" s="481"/>
      <c r="CW102" s="481"/>
      <c r="CX102" s="481"/>
      <c r="CY102" s="481"/>
      <c r="CZ102" s="481"/>
      <c r="DA102" s="481"/>
      <c r="DB102" s="481"/>
      <c r="DC102" s="481"/>
      <c r="DD102" s="481"/>
      <c r="DE102" s="481"/>
      <c r="DF102" s="481"/>
      <c r="DG102" s="481"/>
      <c r="DH102" s="481"/>
      <c r="DI102" s="481"/>
      <c r="DJ102" s="481"/>
      <c r="DK102" s="481"/>
      <c r="DL102" s="481"/>
      <c r="DM102" s="481"/>
      <c r="DN102" s="481"/>
      <c r="DO102" s="481"/>
      <c r="DP102" s="481"/>
      <c r="DQ102" s="481"/>
      <c r="DR102" s="481"/>
      <c r="DS102" s="481"/>
      <c r="DT102" s="481"/>
      <c r="DU102" s="481"/>
      <c r="DV102" s="481"/>
      <c r="DW102" s="322" t="s">
        <v>372</v>
      </c>
    </row>
    <row r="103" spans="3:127" ht="17.25" hidden="1" outlineLevel="1" thickBot="1" x14ac:dyDescent="0.35">
      <c r="C103" s="480" t="str">
        <f>"Total Distribution Per Tier I to "&amp;C86</f>
        <v>Total Distribution Per Tier I to LP</v>
      </c>
      <c r="D103" s="480"/>
      <c r="E103" s="482">
        <v>-2077334.382751219</v>
      </c>
      <c r="F103" s="483">
        <f>-MAX(MIN(F101,F81*$D$126),0)</f>
        <v>0</v>
      </c>
      <c r="G103" s="483">
        <f t="shared" ref="G103:BR103" si="73">-MAX(MIN(G101,G81*$D$126),0)</f>
        <v>-9655.6243749999994</v>
      </c>
      <c r="H103" s="483">
        <f t="shared" si="73"/>
        <v>-9655.6243749999994</v>
      </c>
      <c r="I103" s="483">
        <f t="shared" si="73"/>
        <v>-9655.6243749999994</v>
      </c>
      <c r="J103" s="483">
        <f t="shared" si="73"/>
        <v>-9655.6243749999994</v>
      </c>
      <c r="K103" s="483">
        <f t="shared" si="73"/>
        <v>-9655.6243749999994</v>
      </c>
      <c r="L103" s="483">
        <f t="shared" si="73"/>
        <v>-9655.6243749999994</v>
      </c>
      <c r="M103" s="483">
        <f t="shared" si="73"/>
        <v>-9655.6243749999994</v>
      </c>
      <c r="N103" s="483">
        <f t="shared" si="73"/>
        <v>-9655.6243749999994</v>
      </c>
      <c r="O103" s="483">
        <f t="shared" si="73"/>
        <v>-9655.6243749999994</v>
      </c>
      <c r="P103" s="483">
        <f t="shared" si="73"/>
        <v>-9655.6243749999994</v>
      </c>
      <c r="Q103" s="483">
        <f t="shared" si="73"/>
        <v>-9655.6243749999994</v>
      </c>
      <c r="R103" s="483">
        <f t="shared" si="73"/>
        <v>-9655.6243749999994</v>
      </c>
      <c r="S103" s="483">
        <f t="shared" si="73"/>
        <v>-10326.433731250003</v>
      </c>
      <c r="T103" s="483">
        <f t="shared" si="73"/>
        <v>-10326.433731250003</v>
      </c>
      <c r="U103" s="483">
        <f t="shared" si="73"/>
        <v>-10326.433731250003</v>
      </c>
      <c r="V103" s="483">
        <f t="shared" si="73"/>
        <v>-10326.433731250003</v>
      </c>
      <c r="W103" s="483">
        <f t="shared" si="73"/>
        <v>-10326.433731250003</v>
      </c>
      <c r="X103" s="483">
        <f t="shared" si="73"/>
        <v>-10326.433731250003</v>
      </c>
      <c r="Y103" s="483">
        <f t="shared" si="73"/>
        <v>-10326.433731250003</v>
      </c>
      <c r="Z103" s="483">
        <f t="shared" si="73"/>
        <v>-10326.433731250003</v>
      </c>
      <c r="AA103" s="483">
        <f t="shared" si="73"/>
        <v>-10326.433731250003</v>
      </c>
      <c r="AB103" s="483">
        <f t="shared" si="73"/>
        <v>-10326.433731250003</v>
      </c>
      <c r="AC103" s="483">
        <f t="shared" si="73"/>
        <v>-10326.433731250003</v>
      </c>
      <c r="AD103" s="483">
        <f t="shared" si="73"/>
        <v>-10326.433731250003</v>
      </c>
      <c r="AE103" s="483">
        <f t="shared" si="73"/>
        <v>-11017.367368187497</v>
      </c>
      <c r="AF103" s="483">
        <f t="shared" si="73"/>
        <v>-11017.367368187497</v>
      </c>
      <c r="AG103" s="483">
        <f t="shared" si="73"/>
        <v>-11017.367368187497</v>
      </c>
      <c r="AH103" s="483">
        <f t="shared" si="73"/>
        <v>-11017.367368187497</v>
      </c>
      <c r="AI103" s="483">
        <f t="shared" si="73"/>
        <v>-11017.367368187497</v>
      </c>
      <c r="AJ103" s="483">
        <f t="shared" si="73"/>
        <v>-11017.367368187497</v>
      </c>
      <c r="AK103" s="483">
        <f t="shared" si="73"/>
        <v>-11017.367368187497</v>
      </c>
      <c r="AL103" s="483">
        <f t="shared" si="73"/>
        <v>-11017.367368187497</v>
      </c>
      <c r="AM103" s="483">
        <f t="shared" si="73"/>
        <v>-11017.367368187497</v>
      </c>
      <c r="AN103" s="483">
        <f t="shared" si="73"/>
        <v>-11017.367368187497</v>
      </c>
      <c r="AO103" s="483">
        <f t="shared" si="73"/>
        <v>-11017.367368187497</v>
      </c>
      <c r="AP103" s="483">
        <f t="shared" si="73"/>
        <v>-11017.367368187497</v>
      </c>
      <c r="AQ103" s="483">
        <f t="shared" si="73"/>
        <v>-11729.029014233121</v>
      </c>
      <c r="AR103" s="483">
        <f t="shared" si="73"/>
        <v>-11729.029014233121</v>
      </c>
      <c r="AS103" s="483">
        <f t="shared" si="73"/>
        <v>-11729.029014233121</v>
      </c>
      <c r="AT103" s="483">
        <f t="shared" si="73"/>
        <v>-11729.029014233121</v>
      </c>
      <c r="AU103" s="483">
        <f t="shared" si="73"/>
        <v>-11729.029014233121</v>
      </c>
      <c r="AV103" s="483">
        <f t="shared" si="73"/>
        <v>-11729.029014233121</v>
      </c>
      <c r="AW103" s="483">
        <f t="shared" si="73"/>
        <v>-11729.029014233121</v>
      </c>
      <c r="AX103" s="483">
        <f t="shared" si="73"/>
        <v>-11729.029014233121</v>
      </c>
      <c r="AY103" s="483">
        <f t="shared" si="73"/>
        <v>-11729.029014233121</v>
      </c>
      <c r="AZ103" s="483">
        <f t="shared" si="73"/>
        <v>-11729.029014233121</v>
      </c>
      <c r="BA103" s="483">
        <f t="shared" si="73"/>
        <v>-11729.029014233121</v>
      </c>
      <c r="BB103" s="483">
        <f t="shared" si="73"/>
        <v>-11729.029014233121</v>
      </c>
      <c r="BC103" s="483">
        <f t="shared" si="73"/>
        <v>-6507.8585072451388</v>
      </c>
      <c r="BD103" s="483">
        <f t="shared" si="73"/>
        <v>-6507.8585072451388</v>
      </c>
      <c r="BE103" s="483">
        <f t="shared" si="73"/>
        <v>-6507.8585072451388</v>
      </c>
      <c r="BF103" s="483">
        <f t="shared" si="73"/>
        <v>-6507.8585072451388</v>
      </c>
      <c r="BG103" s="483">
        <f t="shared" si="73"/>
        <v>-6507.8585072451388</v>
      </c>
      <c r="BH103" s="483">
        <f t="shared" si="73"/>
        <v>-6507.8585072451388</v>
      </c>
      <c r="BI103" s="483">
        <f t="shared" si="73"/>
        <v>-6507.8585072451388</v>
      </c>
      <c r="BJ103" s="483">
        <f t="shared" si="73"/>
        <v>-6507.8585072451388</v>
      </c>
      <c r="BK103" s="483">
        <f t="shared" si="73"/>
        <v>-6507.8585072451388</v>
      </c>
      <c r="BL103" s="483">
        <f t="shared" si="73"/>
        <v>-6507.8585072451388</v>
      </c>
      <c r="BM103" s="483">
        <f t="shared" si="73"/>
        <v>-6507.8585072451388</v>
      </c>
      <c r="BN103" s="483">
        <f t="shared" si="73"/>
        <v>-1287486.8650543864</v>
      </c>
      <c r="BO103" s="483">
        <f t="shared" si="73"/>
        <v>0</v>
      </c>
      <c r="BP103" s="483">
        <f t="shared" si="73"/>
        <v>0</v>
      </c>
      <c r="BQ103" s="483">
        <f t="shared" si="73"/>
        <v>0</v>
      </c>
      <c r="BR103" s="483">
        <f t="shared" si="73"/>
        <v>0</v>
      </c>
      <c r="BS103" s="483">
        <f t="shared" ref="BS103:DV103" si="74">-MAX(MIN(BS101,BS81*$D$126),0)</f>
        <v>0</v>
      </c>
      <c r="BT103" s="483">
        <f t="shared" si="74"/>
        <v>0</v>
      </c>
      <c r="BU103" s="483">
        <f t="shared" si="74"/>
        <v>0</v>
      </c>
      <c r="BV103" s="483">
        <f t="shared" si="74"/>
        <v>0</v>
      </c>
      <c r="BW103" s="483">
        <f t="shared" si="74"/>
        <v>0</v>
      </c>
      <c r="BX103" s="483">
        <f t="shared" si="74"/>
        <v>0</v>
      </c>
      <c r="BY103" s="483">
        <f t="shared" si="74"/>
        <v>0</v>
      </c>
      <c r="BZ103" s="483">
        <f t="shared" si="74"/>
        <v>0</v>
      </c>
      <c r="CA103" s="483">
        <f t="shared" si="74"/>
        <v>0</v>
      </c>
      <c r="CB103" s="483">
        <f t="shared" si="74"/>
        <v>0</v>
      </c>
      <c r="CC103" s="483">
        <f t="shared" si="74"/>
        <v>0</v>
      </c>
      <c r="CD103" s="483">
        <f t="shared" si="74"/>
        <v>0</v>
      </c>
      <c r="CE103" s="483">
        <f t="shared" si="74"/>
        <v>0</v>
      </c>
      <c r="CF103" s="483">
        <f t="shared" si="74"/>
        <v>0</v>
      </c>
      <c r="CG103" s="483">
        <f t="shared" si="74"/>
        <v>0</v>
      </c>
      <c r="CH103" s="483">
        <f t="shared" si="74"/>
        <v>0</v>
      </c>
      <c r="CI103" s="483">
        <f t="shared" si="74"/>
        <v>0</v>
      </c>
      <c r="CJ103" s="483">
        <f t="shared" si="74"/>
        <v>0</v>
      </c>
      <c r="CK103" s="483">
        <f t="shared" si="74"/>
        <v>0</v>
      </c>
      <c r="CL103" s="483">
        <f t="shared" si="74"/>
        <v>0</v>
      </c>
      <c r="CM103" s="483">
        <f t="shared" si="74"/>
        <v>0</v>
      </c>
      <c r="CN103" s="483">
        <f t="shared" si="74"/>
        <v>0</v>
      </c>
      <c r="CO103" s="483">
        <f t="shared" si="74"/>
        <v>0</v>
      </c>
      <c r="CP103" s="483">
        <f t="shared" si="74"/>
        <v>0</v>
      </c>
      <c r="CQ103" s="483">
        <f t="shared" si="74"/>
        <v>0</v>
      </c>
      <c r="CR103" s="483">
        <f t="shared" si="74"/>
        <v>0</v>
      </c>
      <c r="CS103" s="483">
        <f t="shared" si="74"/>
        <v>0</v>
      </c>
      <c r="CT103" s="483">
        <f t="shared" si="74"/>
        <v>0</v>
      </c>
      <c r="CU103" s="483">
        <f t="shared" si="74"/>
        <v>0</v>
      </c>
      <c r="CV103" s="483">
        <f t="shared" si="74"/>
        <v>0</v>
      </c>
      <c r="CW103" s="483">
        <f t="shared" si="74"/>
        <v>0</v>
      </c>
      <c r="CX103" s="483">
        <f t="shared" si="74"/>
        <v>0</v>
      </c>
      <c r="CY103" s="483">
        <f t="shared" si="74"/>
        <v>0</v>
      </c>
      <c r="CZ103" s="483">
        <f t="shared" si="74"/>
        <v>0</v>
      </c>
      <c r="DA103" s="483">
        <f t="shared" si="74"/>
        <v>0</v>
      </c>
      <c r="DB103" s="483">
        <f t="shared" si="74"/>
        <v>0</v>
      </c>
      <c r="DC103" s="483">
        <f t="shared" si="74"/>
        <v>0</v>
      </c>
      <c r="DD103" s="483">
        <f t="shared" si="74"/>
        <v>0</v>
      </c>
      <c r="DE103" s="483">
        <f t="shared" si="74"/>
        <v>0</v>
      </c>
      <c r="DF103" s="483">
        <f t="shared" si="74"/>
        <v>0</v>
      </c>
      <c r="DG103" s="483">
        <f t="shared" si="74"/>
        <v>0</v>
      </c>
      <c r="DH103" s="483">
        <f t="shared" si="74"/>
        <v>0</v>
      </c>
      <c r="DI103" s="483">
        <f t="shared" si="74"/>
        <v>0</v>
      </c>
      <c r="DJ103" s="483">
        <f t="shared" si="74"/>
        <v>0</v>
      </c>
      <c r="DK103" s="483">
        <f t="shared" si="74"/>
        <v>0</v>
      </c>
      <c r="DL103" s="483">
        <f t="shared" si="74"/>
        <v>0</v>
      </c>
      <c r="DM103" s="483">
        <f t="shared" si="74"/>
        <v>0</v>
      </c>
      <c r="DN103" s="483">
        <f t="shared" si="74"/>
        <v>0</v>
      </c>
      <c r="DO103" s="483">
        <f t="shared" si="74"/>
        <v>0</v>
      </c>
      <c r="DP103" s="483">
        <f t="shared" si="74"/>
        <v>0</v>
      </c>
      <c r="DQ103" s="483">
        <f t="shared" si="74"/>
        <v>0</v>
      </c>
      <c r="DR103" s="483">
        <f t="shared" si="74"/>
        <v>0</v>
      </c>
      <c r="DS103" s="483">
        <f t="shared" si="74"/>
        <v>0</v>
      </c>
      <c r="DT103" s="483">
        <f t="shared" si="74"/>
        <v>0</v>
      </c>
      <c r="DU103" s="483">
        <f t="shared" si="74"/>
        <v>0</v>
      </c>
      <c r="DV103" s="483">
        <f t="shared" si="74"/>
        <v>0</v>
      </c>
      <c r="DW103" s="322" t="s">
        <v>372</v>
      </c>
    </row>
    <row r="104" spans="3:127" ht="17.25" hidden="1" outlineLevel="1" thickTop="1" x14ac:dyDescent="0.3">
      <c r="C104" s="365"/>
      <c r="D104" s="365"/>
      <c r="E104" s="470"/>
      <c r="F104" s="374"/>
      <c r="G104" s="374"/>
      <c r="H104" s="463"/>
      <c r="I104" s="463"/>
      <c r="J104" s="463"/>
      <c r="K104" s="463"/>
      <c r="L104" s="463"/>
      <c r="M104" s="463"/>
      <c r="N104" s="463"/>
      <c r="O104" s="463"/>
      <c r="P104" s="463"/>
      <c r="Q104" s="463"/>
      <c r="R104" s="463"/>
      <c r="S104" s="463"/>
      <c r="T104" s="463"/>
      <c r="U104" s="463"/>
      <c r="V104" s="463"/>
      <c r="W104" s="463"/>
      <c r="X104" s="463"/>
      <c r="Y104" s="463"/>
      <c r="Z104" s="463"/>
      <c r="AA104" s="463"/>
      <c r="AB104" s="463"/>
      <c r="AC104" s="463"/>
      <c r="AD104" s="463"/>
      <c r="AE104" s="463"/>
      <c r="AF104" s="463"/>
      <c r="AG104" s="463"/>
      <c r="AH104" s="463"/>
      <c r="AI104" s="463"/>
      <c r="AJ104" s="463"/>
      <c r="AK104" s="463"/>
      <c r="AL104" s="463"/>
      <c r="AM104" s="463"/>
      <c r="AN104" s="463"/>
      <c r="AO104" s="463"/>
      <c r="AP104" s="463"/>
      <c r="AQ104" s="463"/>
      <c r="AR104" s="463"/>
      <c r="AS104" s="463"/>
      <c r="AT104" s="463"/>
      <c r="AU104" s="463"/>
      <c r="AV104" s="463"/>
      <c r="AW104" s="463"/>
      <c r="AX104" s="463"/>
      <c r="AY104" s="463"/>
      <c r="AZ104" s="463"/>
      <c r="BA104" s="463"/>
      <c r="BB104" s="463"/>
      <c r="BC104" s="463"/>
      <c r="BD104" s="463"/>
      <c r="BE104" s="463"/>
      <c r="BF104" s="463"/>
      <c r="BG104" s="463"/>
      <c r="BH104" s="463"/>
      <c r="BI104" s="463"/>
      <c r="BJ104" s="463"/>
      <c r="BK104" s="463"/>
      <c r="BL104" s="463"/>
      <c r="BM104" s="463"/>
      <c r="BN104" s="463"/>
      <c r="BO104" s="463"/>
      <c r="BP104" s="463"/>
      <c r="BQ104" s="463"/>
      <c r="BR104" s="463"/>
      <c r="BS104" s="463"/>
      <c r="BT104" s="463"/>
      <c r="BU104" s="463"/>
      <c r="BV104" s="463"/>
      <c r="BW104" s="463"/>
      <c r="BX104" s="463"/>
      <c r="BY104" s="463"/>
      <c r="BZ104" s="463"/>
      <c r="CA104" s="463"/>
      <c r="CB104" s="463"/>
      <c r="CC104" s="463"/>
      <c r="CD104" s="463"/>
      <c r="CE104" s="463"/>
      <c r="CF104" s="463"/>
      <c r="CG104" s="463"/>
      <c r="CH104" s="463"/>
      <c r="CI104" s="463"/>
      <c r="CJ104" s="463"/>
      <c r="CK104" s="463"/>
      <c r="CL104" s="463"/>
      <c r="CM104" s="463"/>
      <c r="CN104" s="463"/>
      <c r="CO104" s="463"/>
      <c r="CP104" s="463"/>
      <c r="CQ104" s="463"/>
      <c r="CR104" s="463"/>
      <c r="CS104" s="463"/>
      <c r="CT104" s="463"/>
      <c r="CU104" s="463"/>
      <c r="CV104" s="463"/>
      <c r="CW104" s="463"/>
      <c r="CX104" s="463"/>
      <c r="CY104" s="463"/>
      <c r="CZ104" s="463"/>
      <c r="DA104" s="463"/>
      <c r="DB104" s="463"/>
      <c r="DC104" s="463"/>
      <c r="DD104" s="463"/>
      <c r="DE104" s="463"/>
      <c r="DF104" s="463"/>
      <c r="DG104" s="463"/>
      <c r="DH104" s="463"/>
      <c r="DI104" s="463"/>
      <c r="DJ104" s="463"/>
      <c r="DK104" s="463"/>
      <c r="DL104" s="463"/>
      <c r="DM104" s="463"/>
      <c r="DN104" s="463"/>
      <c r="DO104" s="463"/>
      <c r="DP104" s="463"/>
      <c r="DQ104" s="463"/>
      <c r="DR104" s="463"/>
      <c r="DS104" s="463"/>
      <c r="DT104" s="463"/>
      <c r="DU104" s="463"/>
      <c r="DV104" s="463"/>
      <c r="DW104" s="322" t="s">
        <v>372</v>
      </c>
    </row>
    <row r="105" spans="3:127" hidden="1" outlineLevel="1" x14ac:dyDescent="0.3">
      <c r="C105" s="382" t="s">
        <v>398</v>
      </c>
      <c r="D105" s="382"/>
      <c r="E105" s="459"/>
      <c r="F105" s="460"/>
      <c r="G105" s="461"/>
      <c r="H105" s="461"/>
      <c r="I105" s="461"/>
      <c r="J105" s="461"/>
      <c r="K105" s="461"/>
      <c r="L105" s="461"/>
      <c r="M105" s="461"/>
      <c r="N105" s="461"/>
      <c r="O105" s="461"/>
      <c r="P105" s="461"/>
      <c r="Q105" s="461"/>
      <c r="R105" s="461"/>
      <c r="S105" s="461"/>
      <c r="T105" s="461"/>
      <c r="U105" s="461"/>
      <c r="V105" s="461"/>
      <c r="W105" s="461"/>
      <c r="X105" s="461"/>
      <c r="Y105" s="461"/>
      <c r="Z105" s="461"/>
      <c r="AA105" s="461"/>
      <c r="AB105" s="461"/>
      <c r="AC105" s="461"/>
      <c r="AD105" s="461"/>
      <c r="AE105" s="461"/>
      <c r="AF105" s="461"/>
      <c r="AG105" s="461"/>
      <c r="AH105" s="461"/>
      <c r="AI105" s="461"/>
      <c r="AJ105" s="461"/>
      <c r="AK105" s="461"/>
      <c r="AL105" s="461"/>
      <c r="AM105" s="461"/>
      <c r="AN105" s="461"/>
      <c r="AO105" s="461"/>
      <c r="AP105" s="461"/>
      <c r="AQ105" s="461"/>
      <c r="AR105" s="461"/>
      <c r="AS105" s="461"/>
      <c r="AT105" s="461"/>
      <c r="AU105" s="461"/>
      <c r="AV105" s="461"/>
      <c r="AW105" s="461"/>
      <c r="AX105" s="461"/>
      <c r="AY105" s="461"/>
      <c r="AZ105" s="461"/>
      <c r="BA105" s="461"/>
      <c r="BB105" s="461"/>
      <c r="BC105" s="461"/>
      <c r="BD105" s="461"/>
      <c r="BE105" s="461"/>
      <c r="BF105" s="461"/>
      <c r="BG105" s="461"/>
      <c r="BH105" s="461"/>
      <c r="BI105" s="461"/>
      <c r="BJ105" s="461"/>
      <c r="BK105" s="461"/>
      <c r="BL105" s="461"/>
      <c r="BM105" s="461"/>
      <c r="BN105" s="461"/>
      <c r="BO105" s="461"/>
      <c r="BP105" s="461"/>
      <c r="BQ105" s="461"/>
      <c r="BR105" s="461"/>
      <c r="BS105" s="461"/>
      <c r="BT105" s="461"/>
      <c r="BU105" s="461"/>
      <c r="BV105" s="461"/>
      <c r="BW105" s="461"/>
      <c r="BX105" s="461"/>
      <c r="BY105" s="461"/>
      <c r="BZ105" s="461"/>
      <c r="CA105" s="461"/>
      <c r="CB105" s="461"/>
      <c r="CC105" s="461"/>
      <c r="CD105" s="461"/>
      <c r="CE105" s="461"/>
      <c r="CF105" s="461"/>
      <c r="CG105" s="461"/>
      <c r="CH105" s="461"/>
      <c r="CI105" s="461"/>
      <c r="CJ105" s="461"/>
      <c r="CK105" s="461"/>
      <c r="CL105" s="461"/>
      <c r="CM105" s="461"/>
      <c r="CN105" s="461"/>
      <c r="CO105" s="461"/>
      <c r="CP105" s="461"/>
      <c r="CQ105" s="461"/>
      <c r="CR105" s="461"/>
      <c r="CS105" s="461"/>
      <c r="CT105" s="461"/>
      <c r="CU105" s="461"/>
      <c r="CV105" s="461"/>
      <c r="CW105" s="461"/>
      <c r="CX105" s="461"/>
      <c r="CY105" s="461"/>
      <c r="CZ105" s="461"/>
      <c r="DA105" s="461"/>
      <c r="DB105" s="461"/>
      <c r="DC105" s="461"/>
      <c r="DD105" s="461"/>
      <c r="DE105" s="461"/>
      <c r="DF105" s="461"/>
      <c r="DG105" s="461"/>
      <c r="DH105" s="461"/>
      <c r="DI105" s="461"/>
      <c r="DJ105" s="461"/>
      <c r="DK105" s="461"/>
      <c r="DL105" s="461"/>
      <c r="DM105" s="461"/>
      <c r="DN105" s="461"/>
      <c r="DO105" s="461"/>
      <c r="DP105" s="461"/>
      <c r="DQ105" s="461"/>
      <c r="DR105" s="461"/>
      <c r="DS105" s="461"/>
      <c r="DT105" s="461"/>
      <c r="DU105" s="461"/>
      <c r="DV105" s="461"/>
      <c r="DW105" s="322" t="s">
        <v>372</v>
      </c>
    </row>
    <row r="106" spans="3:127" hidden="1" outlineLevel="1" x14ac:dyDescent="0.3">
      <c r="C106" s="462" t="str">
        <f>I37</f>
        <v>Granite Park</v>
      </c>
      <c r="D106" s="365"/>
      <c r="E106" s="470"/>
      <c r="F106" s="374"/>
      <c r="G106" s="374"/>
      <c r="H106" s="463"/>
      <c r="I106" s="463"/>
      <c r="J106" s="463"/>
      <c r="K106" s="463"/>
      <c r="L106" s="463"/>
      <c r="M106" s="463"/>
      <c r="N106" s="463"/>
      <c r="O106" s="463"/>
      <c r="P106" s="463"/>
      <c r="Q106" s="463"/>
      <c r="R106" s="463"/>
      <c r="S106" s="463"/>
      <c r="T106" s="463"/>
      <c r="U106" s="463"/>
      <c r="V106" s="463"/>
      <c r="W106" s="463"/>
      <c r="X106" s="463"/>
      <c r="Y106" s="463"/>
      <c r="Z106" s="463"/>
      <c r="AA106" s="463"/>
      <c r="AB106" s="463"/>
      <c r="AC106" s="463"/>
      <c r="AD106" s="463"/>
      <c r="AE106" s="463"/>
      <c r="AF106" s="463"/>
      <c r="AG106" s="463"/>
      <c r="AH106" s="463"/>
      <c r="AI106" s="463"/>
      <c r="AJ106" s="463"/>
      <c r="AK106" s="463"/>
      <c r="AL106" s="463"/>
      <c r="AM106" s="463"/>
      <c r="AN106" s="463"/>
      <c r="AO106" s="463"/>
      <c r="AP106" s="463"/>
      <c r="AQ106" s="463"/>
      <c r="AR106" s="463"/>
      <c r="AS106" s="463"/>
      <c r="AT106" s="463"/>
      <c r="AU106" s="463"/>
      <c r="AV106" s="463"/>
      <c r="AW106" s="463"/>
      <c r="AX106" s="463"/>
      <c r="AY106" s="463"/>
      <c r="AZ106" s="463"/>
      <c r="BA106" s="463"/>
      <c r="BB106" s="463"/>
      <c r="BC106" s="463"/>
      <c r="BD106" s="463"/>
      <c r="BE106" s="463"/>
      <c r="BF106" s="463"/>
      <c r="BG106" s="463"/>
      <c r="BH106" s="463"/>
      <c r="BI106" s="463"/>
      <c r="BJ106" s="463"/>
      <c r="BK106" s="463"/>
      <c r="BL106" s="463"/>
      <c r="BM106" s="463"/>
      <c r="BN106" s="463"/>
      <c r="BO106" s="463"/>
      <c r="BP106" s="463"/>
      <c r="BQ106" s="463"/>
      <c r="BR106" s="463"/>
      <c r="BS106" s="463"/>
      <c r="BT106" s="463"/>
      <c r="BU106" s="463"/>
      <c r="BV106" s="463"/>
      <c r="BW106" s="463"/>
      <c r="BX106" s="463"/>
      <c r="BY106" s="463"/>
      <c r="BZ106" s="463"/>
      <c r="CA106" s="463"/>
      <c r="CB106" s="463"/>
      <c r="CC106" s="463"/>
      <c r="CD106" s="463"/>
      <c r="CE106" s="463"/>
      <c r="CF106" s="463"/>
      <c r="CG106" s="463"/>
      <c r="CH106" s="463"/>
      <c r="CI106" s="463"/>
      <c r="CJ106" s="463"/>
      <c r="CK106" s="463"/>
      <c r="CL106" s="463"/>
      <c r="CM106" s="463"/>
      <c r="CN106" s="463"/>
      <c r="CO106" s="463"/>
      <c r="CP106" s="463"/>
      <c r="CQ106" s="463"/>
      <c r="CR106" s="463"/>
      <c r="CS106" s="463"/>
      <c r="CT106" s="463"/>
      <c r="CU106" s="463"/>
      <c r="CV106" s="463"/>
      <c r="CW106" s="463"/>
      <c r="CX106" s="463"/>
      <c r="CY106" s="463"/>
      <c r="CZ106" s="463"/>
      <c r="DA106" s="463"/>
      <c r="DB106" s="463"/>
      <c r="DC106" s="463"/>
      <c r="DD106" s="463"/>
      <c r="DE106" s="463"/>
      <c r="DF106" s="463"/>
      <c r="DG106" s="463"/>
      <c r="DH106" s="463"/>
      <c r="DI106" s="463"/>
      <c r="DJ106" s="463"/>
      <c r="DK106" s="463"/>
      <c r="DL106" s="463"/>
      <c r="DM106" s="463"/>
      <c r="DN106" s="463"/>
      <c r="DO106" s="463"/>
      <c r="DP106" s="463"/>
      <c r="DQ106" s="463"/>
      <c r="DR106" s="463"/>
      <c r="DS106" s="463"/>
      <c r="DT106" s="463"/>
      <c r="DU106" s="463"/>
      <c r="DV106" s="463"/>
      <c r="DW106" s="322" t="s">
        <v>372</v>
      </c>
    </row>
    <row r="107" spans="3:127" hidden="1" outlineLevel="1" x14ac:dyDescent="0.3">
      <c r="C107" s="374" t="s">
        <v>351</v>
      </c>
      <c r="D107" s="470"/>
      <c r="E107" s="463"/>
      <c r="F107" s="465">
        <v>0</v>
      </c>
      <c r="G107" s="409">
        <f t="shared" ref="G107:BR107" si="75">F111</f>
        <v>455750</v>
      </c>
      <c r="H107" s="466">
        <f t="shared" si="75"/>
        <v>452531.45854166668</v>
      </c>
      <c r="I107" s="466">
        <f t="shared" si="75"/>
        <v>449312.91708333336</v>
      </c>
      <c r="J107" s="466">
        <f t="shared" si="75"/>
        <v>454822.97408521263</v>
      </c>
      <c r="K107" s="466">
        <f t="shared" si="75"/>
        <v>451604.43262687931</v>
      </c>
      <c r="L107" s="466">
        <f t="shared" si="75"/>
        <v>448385.89116854599</v>
      </c>
      <c r="M107" s="466">
        <f t="shared" si="75"/>
        <v>453877.93925800646</v>
      </c>
      <c r="N107" s="466">
        <f t="shared" si="75"/>
        <v>450659.39779967314</v>
      </c>
      <c r="O107" s="466">
        <f t="shared" si="75"/>
        <v>447440.85634133982</v>
      </c>
      <c r="P107" s="466">
        <f t="shared" si="75"/>
        <v>452914.54566739959</v>
      </c>
      <c r="Q107" s="466">
        <f t="shared" si="75"/>
        <v>449696.00420906628</v>
      </c>
      <c r="R107" s="466">
        <f t="shared" si="75"/>
        <v>446477.46275073296</v>
      </c>
      <c r="S107" s="466">
        <f t="shared" si="75"/>
        <v>451932.43666601367</v>
      </c>
      <c r="T107" s="466">
        <f t="shared" si="75"/>
        <v>448490.29208893032</v>
      </c>
      <c r="U107" s="466">
        <f t="shared" si="75"/>
        <v>445048.14751184697</v>
      </c>
      <c r="V107" s="466">
        <f t="shared" si="75"/>
        <v>450251.75164884276</v>
      </c>
      <c r="W107" s="466">
        <f t="shared" si="75"/>
        <v>446809.60707175941</v>
      </c>
      <c r="X107" s="466">
        <f t="shared" si="75"/>
        <v>443367.46249467606</v>
      </c>
      <c r="Y107" s="466">
        <f t="shared" si="75"/>
        <v>448538.41672534775</v>
      </c>
      <c r="Z107" s="466">
        <f t="shared" si="75"/>
        <v>445096.2721482644</v>
      </c>
      <c r="AA107" s="466">
        <f t="shared" si="75"/>
        <v>441654.12757118104</v>
      </c>
      <c r="AB107" s="466">
        <f t="shared" si="75"/>
        <v>446791.79762059182</v>
      </c>
      <c r="AC107" s="466">
        <f t="shared" si="75"/>
        <v>443349.65304350847</v>
      </c>
      <c r="AD107" s="466">
        <f t="shared" si="75"/>
        <v>439907.50846642512</v>
      </c>
      <c r="AE107" s="466">
        <f t="shared" si="75"/>
        <v>445011.24773786648</v>
      </c>
      <c r="AF107" s="466">
        <f t="shared" si="75"/>
        <v>441338.79194847064</v>
      </c>
      <c r="AG107" s="466">
        <f t="shared" si="75"/>
        <v>437666.3361590748</v>
      </c>
      <c r="AH107" s="466">
        <f t="shared" si="75"/>
        <v>442496.22597924544</v>
      </c>
      <c r="AI107" s="466">
        <f t="shared" si="75"/>
        <v>438823.7701898496</v>
      </c>
      <c r="AJ107" s="466">
        <f t="shared" si="75"/>
        <v>435151.31440045376</v>
      </c>
      <c r="AK107" s="466">
        <f t="shared" si="75"/>
        <v>439932.34603245521</v>
      </c>
      <c r="AL107" s="466">
        <f t="shared" si="75"/>
        <v>436259.89024305937</v>
      </c>
      <c r="AM107" s="466">
        <f t="shared" si="75"/>
        <v>432587.43445366353</v>
      </c>
      <c r="AN107" s="466">
        <f t="shared" si="75"/>
        <v>437318.65875161148</v>
      </c>
      <c r="AO107" s="466">
        <f t="shared" si="75"/>
        <v>433646.20296221564</v>
      </c>
      <c r="AP107" s="466">
        <f t="shared" si="75"/>
        <v>429973.7471728198</v>
      </c>
      <c r="AQ107" s="466">
        <f t="shared" si="75"/>
        <v>434654.19655220286</v>
      </c>
      <c r="AR107" s="466">
        <f t="shared" si="75"/>
        <v>430744.52021412516</v>
      </c>
      <c r="AS107" s="466">
        <f t="shared" si="75"/>
        <v>426834.84387604747</v>
      </c>
      <c r="AT107" s="466">
        <f t="shared" si="75"/>
        <v>431217.09465461341</v>
      </c>
      <c r="AU107" s="466">
        <f t="shared" si="75"/>
        <v>427307.41831653571</v>
      </c>
      <c r="AV107" s="466">
        <f t="shared" si="75"/>
        <v>423397.74197845801</v>
      </c>
      <c r="AW107" s="466">
        <f t="shared" si="75"/>
        <v>427713.22173578193</v>
      </c>
      <c r="AX107" s="466">
        <f t="shared" si="75"/>
        <v>423803.54539770423</v>
      </c>
      <c r="AY107" s="466">
        <f t="shared" si="75"/>
        <v>419893.86905962654</v>
      </c>
      <c r="AZ107" s="466">
        <f t="shared" si="75"/>
        <v>424141.2806653321</v>
      </c>
      <c r="BA107" s="466">
        <f t="shared" si="75"/>
        <v>420231.6043272544</v>
      </c>
      <c r="BB107" s="466">
        <f t="shared" si="75"/>
        <v>416321.92798917671</v>
      </c>
      <c r="BC107" s="466">
        <f t="shared" si="75"/>
        <v>420499.94911412359</v>
      </c>
      <c r="BD107" s="466">
        <f t="shared" si="75"/>
        <v>418330.6629450419</v>
      </c>
      <c r="BE107" s="466">
        <f t="shared" si="75"/>
        <v>416161.37677596021</v>
      </c>
      <c r="BF107" s="466">
        <f t="shared" si="75"/>
        <v>422076.6691142284</v>
      </c>
      <c r="BG107" s="466">
        <f t="shared" si="75"/>
        <v>419907.3829451467</v>
      </c>
      <c r="BH107" s="466">
        <f t="shared" si="75"/>
        <v>417738.09677606501</v>
      </c>
      <c r="BI107" s="466">
        <f t="shared" si="75"/>
        <v>423684.01933937642</v>
      </c>
      <c r="BJ107" s="466">
        <f t="shared" si="75"/>
        <v>421514.73317029473</v>
      </c>
      <c r="BK107" s="466">
        <f t="shared" si="75"/>
        <v>419345.44700121303</v>
      </c>
      <c r="BL107" s="466">
        <f t="shared" si="75"/>
        <v>425322.59482907131</v>
      </c>
      <c r="BM107" s="466">
        <f t="shared" si="75"/>
        <v>423153.30865998962</v>
      </c>
      <c r="BN107" s="466">
        <f t="shared" si="75"/>
        <v>420984.02249090793</v>
      </c>
      <c r="BO107" s="466">
        <f t="shared" si="75"/>
        <v>0</v>
      </c>
      <c r="BP107" s="466">
        <f t="shared" si="75"/>
        <v>0</v>
      </c>
      <c r="BQ107" s="466">
        <f t="shared" si="75"/>
        <v>0</v>
      </c>
      <c r="BR107" s="466">
        <f t="shared" si="75"/>
        <v>0</v>
      </c>
      <c r="BS107" s="466">
        <f t="shared" ref="BS107:DV107" si="76">BR111</f>
        <v>0</v>
      </c>
      <c r="BT107" s="466">
        <f t="shared" si="76"/>
        <v>0</v>
      </c>
      <c r="BU107" s="466">
        <f t="shared" si="76"/>
        <v>0</v>
      </c>
      <c r="BV107" s="466">
        <f t="shared" si="76"/>
        <v>0</v>
      </c>
      <c r="BW107" s="466">
        <f t="shared" si="76"/>
        <v>0</v>
      </c>
      <c r="BX107" s="466">
        <f t="shared" si="76"/>
        <v>0</v>
      </c>
      <c r="BY107" s="466">
        <f t="shared" si="76"/>
        <v>0</v>
      </c>
      <c r="BZ107" s="466">
        <f t="shared" si="76"/>
        <v>0</v>
      </c>
      <c r="CA107" s="466">
        <f t="shared" si="76"/>
        <v>0</v>
      </c>
      <c r="CB107" s="466">
        <f t="shared" si="76"/>
        <v>0</v>
      </c>
      <c r="CC107" s="466">
        <f t="shared" si="76"/>
        <v>0</v>
      </c>
      <c r="CD107" s="466">
        <f t="shared" si="76"/>
        <v>0</v>
      </c>
      <c r="CE107" s="466">
        <f t="shared" si="76"/>
        <v>0</v>
      </c>
      <c r="CF107" s="466">
        <f t="shared" si="76"/>
        <v>0</v>
      </c>
      <c r="CG107" s="466">
        <f t="shared" si="76"/>
        <v>0</v>
      </c>
      <c r="CH107" s="466">
        <f t="shared" si="76"/>
        <v>0</v>
      </c>
      <c r="CI107" s="466">
        <f t="shared" si="76"/>
        <v>0</v>
      </c>
      <c r="CJ107" s="466">
        <f t="shared" si="76"/>
        <v>0</v>
      </c>
      <c r="CK107" s="466">
        <f t="shared" si="76"/>
        <v>0</v>
      </c>
      <c r="CL107" s="466">
        <f t="shared" si="76"/>
        <v>0</v>
      </c>
      <c r="CM107" s="466">
        <f t="shared" si="76"/>
        <v>0</v>
      </c>
      <c r="CN107" s="466">
        <f t="shared" si="76"/>
        <v>0</v>
      </c>
      <c r="CO107" s="466">
        <f t="shared" si="76"/>
        <v>0</v>
      </c>
      <c r="CP107" s="466">
        <f t="shared" si="76"/>
        <v>0</v>
      </c>
      <c r="CQ107" s="466">
        <f t="shared" si="76"/>
        <v>0</v>
      </c>
      <c r="CR107" s="466">
        <f t="shared" si="76"/>
        <v>0</v>
      </c>
      <c r="CS107" s="466">
        <f t="shared" si="76"/>
        <v>0</v>
      </c>
      <c r="CT107" s="466">
        <f t="shared" si="76"/>
        <v>0</v>
      </c>
      <c r="CU107" s="466">
        <f t="shared" si="76"/>
        <v>0</v>
      </c>
      <c r="CV107" s="466">
        <f t="shared" si="76"/>
        <v>0</v>
      </c>
      <c r="CW107" s="466">
        <f t="shared" si="76"/>
        <v>0</v>
      </c>
      <c r="CX107" s="466">
        <f t="shared" si="76"/>
        <v>0</v>
      </c>
      <c r="CY107" s="466">
        <f t="shared" si="76"/>
        <v>0</v>
      </c>
      <c r="CZ107" s="466">
        <f t="shared" si="76"/>
        <v>0</v>
      </c>
      <c r="DA107" s="466">
        <f t="shared" si="76"/>
        <v>0</v>
      </c>
      <c r="DB107" s="466">
        <f t="shared" si="76"/>
        <v>0</v>
      </c>
      <c r="DC107" s="466">
        <f t="shared" si="76"/>
        <v>0</v>
      </c>
      <c r="DD107" s="466">
        <f t="shared" si="76"/>
        <v>0</v>
      </c>
      <c r="DE107" s="466">
        <f t="shared" si="76"/>
        <v>0</v>
      </c>
      <c r="DF107" s="466">
        <f t="shared" si="76"/>
        <v>0</v>
      </c>
      <c r="DG107" s="466">
        <f t="shared" si="76"/>
        <v>0</v>
      </c>
      <c r="DH107" s="466">
        <f t="shared" si="76"/>
        <v>0</v>
      </c>
      <c r="DI107" s="466">
        <f t="shared" si="76"/>
        <v>0</v>
      </c>
      <c r="DJ107" s="466">
        <f t="shared" si="76"/>
        <v>0</v>
      </c>
      <c r="DK107" s="466">
        <f t="shared" si="76"/>
        <v>0</v>
      </c>
      <c r="DL107" s="466">
        <f t="shared" si="76"/>
        <v>0</v>
      </c>
      <c r="DM107" s="466">
        <f t="shared" si="76"/>
        <v>0</v>
      </c>
      <c r="DN107" s="466">
        <f t="shared" si="76"/>
        <v>0</v>
      </c>
      <c r="DO107" s="466">
        <f t="shared" si="76"/>
        <v>0</v>
      </c>
      <c r="DP107" s="466">
        <f t="shared" si="76"/>
        <v>0</v>
      </c>
      <c r="DQ107" s="466">
        <f t="shared" si="76"/>
        <v>0</v>
      </c>
      <c r="DR107" s="466">
        <f t="shared" si="76"/>
        <v>0</v>
      </c>
      <c r="DS107" s="466">
        <f t="shared" si="76"/>
        <v>0</v>
      </c>
      <c r="DT107" s="466">
        <f t="shared" si="76"/>
        <v>0</v>
      </c>
      <c r="DU107" s="466">
        <f t="shared" si="76"/>
        <v>0</v>
      </c>
      <c r="DV107" s="466">
        <f t="shared" si="76"/>
        <v>0</v>
      </c>
      <c r="DW107" s="322" t="s">
        <v>372</v>
      </c>
    </row>
    <row r="108" spans="3:127" hidden="1" outlineLevel="1" x14ac:dyDescent="0.3">
      <c r="C108" s="374" t="s">
        <v>400</v>
      </c>
      <c r="D108" s="478"/>
      <c r="E108" s="467">
        <f>SUM(F108:DV108)</f>
        <v>455750</v>
      </c>
      <c r="F108" s="468">
        <f t="shared" ref="F108:BQ108" si="77">-F79</f>
        <v>455750</v>
      </c>
      <c r="G108" s="468">
        <f t="shared" si="77"/>
        <v>0</v>
      </c>
      <c r="H108" s="468">
        <f t="shared" si="77"/>
        <v>0</v>
      </c>
      <c r="I108" s="468">
        <f t="shared" si="77"/>
        <v>0</v>
      </c>
      <c r="J108" s="468">
        <f t="shared" si="77"/>
        <v>0</v>
      </c>
      <c r="K108" s="468">
        <f t="shared" si="77"/>
        <v>0</v>
      </c>
      <c r="L108" s="468">
        <f t="shared" si="77"/>
        <v>0</v>
      </c>
      <c r="M108" s="468">
        <f t="shared" si="77"/>
        <v>0</v>
      </c>
      <c r="N108" s="468">
        <f t="shared" si="77"/>
        <v>0</v>
      </c>
      <c r="O108" s="468">
        <f t="shared" si="77"/>
        <v>0</v>
      </c>
      <c r="P108" s="468">
        <f t="shared" si="77"/>
        <v>0</v>
      </c>
      <c r="Q108" s="468">
        <f t="shared" si="77"/>
        <v>0</v>
      </c>
      <c r="R108" s="468">
        <f t="shared" si="77"/>
        <v>0</v>
      </c>
      <c r="S108" s="468">
        <f t="shared" si="77"/>
        <v>0</v>
      </c>
      <c r="T108" s="468">
        <f t="shared" si="77"/>
        <v>0</v>
      </c>
      <c r="U108" s="468">
        <f t="shared" si="77"/>
        <v>0</v>
      </c>
      <c r="V108" s="468">
        <f t="shared" si="77"/>
        <v>0</v>
      </c>
      <c r="W108" s="468">
        <f t="shared" si="77"/>
        <v>0</v>
      </c>
      <c r="X108" s="468">
        <f t="shared" si="77"/>
        <v>0</v>
      </c>
      <c r="Y108" s="468">
        <f t="shared" si="77"/>
        <v>0</v>
      </c>
      <c r="Z108" s="468">
        <f t="shared" si="77"/>
        <v>0</v>
      </c>
      <c r="AA108" s="468">
        <f t="shared" si="77"/>
        <v>0</v>
      </c>
      <c r="AB108" s="468">
        <f t="shared" si="77"/>
        <v>0</v>
      </c>
      <c r="AC108" s="468">
        <f t="shared" si="77"/>
        <v>0</v>
      </c>
      <c r="AD108" s="468">
        <f t="shared" si="77"/>
        <v>0</v>
      </c>
      <c r="AE108" s="468">
        <f t="shared" si="77"/>
        <v>0</v>
      </c>
      <c r="AF108" s="468">
        <f t="shared" si="77"/>
        <v>0</v>
      </c>
      <c r="AG108" s="468">
        <f t="shared" si="77"/>
        <v>0</v>
      </c>
      <c r="AH108" s="468">
        <f t="shared" si="77"/>
        <v>0</v>
      </c>
      <c r="AI108" s="468">
        <f t="shared" si="77"/>
        <v>0</v>
      </c>
      <c r="AJ108" s="468">
        <f t="shared" si="77"/>
        <v>0</v>
      </c>
      <c r="AK108" s="468">
        <f t="shared" si="77"/>
        <v>0</v>
      </c>
      <c r="AL108" s="468">
        <f t="shared" si="77"/>
        <v>0</v>
      </c>
      <c r="AM108" s="468">
        <f t="shared" si="77"/>
        <v>0</v>
      </c>
      <c r="AN108" s="468">
        <f t="shared" si="77"/>
        <v>0</v>
      </c>
      <c r="AO108" s="468">
        <f t="shared" si="77"/>
        <v>0</v>
      </c>
      <c r="AP108" s="468">
        <f t="shared" si="77"/>
        <v>0</v>
      </c>
      <c r="AQ108" s="468">
        <f t="shared" si="77"/>
        <v>0</v>
      </c>
      <c r="AR108" s="468">
        <f t="shared" si="77"/>
        <v>0</v>
      </c>
      <c r="AS108" s="468">
        <f t="shared" si="77"/>
        <v>0</v>
      </c>
      <c r="AT108" s="468">
        <f t="shared" si="77"/>
        <v>0</v>
      </c>
      <c r="AU108" s="468">
        <f t="shared" si="77"/>
        <v>0</v>
      </c>
      <c r="AV108" s="468">
        <f t="shared" si="77"/>
        <v>0</v>
      </c>
      <c r="AW108" s="468">
        <f t="shared" si="77"/>
        <v>0</v>
      </c>
      <c r="AX108" s="468">
        <f t="shared" si="77"/>
        <v>0</v>
      </c>
      <c r="AY108" s="468">
        <f t="shared" si="77"/>
        <v>0</v>
      </c>
      <c r="AZ108" s="468">
        <f t="shared" si="77"/>
        <v>0</v>
      </c>
      <c r="BA108" s="468">
        <f t="shared" si="77"/>
        <v>0</v>
      </c>
      <c r="BB108" s="468">
        <f t="shared" si="77"/>
        <v>0</v>
      </c>
      <c r="BC108" s="468">
        <f t="shared" si="77"/>
        <v>0</v>
      </c>
      <c r="BD108" s="468">
        <f t="shared" si="77"/>
        <v>0</v>
      </c>
      <c r="BE108" s="468">
        <f t="shared" si="77"/>
        <v>0</v>
      </c>
      <c r="BF108" s="468">
        <f t="shared" si="77"/>
        <v>0</v>
      </c>
      <c r="BG108" s="468">
        <f t="shared" si="77"/>
        <v>0</v>
      </c>
      <c r="BH108" s="468">
        <f t="shared" si="77"/>
        <v>0</v>
      </c>
      <c r="BI108" s="468">
        <f t="shared" si="77"/>
        <v>0</v>
      </c>
      <c r="BJ108" s="468">
        <f t="shared" si="77"/>
        <v>0</v>
      </c>
      <c r="BK108" s="468">
        <f t="shared" si="77"/>
        <v>0</v>
      </c>
      <c r="BL108" s="468">
        <f t="shared" si="77"/>
        <v>0</v>
      </c>
      <c r="BM108" s="468">
        <f t="shared" si="77"/>
        <v>0</v>
      </c>
      <c r="BN108" s="468">
        <f t="shared" si="77"/>
        <v>0</v>
      </c>
      <c r="BO108" s="468">
        <f t="shared" si="77"/>
        <v>0</v>
      </c>
      <c r="BP108" s="468">
        <f t="shared" si="77"/>
        <v>0</v>
      </c>
      <c r="BQ108" s="468">
        <f t="shared" si="77"/>
        <v>0</v>
      </c>
      <c r="BR108" s="468">
        <f t="shared" ref="BR108:DV108" si="78">-BR79</f>
        <v>0</v>
      </c>
      <c r="BS108" s="468">
        <f t="shared" si="78"/>
        <v>0</v>
      </c>
      <c r="BT108" s="468">
        <f t="shared" si="78"/>
        <v>0</v>
      </c>
      <c r="BU108" s="468">
        <f t="shared" si="78"/>
        <v>0</v>
      </c>
      <c r="BV108" s="468">
        <f t="shared" si="78"/>
        <v>0</v>
      </c>
      <c r="BW108" s="468">
        <f t="shared" si="78"/>
        <v>0</v>
      </c>
      <c r="BX108" s="468">
        <f t="shared" si="78"/>
        <v>0</v>
      </c>
      <c r="BY108" s="468">
        <f t="shared" si="78"/>
        <v>0</v>
      </c>
      <c r="BZ108" s="468">
        <f t="shared" si="78"/>
        <v>0</v>
      </c>
      <c r="CA108" s="468">
        <f t="shared" si="78"/>
        <v>0</v>
      </c>
      <c r="CB108" s="468">
        <f t="shared" si="78"/>
        <v>0</v>
      </c>
      <c r="CC108" s="468">
        <f t="shared" si="78"/>
        <v>0</v>
      </c>
      <c r="CD108" s="468">
        <f t="shared" si="78"/>
        <v>0</v>
      </c>
      <c r="CE108" s="468">
        <f t="shared" si="78"/>
        <v>0</v>
      </c>
      <c r="CF108" s="468">
        <f t="shared" si="78"/>
        <v>0</v>
      </c>
      <c r="CG108" s="468">
        <f t="shared" si="78"/>
        <v>0</v>
      </c>
      <c r="CH108" s="468">
        <f t="shared" si="78"/>
        <v>0</v>
      </c>
      <c r="CI108" s="468">
        <f t="shared" si="78"/>
        <v>0</v>
      </c>
      <c r="CJ108" s="468">
        <f t="shared" si="78"/>
        <v>0</v>
      </c>
      <c r="CK108" s="468">
        <f t="shared" si="78"/>
        <v>0</v>
      </c>
      <c r="CL108" s="468">
        <f t="shared" si="78"/>
        <v>0</v>
      </c>
      <c r="CM108" s="468">
        <f t="shared" si="78"/>
        <v>0</v>
      </c>
      <c r="CN108" s="468">
        <f t="shared" si="78"/>
        <v>0</v>
      </c>
      <c r="CO108" s="468">
        <f t="shared" si="78"/>
        <v>0</v>
      </c>
      <c r="CP108" s="468">
        <f t="shared" si="78"/>
        <v>0</v>
      </c>
      <c r="CQ108" s="468">
        <f t="shared" si="78"/>
        <v>0</v>
      </c>
      <c r="CR108" s="468">
        <f t="shared" si="78"/>
        <v>0</v>
      </c>
      <c r="CS108" s="468">
        <f t="shared" si="78"/>
        <v>0</v>
      </c>
      <c r="CT108" s="468">
        <f t="shared" si="78"/>
        <v>0</v>
      </c>
      <c r="CU108" s="468">
        <f t="shared" si="78"/>
        <v>0</v>
      </c>
      <c r="CV108" s="468">
        <f t="shared" si="78"/>
        <v>0</v>
      </c>
      <c r="CW108" s="468">
        <f t="shared" si="78"/>
        <v>0</v>
      </c>
      <c r="CX108" s="468">
        <f t="shared" si="78"/>
        <v>0</v>
      </c>
      <c r="CY108" s="468">
        <f t="shared" si="78"/>
        <v>0</v>
      </c>
      <c r="CZ108" s="468">
        <f t="shared" si="78"/>
        <v>0</v>
      </c>
      <c r="DA108" s="468">
        <f t="shared" si="78"/>
        <v>0</v>
      </c>
      <c r="DB108" s="468">
        <f t="shared" si="78"/>
        <v>0</v>
      </c>
      <c r="DC108" s="468">
        <f t="shared" si="78"/>
        <v>0</v>
      </c>
      <c r="DD108" s="468">
        <f t="shared" si="78"/>
        <v>0</v>
      </c>
      <c r="DE108" s="468">
        <f t="shared" si="78"/>
        <v>0</v>
      </c>
      <c r="DF108" s="468">
        <f t="shared" si="78"/>
        <v>0</v>
      </c>
      <c r="DG108" s="468">
        <f t="shared" si="78"/>
        <v>0</v>
      </c>
      <c r="DH108" s="468">
        <f t="shared" si="78"/>
        <v>0</v>
      </c>
      <c r="DI108" s="468">
        <f t="shared" si="78"/>
        <v>0</v>
      </c>
      <c r="DJ108" s="468">
        <f t="shared" si="78"/>
        <v>0</v>
      </c>
      <c r="DK108" s="468">
        <f t="shared" si="78"/>
        <v>0</v>
      </c>
      <c r="DL108" s="468">
        <f t="shared" si="78"/>
        <v>0</v>
      </c>
      <c r="DM108" s="468">
        <f t="shared" si="78"/>
        <v>0</v>
      </c>
      <c r="DN108" s="468">
        <f t="shared" si="78"/>
        <v>0</v>
      </c>
      <c r="DO108" s="468">
        <f t="shared" si="78"/>
        <v>0</v>
      </c>
      <c r="DP108" s="468">
        <f t="shared" si="78"/>
        <v>0</v>
      </c>
      <c r="DQ108" s="468">
        <f t="shared" si="78"/>
        <v>0</v>
      </c>
      <c r="DR108" s="468">
        <f t="shared" si="78"/>
        <v>0</v>
      </c>
      <c r="DS108" s="468">
        <f t="shared" si="78"/>
        <v>0</v>
      </c>
      <c r="DT108" s="468">
        <f t="shared" si="78"/>
        <v>0</v>
      </c>
      <c r="DU108" s="468">
        <f t="shared" si="78"/>
        <v>0</v>
      </c>
      <c r="DV108" s="468">
        <f t="shared" si="78"/>
        <v>0</v>
      </c>
      <c r="DW108" s="322" t="s">
        <v>372</v>
      </c>
    </row>
    <row r="109" spans="3:127" hidden="1" outlineLevel="1" x14ac:dyDescent="0.3">
      <c r="C109" s="374" t="s">
        <v>401</v>
      </c>
      <c r="D109" s="478"/>
      <c r="E109" s="463">
        <f>SUM(F109:DV109)</f>
        <v>168188.25416604237</v>
      </c>
      <c r="F109" s="468">
        <v>0</v>
      </c>
      <c r="G109" s="468">
        <f t="shared" ref="G109:BR109" si="79">G107*(((1+$D$38)^(1/$K$38)-1)*G85)</f>
        <v>0</v>
      </c>
      <c r="H109" s="468">
        <f t="shared" si="79"/>
        <v>0</v>
      </c>
      <c r="I109" s="468">
        <f t="shared" si="79"/>
        <v>8728.5984602125773</v>
      </c>
      <c r="J109" s="468">
        <f t="shared" si="79"/>
        <v>0</v>
      </c>
      <c r="K109" s="468">
        <f t="shared" si="79"/>
        <v>0</v>
      </c>
      <c r="L109" s="468">
        <f t="shared" si="79"/>
        <v>8710.5895477937756</v>
      </c>
      <c r="M109" s="468">
        <f t="shared" si="79"/>
        <v>0</v>
      </c>
      <c r="N109" s="468">
        <f t="shared" si="79"/>
        <v>0</v>
      </c>
      <c r="O109" s="468">
        <f t="shared" si="79"/>
        <v>8692.230784393103</v>
      </c>
      <c r="P109" s="468">
        <f t="shared" si="79"/>
        <v>0</v>
      </c>
      <c r="Q109" s="468">
        <f t="shared" si="79"/>
        <v>0</v>
      </c>
      <c r="R109" s="468">
        <f t="shared" si="79"/>
        <v>8673.5153736140492</v>
      </c>
      <c r="S109" s="468">
        <f t="shared" si="79"/>
        <v>0</v>
      </c>
      <c r="T109" s="468">
        <f t="shared" si="79"/>
        <v>0</v>
      </c>
      <c r="U109" s="468">
        <f t="shared" si="79"/>
        <v>8645.74871407912</v>
      </c>
      <c r="V109" s="468">
        <f t="shared" si="79"/>
        <v>0</v>
      </c>
      <c r="W109" s="468">
        <f t="shared" si="79"/>
        <v>0</v>
      </c>
      <c r="X109" s="468">
        <f t="shared" si="79"/>
        <v>8613.0988077550173</v>
      </c>
      <c r="Y109" s="468">
        <f t="shared" si="79"/>
        <v>0</v>
      </c>
      <c r="Z109" s="468">
        <f t="shared" si="79"/>
        <v>0</v>
      </c>
      <c r="AA109" s="468">
        <f t="shared" si="79"/>
        <v>8579.814626494157</v>
      </c>
      <c r="AB109" s="468">
        <f t="shared" si="79"/>
        <v>0</v>
      </c>
      <c r="AC109" s="468">
        <f t="shared" si="79"/>
        <v>0</v>
      </c>
      <c r="AD109" s="468">
        <f t="shared" si="79"/>
        <v>8545.8838485247306</v>
      </c>
      <c r="AE109" s="468">
        <f t="shared" si="79"/>
        <v>0</v>
      </c>
      <c r="AF109" s="468">
        <f t="shared" si="79"/>
        <v>0</v>
      </c>
      <c r="AG109" s="468">
        <f t="shared" si="79"/>
        <v>8502.345609566466</v>
      </c>
      <c r="AH109" s="468">
        <f t="shared" si="79"/>
        <v>0</v>
      </c>
      <c r="AI109" s="468">
        <f t="shared" si="79"/>
        <v>0</v>
      </c>
      <c r="AJ109" s="468">
        <f t="shared" si="79"/>
        <v>8453.4874213972853</v>
      </c>
      <c r="AK109" s="468">
        <f t="shared" si="79"/>
        <v>0</v>
      </c>
      <c r="AL109" s="468">
        <f t="shared" si="79"/>
        <v>0</v>
      </c>
      <c r="AM109" s="468">
        <f t="shared" si="79"/>
        <v>8403.6800873437824</v>
      </c>
      <c r="AN109" s="468">
        <f t="shared" si="79"/>
        <v>0</v>
      </c>
      <c r="AO109" s="468">
        <f t="shared" si="79"/>
        <v>0</v>
      </c>
      <c r="AP109" s="468">
        <f t="shared" si="79"/>
        <v>8352.9051687789142</v>
      </c>
      <c r="AQ109" s="468">
        <f t="shared" si="79"/>
        <v>0</v>
      </c>
      <c r="AR109" s="468">
        <f t="shared" si="79"/>
        <v>0</v>
      </c>
      <c r="AS109" s="468">
        <f t="shared" si="79"/>
        <v>8291.927116643632</v>
      </c>
      <c r="AT109" s="468">
        <f t="shared" si="79"/>
        <v>0</v>
      </c>
      <c r="AU109" s="468">
        <f t="shared" si="79"/>
        <v>0</v>
      </c>
      <c r="AV109" s="468">
        <f t="shared" si="79"/>
        <v>8225.1560954015949</v>
      </c>
      <c r="AW109" s="468">
        <f t="shared" si="79"/>
        <v>0</v>
      </c>
      <c r="AX109" s="468">
        <f t="shared" si="79"/>
        <v>0</v>
      </c>
      <c r="AY109" s="468">
        <f t="shared" si="79"/>
        <v>8157.0879437832864</v>
      </c>
      <c r="AZ109" s="468">
        <f t="shared" si="79"/>
        <v>0</v>
      </c>
      <c r="BA109" s="468">
        <f t="shared" si="79"/>
        <v>0</v>
      </c>
      <c r="BB109" s="468">
        <f t="shared" si="79"/>
        <v>8087.6974630246041</v>
      </c>
      <c r="BC109" s="468">
        <f t="shared" si="79"/>
        <v>0</v>
      </c>
      <c r="BD109" s="468">
        <f t="shared" si="79"/>
        <v>0</v>
      </c>
      <c r="BE109" s="468">
        <f t="shared" si="79"/>
        <v>8084.5785073498737</v>
      </c>
      <c r="BF109" s="468">
        <f t="shared" si="79"/>
        <v>0</v>
      </c>
      <c r="BG109" s="468">
        <f t="shared" si="79"/>
        <v>0</v>
      </c>
      <c r="BH109" s="468">
        <f t="shared" si="79"/>
        <v>8115.2087323931219</v>
      </c>
      <c r="BI109" s="468">
        <f t="shared" si="79"/>
        <v>0</v>
      </c>
      <c r="BJ109" s="468">
        <f t="shared" si="79"/>
        <v>0</v>
      </c>
      <c r="BK109" s="468">
        <f t="shared" si="79"/>
        <v>8146.4339969399844</v>
      </c>
      <c r="BL109" s="468">
        <f t="shared" si="79"/>
        <v>0</v>
      </c>
      <c r="BM109" s="468">
        <f t="shared" si="79"/>
        <v>0</v>
      </c>
      <c r="BN109" s="468">
        <f t="shared" si="79"/>
        <v>8178.2658605532897</v>
      </c>
      <c r="BO109" s="468">
        <f t="shared" si="79"/>
        <v>0</v>
      </c>
      <c r="BP109" s="468">
        <f t="shared" si="79"/>
        <v>0</v>
      </c>
      <c r="BQ109" s="468">
        <f t="shared" si="79"/>
        <v>0</v>
      </c>
      <c r="BR109" s="468">
        <f t="shared" si="79"/>
        <v>0</v>
      </c>
      <c r="BS109" s="468">
        <f t="shared" ref="BS109:DV109" si="80">BS107*(((1+$D$38)^(1/$K$38)-1)*BS85)</f>
        <v>0</v>
      </c>
      <c r="BT109" s="468">
        <f t="shared" si="80"/>
        <v>0</v>
      </c>
      <c r="BU109" s="468">
        <f t="shared" si="80"/>
        <v>0</v>
      </c>
      <c r="BV109" s="468">
        <f t="shared" si="80"/>
        <v>0</v>
      </c>
      <c r="BW109" s="468">
        <f t="shared" si="80"/>
        <v>0</v>
      </c>
      <c r="BX109" s="468">
        <f t="shared" si="80"/>
        <v>0</v>
      </c>
      <c r="BY109" s="468">
        <f t="shared" si="80"/>
        <v>0</v>
      </c>
      <c r="BZ109" s="468">
        <f t="shared" si="80"/>
        <v>0</v>
      </c>
      <c r="CA109" s="468">
        <f t="shared" si="80"/>
        <v>0</v>
      </c>
      <c r="CB109" s="468">
        <f t="shared" si="80"/>
        <v>0</v>
      </c>
      <c r="CC109" s="468">
        <f t="shared" si="80"/>
        <v>0</v>
      </c>
      <c r="CD109" s="468">
        <f t="shared" si="80"/>
        <v>0</v>
      </c>
      <c r="CE109" s="468">
        <f t="shared" si="80"/>
        <v>0</v>
      </c>
      <c r="CF109" s="468">
        <f t="shared" si="80"/>
        <v>0</v>
      </c>
      <c r="CG109" s="468">
        <f t="shared" si="80"/>
        <v>0</v>
      </c>
      <c r="CH109" s="468">
        <f t="shared" si="80"/>
        <v>0</v>
      </c>
      <c r="CI109" s="468">
        <f t="shared" si="80"/>
        <v>0</v>
      </c>
      <c r="CJ109" s="468">
        <f t="shared" si="80"/>
        <v>0</v>
      </c>
      <c r="CK109" s="468">
        <f t="shared" si="80"/>
        <v>0</v>
      </c>
      <c r="CL109" s="468">
        <f t="shared" si="80"/>
        <v>0</v>
      </c>
      <c r="CM109" s="468">
        <f t="shared" si="80"/>
        <v>0</v>
      </c>
      <c r="CN109" s="468">
        <f t="shared" si="80"/>
        <v>0</v>
      </c>
      <c r="CO109" s="468">
        <f t="shared" si="80"/>
        <v>0</v>
      </c>
      <c r="CP109" s="468">
        <f t="shared" si="80"/>
        <v>0</v>
      </c>
      <c r="CQ109" s="468">
        <f t="shared" si="80"/>
        <v>0</v>
      </c>
      <c r="CR109" s="468">
        <f t="shared" si="80"/>
        <v>0</v>
      </c>
      <c r="CS109" s="468">
        <f t="shared" si="80"/>
        <v>0</v>
      </c>
      <c r="CT109" s="468">
        <f t="shared" si="80"/>
        <v>0</v>
      </c>
      <c r="CU109" s="468">
        <f t="shared" si="80"/>
        <v>0</v>
      </c>
      <c r="CV109" s="468">
        <f t="shared" si="80"/>
        <v>0</v>
      </c>
      <c r="CW109" s="468">
        <f t="shared" si="80"/>
        <v>0</v>
      </c>
      <c r="CX109" s="468">
        <f t="shared" si="80"/>
        <v>0</v>
      </c>
      <c r="CY109" s="468">
        <f t="shared" si="80"/>
        <v>0</v>
      </c>
      <c r="CZ109" s="468">
        <f t="shared" si="80"/>
        <v>0</v>
      </c>
      <c r="DA109" s="468">
        <f t="shared" si="80"/>
        <v>0</v>
      </c>
      <c r="DB109" s="468">
        <f t="shared" si="80"/>
        <v>0</v>
      </c>
      <c r="DC109" s="468">
        <f t="shared" si="80"/>
        <v>0</v>
      </c>
      <c r="DD109" s="468">
        <f t="shared" si="80"/>
        <v>0</v>
      </c>
      <c r="DE109" s="468">
        <f t="shared" si="80"/>
        <v>0</v>
      </c>
      <c r="DF109" s="468">
        <f t="shared" si="80"/>
        <v>0</v>
      </c>
      <c r="DG109" s="468">
        <f t="shared" si="80"/>
        <v>0</v>
      </c>
      <c r="DH109" s="468">
        <f t="shared" si="80"/>
        <v>0</v>
      </c>
      <c r="DI109" s="468">
        <f t="shared" si="80"/>
        <v>0</v>
      </c>
      <c r="DJ109" s="468">
        <f t="shared" si="80"/>
        <v>0</v>
      </c>
      <c r="DK109" s="468">
        <f t="shared" si="80"/>
        <v>0</v>
      </c>
      <c r="DL109" s="468">
        <f t="shared" si="80"/>
        <v>0</v>
      </c>
      <c r="DM109" s="468">
        <f t="shared" si="80"/>
        <v>0</v>
      </c>
      <c r="DN109" s="468">
        <f t="shared" si="80"/>
        <v>0</v>
      </c>
      <c r="DO109" s="468">
        <f t="shared" si="80"/>
        <v>0</v>
      </c>
      <c r="DP109" s="468">
        <f t="shared" si="80"/>
        <v>0</v>
      </c>
      <c r="DQ109" s="468">
        <f t="shared" si="80"/>
        <v>0</v>
      </c>
      <c r="DR109" s="468">
        <f t="shared" si="80"/>
        <v>0</v>
      </c>
      <c r="DS109" s="468">
        <f t="shared" si="80"/>
        <v>0</v>
      </c>
      <c r="DT109" s="468">
        <f t="shared" si="80"/>
        <v>0</v>
      </c>
      <c r="DU109" s="468">
        <f t="shared" si="80"/>
        <v>0</v>
      </c>
      <c r="DV109" s="468">
        <f t="shared" si="80"/>
        <v>0</v>
      </c>
      <c r="DW109" s="322" t="s">
        <v>372</v>
      </c>
    </row>
    <row r="110" spans="3:127" hidden="1" outlineLevel="1" x14ac:dyDescent="0.3">
      <c r="C110" s="469" t="str">
        <f>C90</f>
        <v>8.00% Accrual Distribution</v>
      </c>
      <c r="D110" s="484"/>
      <c r="E110" s="463">
        <f>SUM(F110:DV110)</f>
        <v>-623938.25416604255</v>
      </c>
      <c r="F110" s="468">
        <v>0</v>
      </c>
      <c r="G110" s="468">
        <f t="shared" ref="G110:AL110" si="81">-MIN(G81*$D$127,SUM(G107:G109))</f>
        <v>-3218.5414583333331</v>
      </c>
      <c r="H110" s="468">
        <f t="shared" si="81"/>
        <v>-3218.5414583333331</v>
      </c>
      <c r="I110" s="468">
        <f t="shared" si="81"/>
        <v>-3218.5414583333331</v>
      </c>
      <c r="J110" s="468">
        <f t="shared" si="81"/>
        <v>-3218.5414583333331</v>
      </c>
      <c r="K110" s="468">
        <f t="shared" si="81"/>
        <v>-3218.5414583333331</v>
      </c>
      <c r="L110" s="468">
        <f t="shared" si="81"/>
        <v>-3218.5414583333331</v>
      </c>
      <c r="M110" s="468">
        <f t="shared" si="81"/>
        <v>-3218.5414583333331</v>
      </c>
      <c r="N110" s="468">
        <f t="shared" si="81"/>
        <v>-3218.5414583333331</v>
      </c>
      <c r="O110" s="468">
        <f t="shared" si="81"/>
        <v>-3218.5414583333331</v>
      </c>
      <c r="P110" s="468">
        <f t="shared" si="81"/>
        <v>-3218.5414583333331</v>
      </c>
      <c r="Q110" s="468">
        <f t="shared" si="81"/>
        <v>-3218.5414583333331</v>
      </c>
      <c r="R110" s="468">
        <f t="shared" si="81"/>
        <v>-3218.5414583333331</v>
      </c>
      <c r="S110" s="468">
        <f t="shared" si="81"/>
        <v>-3442.1445770833343</v>
      </c>
      <c r="T110" s="468">
        <f t="shared" si="81"/>
        <v>-3442.1445770833343</v>
      </c>
      <c r="U110" s="468">
        <f t="shared" si="81"/>
        <v>-3442.1445770833343</v>
      </c>
      <c r="V110" s="468">
        <f t="shared" si="81"/>
        <v>-3442.1445770833343</v>
      </c>
      <c r="W110" s="468">
        <f t="shared" si="81"/>
        <v>-3442.1445770833343</v>
      </c>
      <c r="X110" s="468">
        <f t="shared" si="81"/>
        <v>-3442.1445770833343</v>
      </c>
      <c r="Y110" s="468">
        <f t="shared" si="81"/>
        <v>-3442.1445770833343</v>
      </c>
      <c r="Z110" s="468">
        <f t="shared" si="81"/>
        <v>-3442.1445770833343</v>
      </c>
      <c r="AA110" s="468">
        <f t="shared" si="81"/>
        <v>-3442.1445770833343</v>
      </c>
      <c r="AB110" s="468">
        <f t="shared" si="81"/>
        <v>-3442.1445770833343</v>
      </c>
      <c r="AC110" s="468">
        <f t="shared" si="81"/>
        <v>-3442.1445770833343</v>
      </c>
      <c r="AD110" s="468">
        <f t="shared" si="81"/>
        <v>-3442.1445770833343</v>
      </c>
      <c r="AE110" s="468">
        <f t="shared" si="81"/>
        <v>-3672.4557893958322</v>
      </c>
      <c r="AF110" s="468">
        <f t="shared" si="81"/>
        <v>-3672.4557893958322</v>
      </c>
      <c r="AG110" s="468">
        <f t="shared" si="81"/>
        <v>-3672.4557893958322</v>
      </c>
      <c r="AH110" s="468">
        <f t="shared" si="81"/>
        <v>-3672.4557893958322</v>
      </c>
      <c r="AI110" s="468">
        <f t="shared" si="81"/>
        <v>-3672.4557893958322</v>
      </c>
      <c r="AJ110" s="468">
        <f t="shared" si="81"/>
        <v>-3672.4557893958322</v>
      </c>
      <c r="AK110" s="468">
        <f t="shared" si="81"/>
        <v>-3672.4557893958322</v>
      </c>
      <c r="AL110" s="468">
        <f t="shared" si="81"/>
        <v>-3672.4557893958322</v>
      </c>
      <c r="AM110" s="468">
        <f t="shared" ref="AM110:CX110" si="82">-MIN(AM81*$D$127,SUM(AM107:AM109))</f>
        <v>-3672.4557893958322</v>
      </c>
      <c r="AN110" s="468">
        <f t="shared" si="82"/>
        <v>-3672.4557893958322</v>
      </c>
      <c r="AO110" s="468">
        <f t="shared" si="82"/>
        <v>-3672.4557893958322</v>
      </c>
      <c r="AP110" s="468">
        <f t="shared" si="82"/>
        <v>-3672.4557893958322</v>
      </c>
      <c r="AQ110" s="468">
        <f t="shared" si="82"/>
        <v>-3909.676338077707</v>
      </c>
      <c r="AR110" s="468">
        <f t="shared" si="82"/>
        <v>-3909.676338077707</v>
      </c>
      <c r="AS110" s="468">
        <f t="shared" si="82"/>
        <v>-3909.676338077707</v>
      </c>
      <c r="AT110" s="468">
        <f t="shared" si="82"/>
        <v>-3909.676338077707</v>
      </c>
      <c r="AU110" s="468">
        <f t="shared" si="82"/>
        <v>-3909.676338077707</v>
      </c>
      <c r="AV110" s="468">
        <f t="shared" si="82"/>
        <v>-3909.676338077707</v>
      </c>
      <c r="AW110" s="468">
        <f t="shared" si="82"/>
        <v>-3909.676338077707</v>
      </c>
      <c r="AX110" s="468">
        <f t="shared" si="82"/>
        <v>-3909.676338077707</v>
      </c>
      <c r="AY110" s="468">
        <f t="shared" si="82"/>
        <v>-3909.676338077707</v>
      </c>
      <c r="AZ110" s="468">
        <f t="shared" si="82"/>
        <v>-3909.676338077707</v>
      </c>
      <c r="BA110" s="468">
        <f t="shared" si="82"/>
        <v>-3909.676338077707</v>
      </c>
      <c r="BB110" s="468">
        <f t="shared" si="82"/>
        <v>-3909.676338077707</v>
      </c>
      <c r="BC110" s="468">
        <f t="shared" si="82"/>
        <v>-2169.2861690817131</v>
      </c>
      <c r="BD110" s="468">
        <f t="shared" si="82"/>
        <v>-2169.2861690817131</v>
      </c>
      <c r="BE110" s="468">
        <f t="shared" si="82"/>
        <v>-2169.2861690817131</v>
      </c>
      <c r="BF110" s="468">
        <f t="shared" si="82"/>
        <v>-2169.2861690817131</v>
      </c>
      <c r="BG110" s="468">
        <f t="shared" si="82"/>
        <v>-2169.2861690817131</v>
      </c>
      <c r="BH110" s="468">
        <f t="shared" si="82"/>
        <v>-2169.2861690817131</v>
      </c>
      <c r="BI110" s="468">
        <f t="shared" si="82"/>
        <v>-2169.2861690817131</v>
      </c>
      <c r="BJ110" s="468">
        <f t="shared" si="82"/>
        <v>-2169.2861690817131</v>
      </c>
      <c r="BK110" s="468">
        <f t="shared" si="82"/>
        <v>-2169.2861690817131</v>
      </c>
      <c r="BL110" s="468">
        <f t="shared" si="82"/>
        <v>-2169.2861690817131</v>
      </c>
      <c r="BM110" s="468">
        <f t="shared" si="82"/>
        <v>-2169.2861690817131</v>
      </c>
      <c r="BN110" s="468">
        <f t="shared" si="82"/>
        <v>-429162.28835146123</v>
      </c>
      <c r="BO110" s="468">
        <f t="shared" si="82"/>
        <v>0</v>
      </c>
      <c r="BP110" s="468">
        <f t="shared" si="82"/>
        <v>0</v>
      </c>
      <c r="BQ110" s="468">
        <f t="shared" si="82"/>
        <v>0</v>
      </c>
      <c r="BR110" s="468">
        <f t="shared" si="82"/>
        <v>0</v>
      </c>
      <c r="BS110" s="468">
        <f t="shared" si="82"/>
        <v>0</v>
      </c>
      <c r="BT110" s="468">
        <f t="shared" si="82"/>
        <v>0</v>
      </c>
      <c r="BU110" s="468">
        <f t="shared" si="82"/>
        <v>0</v>
      </c>
      <c r="BV110" s="468">
        <f t="shared" si="82"/>
        <v>0</v>
      </c>
      <c r="BW110" s="468">
        <f t="shared" si="82"/>
        <v>0</v>
      </c>
      <c r="BX110" s="468">
        <f t="shared" si="82"/>
        <v>0</v>
      </c>
      <c r="BY110" s="468">
        <f t="shared" si="82"/>
        <v>0</v>
      </c>
      <c r="BZ110" s="468">
        <f t="shared" si="82"/>
        <v>0</v>
      </c>
      <c r="CA110" s="468">
        <f t="shared" si="82"/>
        <v>0</v>
      </c>
      <c r="CB110" s="468">
        <f t="shared" si="82"/>
        <v>0</v>
      </c>
      <c r="CC110" s="468">
        <f t="shared" si="82"/>
        <v>0</v>
      </c>
      <c r="CD110" s="468">
        <f t="shared" si="82"/>
        <v>0</v>
      </c>
      <c r="CE110" s="468">
        <f t="shared" si="82"/>
        <v>0</v>
      </c>
      <c r="CF110" s="468">
        <f t="shared" si="82"/>
        <v>0</v>
      </c>
      <c r="CG110" s="468">
        <f t="shared" si="82"/>
        <v>0</v>
      </c>
      <c r="CH110" s="468">
        <f t="shared" si="82"/>
        <v>0</v>
      </c>
      <c r="CI110" s="468">
        <f t="shared" si="82"/>
        <v>0</v>
      </c>
      <c r="CJ110" s="468">
        <f t="shared" si="82"/>
        <v>0</v>
      </c>
      <c r="CK110" s="468">
        <f t="shared" si="82"/>
        <v>0</v>
      </c>
      <c r="CL110" s="468">
        <f t="shared" si="82"/>
        <v>0</v>
      </c>
      <c r="CM110" s="468">
        <f t="shared" si="82"/>
        <v>0</v>
      </c>
      <c r="CN110" s="468">
        <f t="shared" si="82"/>
        <v>0</v>
      </c>
      <c r="CO110" s="468">
        <f t="shared" si="82"/>
        <v>0</v>
      </c>
      <c r="CP110" s="468">
        <f t="shared" si="82"/>
        <v>0</v>
      </c>
      <c r="CQ110" s="468">
        <f t="shared" si="82"/>
        <v>0</v>
      </c>
      <c r="CR110" s="468">
        <f t="shared" si="82"/>
        <v>0</v>
      </c>
      <c r="CS110" s="468">
        <f t="shared" si="82"/>
        <v>0</v>
      </c>
      <c r="CT110" s="468">
        <f t="shared" si="82"/>
        <v>0</v>
      </c>
      <c r="CU110" s="468">
        <f t="shared" si="82"/>
        <v>0</v>
      </c>
      <c r="CV110" s="468">
        <f t="shared" si="82"/>
        <v>0</v>
      </c>
      <c r="CW110" s="468">
        <f t="shared" si="82"/>
        <v>0</v>
      </c>
      <c r="CX110" s="468">
        <f t="shared" si="82"/>
        <v>0</v>
      </c>
      <c r="CY110" s="468">
        <f t="shared" ref="CY110:DV110" si="83">-MIN(CY81*$D$127,SUM(CY107:CY109))</f>
        <v>0</v>
      </c>
      <c r="CZ110" s="468">
        <f t="shared" si="83"/>
        <v>0</v>
      </c>
      <c r="DA110" s="468">
        <f t="shared" si="83"/>
        <v>0</v>
      </c>
      <c r="DB110" s="468">
        <f t="shared" si="83"/>
        <v>0</v>
      </c>
      <c r="DC110" s="468">
        <f t="shared" si="83"/>
        <v>0</v>
      </c>
      <c r="DD110" s="468">
        <f t="shared" si="83"/>
        <v>0</v>
      </c>
      <c r="DE110" s="468">
        <f t="shared" si="83"/>
        <v>0</v>
      </c>
      <c r="DF110" s="468">
        <f t="shared" si="83"/>
        <v>0</v>
      </c>
      <c r="DG110" s="468">
        <f t="shared" si="83"/>
        <v>0</v>
      </c>
      <c r="DH110" s="468">
        <f t="shared" si="83"/>
        <v>0</v>
      </c>
      <c r="DI110" s="468">
        <f t="shared" si="83"/>
        <v>0</v>
      </c>
      <c r="DJ110" s="468">
        <f t="shared" si="83"/>
        <v>0</v>
      </c>
      <c r="DK110" s="468">
        <f t="shared" si="83"/>
        <v>0</v>
      </c>
      <c r="DL110" s="468">
        <f t="shared" si="83"/>
        <v>0</v>
      </c>
      <c r="DM110" s="468">
        <f t="shared" si="83"/>
        <v>0</v>
      </c>
      <c r="DN110" s="468">
        <f t="shared" si="83"/>
        <v>0</v>
      </c>
      <c r="DO110" s="468">
        <f t="shared" si="83"/>
        <v>0</v>
      </c>
      <c r="DP110" s="468">
        <f t="shared" si="83"/>
        <v>0</v>
      </c>
      <c r="DQ110" s="468">
        <f t="shared" si="83"/>
        <v>0</v>
      </c>
      <c r="DR110" s="468">
        <f t="shared" si="83"/>
        <v>0</v>
      </c>
      <c r="DS110" s="468">
        <f t="shared" si="83"/>
        <v>0</v>
      </c>
      <c r="DT110" s="468">
        <f t="shared" si="83"/>
        <v>0</v>
      </c>
      <c r="DU110" s="468">
        <f t="shared" si="83"/>
        <v>0</v>
      </c>
      <c r="DV110" s="468">
        <f t="shared" si="83"/>
        <v>0</v>
      </c>
      <c r="DW110" s="322" t="s">
        <v>372</v>
      </c>
    </row>
    <row r="111" spans="3:127" ht="17.25" hidden="1" outlineLevel="1" thickBot="1" x14ac:dyDescent="0.35">
      <c r="C111" s="365" t="s">
        <v>352</v>
      </c>
      <c r="D111" s="470"/>
      <c r="E111" s="415">
        <f>SUM(E108:E110)</f>
        <v>0</v>
      </c>
      <c r="F111" s="415">
        <f t="shared" ref="F111:BQ111" si="84">SUM(F107:F110)</f>
        <v>455750</v>
      </c>
      <c r="G111" s="415">
        <f t="shared" si="84"/>
        <v>452531.45854166668</v>
      </c>
      <c r="H111" s="415">
        <f t="shared" si="84"/>
        <v>449312.91708333336</v>
      </c>
      <c r="I111" s="415">
        <f t="shared" si="84"/>
        <v>454822.97408521263</v>
      </c>
      <c r="J111" s="415">
        <f t="shared" si="84"/>
        <v>451604.43262687931</v>
      </c>
      <c r="K111" s="415">
        <f t="shared" si="84"/>
        <v>448385.89116854599</v>
      </c>
      <c r="L111" s="415">
        <f t="shared" si="84"/>
        <v>453877.93925800646</v>
      </c>
      <c r="M111" s="415">
        <f t="shared" si="84"/>
        <v>450659.39779967314</v>
      </c>
      <c r="N111" s="415">
        <f t="shared" si="84"/>
        <v>447440.85634133982</v>
      </c>
      <c r="O111" s="415">
        <f t="shared" si="84"/>
        <v>452914.54566739959</v>
      </c>
      <c r="P111" s="415">
        <f t="shared" si="84"/>
        <v>449696.00420906628</v>
      </c>
      <c r="Q111" s="415">
        <f t="shared" si="84"/>
        <v>446477.46275073296</v>
      </c>
      <c r="R111" s="415">
        <f t="shared" si="84"/>
        <v>451932.43666601367</v>
      </c>
      <c r="S111" s="415">
        <f t="shared" si="84"/>
        <v>448490.29208893032</v>
      </c>
      <c r="T111" s="415">
        <f t="shared" si="84"/>
        <v>445048.14751184697</v>
      </c>
      <c r="U111" s="415">
        <f t="shared" si="84"/>
        <v>450251.75164884276</v>
      </c>
      <c r="V111" s="415">
        <f t="shared" si="84"/>
        <v>446809.60707175941</v>
      </c>
      <c r="W111" s="415">
        <f t="shared" si="84"/>
        <v>443367.46249467606</v>
      </c>
      <c r="X111" s="415">
        <f t="shared" si="84"/>
        <v>448538.41672534775</v>
      </c>
      <c r="Y111" s="415">
        <f t="shared" si="84"/>
        <v>445096.2721482644</v>
      </c>
      <c r="Z111" s="415">
        <f t="shared" si="84"/>
        <v>441654.12757118104</v>
      </c>
      <c r="AA111" s="415">
        <f t="shared" si="84"/>
        <v>446791.79762059182</v>
      </c>
      <c r="AB111" s="415">
        <f t="shared" si="84"/>
        <v>443349.65304350847</v>
      </c>
      <c r="AC111" s="415">
        <f t="shared" si="84"/>
        <v>439907.50846642512</v>
      </c>
      <c r="AD111" s="415">
        <f t="shared" si="84"/>
        <v>445011.24773786648</v>
      </c>
      <c r="AE111" s="415">
        <f t="shared" si="84"/>
        <v>441338.79194847064</v>
      </c>
      <c r="AF111" s="415">
        <f t="shared" si="84"/>
        <v>437666.3361590748</v>
      </c>
      <c r="AG111" s="415">
        <f t="shared" si="84"/>
        <v>442496.22597924544</v>
      </c>
      <c r="AH111" s="415">
        <f t="shared" si="84"/>
        <v>438823.7701898496</v>
      </c>
      <c r="AI111" s="415">
        <f t="shared" si="84"/>
        <v>435151.31440045376</v>
      </c>
      <c r="AJ111" s="415">
        <f t="shared" si="84"/>
        <v>439932.34603245521</v>
      </c>
      <c r="AK111" s="415">
        <f t="shared" si="84"/>
        <v>436259.89024305937</v>
      </c>
      <c r="AL111" s="415">
        <f t="shared" si="84"/>
        <v>432587.43445366353</v>
      </c>
      <c r="AM111" s="415">
        <f t="shared" si="84"/>
        <v>437318.65875161148</v>
      </c>
      <c r="AN111" s="415">
        <f t="shared" si="84"/>
        <v>433646.20296221564</v>
      </c>
      <c r="AO111" s="415">
        <f t="shared" si="84"/>
        <v>429973.7471728198</v>
      </c>
      <c r="AP111" s="415">
        <f t="shared" si="84"/>
        <v>434654.19655220286</v>
      </c>
      <c r="AQ111" s="415">
        <f t="shared" si="84"/>
        <v>430744.52021412516</v>
      </c>
      <c r="AR111" s="415">
        <f t="shared" si="84"/>
        <v>426834.84387604747</v>
      </c>
      <c r="AS111" s="415">
        <f t="shared" si="84"/>
        <v>431217.09465461341</v>
      </c>
      <c r="AT111" s="415">
        <f t="shared" si="84"/>
        <v>427307.41831653571</v>
      </c>
      <c r="AU111" s="415">
        <f t="shared" si="84"/>
        <v>423397.74197845801</v>
      </c>
      <c r="AV111" s="415">
        <f t="shared" si="84"/>
        <v>427713.22173578193</v>
      </c>
      <c r="AW111" s="415">
        <f t="shared" si="84"/>
        <v>423803.54539770423</v>
      </c>
      <c r="AX111" s="415">
        <f t="shared" si="84"/>
        <v>419893.86905962654</v>
      </c>
      <c r="AY111" s="415">
        <f t="shared" si="84"/>
        <v>424141.2806653321</v>
      </c>
      <c r="AZ111" s="415">
        <f t="shared" si="84"/>
        <v>420231.6043272544</v>
      </c>
      <c r="BA111" s="415">
        <f t="shared" si="84"/>
        <v>416321.92798917671</v>
      </c>
      <c r="BB111" s="415">
        <f t="shared" si="84"/>
        <v>420499.94911412359</v>
      </c>
      <c r="BC111" s="415">
        <f t="shared" si="84"/>
        <v>418330.6629450419</v>
      </c>
      <c r="BD111" s="415">
        <f t="shared" si="84"/>
        <v>416161.37677596021</v>
      </c>
      <c r="BE111" s="415">
        <f t="shared" si="84"/>
        <v>422076.6691142284</v>
      </c>
      <c r="BF111" s="415">
        <f t="shared" si="84"/>
        <v>419907.3829451467</v>
      </c>
      <c r="BG111" s="415">
        <f t="shared" si="84"/>
        <v>417738.09677606501</v>
      </c>
      <c r="BH111" s="415">
        <f t="shared" si="84"/>
        <v>423684.01933937642</v>
      </c>
      <c r="BI111" s="415">
        <f t="shared" si="84"/>
        <v>421514.73317029473</v>
      </c>
      <c r="BJ111" s="415">
        <f t="shared" si="84"/>
        <v>419345.44700121303</v>
      </c>
      <c r="BK111" s="415">
        <f t="shared" si="84"/>
        <v>425322.59482907131</v>
      </c>
      <c r="BL111" s="415">
        <f t="shared" si="84"/>
        <v>423153.30865998962</v>
      </c>
      <c r="BM111" s="415">
        <f t="shared" si="84"/>
        <v>420984.02249090793</v>
      </c>
      <c r="BN111" s="415">
        <f t="shared" si="84"/>
        <v>0</v>
      </c>
      <c r="BO111" s="415">
        <f t="shared" si="84"/>
        <v>0</v>
      </c>
      <c r="BP111" s="415">
        <f t="shared" si="84"/>
        <v>0</v>
      </c>
      <c r="BQ111" s="415">
        <f t="shared" si="84"/>
        <v>0</v>
      </c>
      <c r="BR111" s="415">
        <f t="shared" ref="BR111:DV111" si="85">SUM(BR107:BR110)</f>
        <v>0</v>
      </c>
      <c r="BS111" s="415">
        <f t="shared" si="85"/>
        <v>0</v>
      </c>
      <c r="BT111" s="415">
        <f t="shared" si="85"/>
        <v>0</v>
      </c>
      <c r="BU111" s="415">
        <f t="shared" si="85"/>
        <v>0</v>
      </c>
      <c r="BV111" s="415">
        <f t="shared" si="85"/>
        <v>0</v>
      </c>
      <c r="BW111" s="415">
        <f t="shared" si="85"/>
        <v>0</v>
      </c>
      <c r="BX111" s="415">
        <f t="shared" si="85"/>
        <v>0</v>
      </c>
      <c r="BY111" s="415">
        <f t="shared" si="85"/>
        <v>0</v>
      </c>
      <c r="BZ111" s="415">
        <f t="shared" si="85"/>
        <v>0</v>
      </c>
      <c r="CA111" s="415">
        <f t="shared" si="85"/>
        <v>0</v>
      </c>
      <c r="CB111" s="415">
        <f t="shared" si="85"/>
        <v>0</v>
      </c>
      <c r="CC111" s="415">
        <f t="shared" si="85"/>
        <v>0</v>
      </c>
      <c r="CD111" s="415">
        <f t="shared" si="85"/>
        <v>0</v>
      </c>
      <c r="CE111" s="415">
        <f t="shared" si="85"/>
        <v>0</v>
      </c>
      <c r="CF111" s="415">
        <f t="shared" si="85"/>
        <v>0</v>
      </c>
      <c r="CG111" s="415">
        <f t="shared" si="85"/>
        <v>0</v>
      </c>
      <c r="CH111" s="415">
        <f t="shared" si="85"/>
        <v>0</v>
      </c>
      <c r="CI111" s="415">
        <f t="shared" si="85"/>
        <v>0</v>
      </c>
      <c r="CJ111" s="415">
        <f t="shared" si="85"/>
        <v>0</v>
      </c>
      <c r="CK111" s="415">
        <f t="shared" si="85"/>
        <v>0</v>
      </c>
      <c r="CL111" s="415">
        <f t="shared" si="85"/>
        <v>0</v>
      </c>
      <c r="CM111" s="415">
        <f t="shared" si="85"/>
        <v>0</v>
      </c>
      <c r="CN111" s="415">
        <f t="shared" si="85"/>
        <v>0</v>
      </c>
      <c r="CO111" s="415">
        <f t="shared" si="85"/>
        <v>0</v>
      </c>
      <c r="CP111" s="415">
        <f t="shared" si="85"/>
        <v>0</v>
      </c>
      <c r="CQ111" s="415">
        <f t="shared" si="85"/>
        <v>0</v>
      </c>
      <c r="CR111" s="415">
        <f t="shared" si="85"/>
        <v>0</v>
      </c>
      <c r="CS111" s="415">
        <f t="shared" si="85"/>
        <v>0</v>
      </c>
      <c r="CT111" s="415">
        <f t="shared" si="85"/>
        <v>0</v>
      </c>
      <c r="CU111" s="415">
        <f t="shared" si="85"/>
        <v>0</v>
      </c>
      <c r="CV111" s="415">
        <f t="shared" si="85"/>
        <v>0</v>
      </c>
      <c r="CW111" s="415">
        <f t="shared" si="85"/>
        <v>0</v>
      </c>
      <c r="CX111" s="415">
        <f t="shared" si="85"/>
        <v>0</v>
      </c>
      <c r="CY111" s="415">
        <f t="shared" si="85"/>
        <v>0</v>
      </c>
      <c r="CZ111" s="415">
        <f t="shared" si="85"/>
        <v>0</v>
      </c>
      <c r="DA111" s="415">
        <f t="shared" si="85"/>
        <v>0</v>
      </c>
      <c r="DB111" s="415">
        <f t="shared" si="85"/>
        <v>0</v>
      </c>
      <c r="DC111" s="415">
        <f t="shared" si="85"/>
        <v>0</v>
      </c>
      <c r="DD111" s="415">
        <f t="shared" si="85"/>
        <v>0</v>
      </c>
      <c r="DE111" s="415">
        <f t="shared" si="85"/>
        <v>0</v>
      </c>
      <c r="DF111" s="415">
        <f t="shared" si="85"/>
        <v>0</v>
      </c>
      <c r="DG111" s="415">
        <f t="shared" si="85"/>
        <v>0</v>
      </c>
      <c r="DH111" s="415">
        <f t="shared" si="85"/>
        <v>0</v>
      </c>
      <c r="DI111" s="415">
        <f t="shared" si="85"/>
        <v>0</v>
      </c>
      <c r="DJ111" s="415">
        <f t="shared" si="85"/>
        <v>0</v>
      </c>
      <c r="DK111" s="415">
        <f t="shared" si="85"/>
        <v>0</v>
      </c>
      <c r="DL111" s="415">
        <f t="shared" si="85"/>
        <v>0</v>
      </c>
      <c r="DM111" s="415">
        <f t="shared" si="85"/>
        <v>0</v>
      </c>
      <c r="DN111" s="415">
        <f t="shared" si="85"/>
        <v>0</v>
      </c>
      <c r="DO111" s="415">
        <f t="shared" si="85"/>
        <v>0</v>
      </c>
      <c r="DP111" s="415">
        <f t="shared" si="85"/>
        <v>0</v>
      </c>
      <c r="DQ111" s="415">
        <f t="shared" si="85"/>
        <v>0</v>
      </c>
      <c r="DR111" s="415">
        <f t="shared" si="85"/>
        <v>0</v>
      </c>
      <c r="DS111" s="415">
        <f t="shared" si="85"/>
        <v>0</v>
      </c>
      <c r="DT111" s="415">
        <f t="shared" si="85"/>
        <v>0</v>
      </c>
      <c r="DU111" s="415">
        <f t="shared" si="85"/>
        <v>0</v>
      </c>
      <c r="DV111" s="415">
        <f t="shared" si="85"/>
        <v>0</v>
      </c>
      <c r="DW111" s="322" t="s">
        <v>372</v>
      </c>
    </row>
    <row r="112" spans="3:127" ht="17.25" hidden="1" outlineLevel="1" thickTop="1" x14ac:dyDescent="0.3">
      <c r="C112" s="365"/>
      <c r="D112" s="470"/>
      <c r="E112" s="463"/>
      <c r="F112" s="374"/>
      <c r="G112" s="374"/>
      <c r="H112" s="463"/>
      <c r="I112" s="463"/>
      <c r="J112" s="463"/>
      <c r="K112" s="463"/>
      <c r="L112" s="463"/>
      <c r="M112" s="463"/>
      <c r="N112" s="463"/>
      <c r="O112" s="463"/>
      <c r="P112" s="463"/>
      <c r="Q112" s="463"/>
      <c r="R112" s="463"/>
      <c r="S112" s="463"/>
      <c r="T112" s="463"/>
      <c r="U112" s="463"/>
      <c r="V112" s="463"/>
      <c r="W112" s="463"/>
      <c r="X112" s="463"/>
      <c r="Y112" s="463"/>
      <c r="Z112" s="463"/>
      <c r="AA112" s="463"/>
      <c r="AB112" s="463"/>
      <c r="AC112" s="463"/>
      <c r="AD112" s="463"/>
      <c r="AE112" s="463"/>
      <c r="AF112" s="463"/>
      <c r="AG112" s="463"/>
      <c r="AH112" s="463"/>
      <c r="AI112" s="463"/>
      <c r="AJ112" s="463"/>
      <c r="AK112" s="463"/>
      <c r="AL112" s="463"/>
      <c r="AM112" s="463"/>
      <c r="AN112" s="463"/>
      <c r="AO112" s="463"/>
      <c r="AP112" s="463"/>
      <c r="AQ112" s="463"/>
      <c r="AR112" s="463"/>
      <c r="AS112" s="463"/>
      <c r="AT112" s="463"/>
      <c r="AU112" s="463"/>
      <c r="AV112" s="463"/>
      <c r="AW112" s="463"/>
      <c r="AX112" s="463"/>
      <c r="AY112" s="463"/>
      <c r="AZ112" s="463"/>
      <c r="BA112" s="463"/>
      <c r="BB112" s="463"/>
      <c r="BC112" s="463"/>
      <c r="BD112" s="463"/>
      <c r="BE112" s="463"/>
      <c r="BF112" s="463"/>
      <c r="BG112" s="463"/>
      <c r="BH112" s="463"/>
      <c r="BI112" s="463"/>
      <c r="BJ112" s="463"/>
      <c r="BK112" s="463"/>
      <c r="BL112" s="463"/>
      <c r="BM112" s="463"/>
      <c r="BN112" s="463"/>
      <c r="BO112" s="463"/>
      <c r="BP112" s="463"/>
      <c r="BQ112" s="463"/>
      <c r="BR112" s="463"/>
      <c r="BS112" s="463"/>
      <c r="BT112" s="463"/>
      <c r="BU112" s="463"/>
      <c r="BV112" s="463"/>
      <c r="BW112" s="463"/>
      <c r="BX112" s="463"/>
      <c r="BY112" s="463"/>
      <c r="BZ112" s="463"/>
      <c r="CA112" s="463"/>
      <c r="CB112" s="463"/>
      <c r="CC112" s="463"/>
      <c r="CD112" s="463"/>
      <c r="CE112" s="463"/>
      <c r="CF112" s="463"/>
      <c r="CG112" s="463"/>
      <c r="CH112" s="463"/>
      <c r="CI112" s="463"/>
      <c r="CJ112" s="463"/>
      <c r="CK112" s="463"/>
      <c r="CL112" s="463"/>
      <c r="CM112" s="463"/>
      <c r="CN112" s="463"/>
      <c r="CO112" s="463"/>
      <c r="CP112" s="463"/>
      <c r="CQ112" s="463"/>
      <c r="CR112" s="463"/>
      <c r="CS112" s="463"/>
      <c r="CT112" s="463"/>
      <c r="CU112" s="463"/>
      <c r="CV112" s="463"/>
      <c r="CW112" s="463"/>
      <c r="CX112" s="463"/>
      <c r="CY112" s="463"/>
      <c r="CZ112" s="463"/>
      <c r="DA112" s="463"/>
      <c r="DB112" s="463"/>
      <c r="DC112" s="463"/>
      <c r="DD112" s="463"/>
      <c r="DE112" s="463"/>
      <c r="DF112" s="463"/>
      <c r="DG112" s="463"/>
      <c r="DH112" s="463"/>
      <c r="DI112" s="463"/>
      <c r="DJ112" s="463"/>
      <c r="DK112" s="463"/>
      <c r="DL112" s="463"/>
      <c r="DM112" s="463"/>
      <c r="DN112" s="463"/>
      <c r="DO112" s="463"/>
      <c r="DP112" s="463"/>
      <c r="DQ112" s="463"/>
      <c r="DR112" s="463"/>
      <c r="DS112" s="463"/>
      <c r="DT112" s="463"/>
      <c r="DU112" s="463"/>
      <c r="DV112" s="463"/>
      <c r="DW112" s="322" t="s">
        <v>372</v>
      </c>
    </row>
    <row r="113" spans="3:127" hidden="1" outlineLevel="1" x14ac:dyDescent="0.3">
      <c r="C113" s="382" t="s">
        <v>402</v>
      </c>
      <c r="D113" s="395"/>
      <c r="E113" s="471"/>
      <c r="F113" s="463"/>
      <c r="G113" s="463"/>
      <c r="H113" s="463"/>
      <c r="I113" s="463"/>
      <c r="J113" s="463"/>
      <c r="K113" s="463"/>
      <c r="L113" s="463"/>
      <c r="M113" s="463"/>
      <c r="N113" s="463"/>
      <c r="O113" s="463"/>
      <c r="P113" s="463"/>
      <c r="Q113" s="463"/>
      <c r="R113" s="463"/>
      <c r="S113" s="463"/>
      <c r="T113" s="463"/>
      <c r="U113" s="463"/>
      <c r="V113" s="463"/>
      <c r="W113" s="463"/>
      <c r="X113" s="463"/>
      <c r="Y113" s="463"/>
      <c r="Z113" s="463"/>
      <c r="AA113" s="463"/>
      <c r="AB113" s="463"/>
      <c r="AC113" s="463"/>
      <c r="AD113" s="463"/>
      <c r="AE113" s="463"/>
      <c r="AF113" s="463"/>
      <c r="AG113" s="463"/>
      <c r="AH113" s="463"/>
      <c r="AI113" s="463"/>
      <c r="AJ113" s="463"/>
      <c r="AK113" s="463"/>
      <c r="AL113" s="463"/>
      <c r="AM113" s="374"/>
      <c r="AN113" s="374"/>
      <c r="AO113" s="374"/>
      <c r="AP113" s="472"/>
      <c r="AQ113" s="472"/>
      <c r="AR113" s="472"/>
      <c r="AS113" s="472"/>
      <c r="AT113" s="472"/>
      <c r="AU113" s="472"/>
      <c r="AV113" s="473" t="s">
        <v>372</v>
      </c>
      <c r="AW113" s="360"/>
      <c r="AX113" s="360"/>
      <c r="AY113" s="360"/>
      <c r="AZ113" s="360"/>
      <c r="BA113" s="360"/>
      <c r="BB113" s="360"/>
      <c r="BC113" s="360"/>
      <c r="BD113" s="360"/>
      <c r="BE113" s="360"/>
      <c r="BF113" s="360"/>
      <c r="BG113" s="360"/>
      <c r="BH113" s="360"/>
      <c r="BI113" s="360"/>
      <c r="BJ113" s="360"/>
      <c r="BK113" s="360"/>
      <c r="BL113" s="360"/>
      <c r="BM113" s="360"/>
      <c r="BN113" s="360"/>
      <c r="BO113" s="360"/>
      <c r="BP113" s="360"/>
      <c r="BQ113" s="360"/>
      <c r="BR113" s="360"/>
      <c r="BS113" s="360"/>
      <c r="BT113" s="360"/>
      <c r="BU113" s="360"/>
      <c r="BV113" s="360"/>
      <c r="BW113" s="360"/>
      <c r="BX113" s="360"/>
      <c r="BY113" s="360"/>
      <c r="BZ113" s="360"/>
      <c r="CA113" s="360"/>
      <c r="CB113" s="360"/>
      <c r="CC113" s="360"/>
      <c r="CD113" s="360"/>
      <c r="CE113" s="360"/>
      <c r="CF113" s="360"/>
      <c r="CG113" s="360"/>
      <c r="CH113" s="360"/>
      <c r="CI113" s="360"/>
      <c r="CJ113" s="360"/>
      <c r="CK113" s="360"/>
      <c r="CL113" s="360"/>
      <c r="CM113" s="360"/>
      <c r="CN113" s="360"/>
      <c r="CO113" s="360"/>
      <c r="CP113" s="360"/>
      <c r="CQ113" s="360"/>
      <c r="CR113" s="360"/>
      <c r="CS113" s="360"/>
      <c r="CT113" s="360"/>
      <c r="CU113" s="360"/>
      <c r="CV113" s="360"/>
      <c r="CW113" s="360"/>
      <c r="CX113" s="360"/>
      <c r="CY113" s="360"/>
      <c r="CZ113" s="360"/>
      <c r="DA113" s="360"/>
      <c r="DB113" s="360"/>
      <c r="DC113" s="360"/>
      <c r="DD113" s="360"/>
      <c r="DE113" s="360"/>
      <c r="DF113" s="360"/>
      <c r="DG113" s="360"/>
      <c r="DH113" s="360"/>
      <c r="DI113" s="360"/>
      <c r="DJ113" s="360"/>
      <c r="DK113" s="360"/>
      <c r="DL113" s="360"/>
      <c r="DM113" s="360"/>
      <c r="DN113" s="360"/>
      <c r="DO113" s="360"/>
      <c r="DP113" s="360"/>
      <c r="DQ113" s="360"/>
      <c r="DR113" s="360"/>
      <c r="DS113" s="360"/>
      <c r="DT113" s="360"/>
      <c r="DU113" s="360"/>
      <c r="DV113" s="360"/>
      <c r="DW113" s="322" t="s">
        <v>372</v>
      </c>
    </row>
    <row r="114" spans="3:127" hidden="1" outlineLevel="1" x14ac:dyDescent="0.3">
      <c r="C114" s="374" t="s">
        <v>400</v>
      </c>
      <c r="D114" s="474"/>
      <c r="E114" s="467">
        <f>SUM(F114:BN114)</f>
        <v>455750</v>
      </c>
      <c r="F114" s="466">
        <f>F108</f>
        <v>455750</v>
      </c>
      <c r="G114" s="466">
        <f t="shared" ref="G114:BR114" si="86">G108</f>
        <v>0</v>
      </c>
      <c r="H114" s="466">
        <f t="shared" si="86"/>
        <v>0</v>
      </c>
      <c r="I114" s="466">
        <f t="shared" si="86"/>
        <v>0</v>
      </c>
      <c r="J114" s="466">
        <f t="shared" si="86"/>
        <v>0</v>
      </c>
      <c r="K114" s="466">
        <f t="shared" si="86"/>
        <v>0</v>
      </c>
      <c r="L114" s="466">
        <f t="shared" si="86"/>
        <v>0</v>
      </c>
      <c r="M114" s="466">
        <f t="shared" si="86"/>
        <v>0</v>
      </c>
      <c r="N114" s="466">
        <f t="shared" si="86"/>
        <v>0</v>
      </c>
      <c r="O114" s="466">
        <f t="shared" si="86"/>
        <v>0</v>
      </c>
      <c r="P114" s="466">
        <f t="shared" si="86"/>
        <v>0</v>
      </c>
      <c r="Q114" s="466">
        <f t="shared" si="86"/>
        <v>0</v>
      </c>
      <c r="R114" s="466">
        <f t="shared" si="86"/>
        <v>0</v>
      </c>
      <c r="S114" s="466">
        <f t="shared" si="86"/>
        <v>0</v>
      </c>
      <c r="T114" s="466">
        <f t="shared" si="86"/>
        <v>0</v>
      </c>
      <c r="U114" s="466">
        <f t="shared" si="86"/>
        <v>0</v>
      </c>
      <c r="V114" s="466">
        <f t="shared" si="86"/>
        <v>0</v>
      </c>
      <c r="W114" s="466">
        <f t="shared" si="86"/>
        <v>0</v>
      </c>
      <c r="X114" s="466">
        <f t="shared" si="86"/>
        <v>0</v>
      </c>
      <c r="Y114" s="466">
        <f t="shared" si="86"/>
        <v>0</v>
      </c>
      <c r="Z114" s="466">
        <f t="shared" si="86"/>
        <v>0</v>
      </c>
      <c r="AA114" s="466">
        <f t="shared" si="86"/>
        <v>0</v>
      </c>
      <c r="AB114" s="466">
        <f t="shared" si="86"/>
        <v>0</v>
      </c>
      <c r="AC114" s="466">
        <f t="shared" si="86"/>
        <v>0</v>
      </c>
      <c r="AD114" s="466">
        <f t="shared" si="86"/>
        <v>0</v>
      </c>
      <c r="AE114" s="466">
        <f t="shared" si="86"/>
        <v>0</v>
      </c>
      <c r="AF114" s="466">
        <f t="shared" si="86"/>
        <v>0</v>
      </c>
      <c r="AG114" s="466">
        <f t="shared" si="86"/>
        <v>0</v>
      </c>
      <c r="AH114" s="466">
        <f t="shared" si="86"/>
        <v>0</v>
      </c>
      <c r="AI114" s="466">
        <f t="shared" si="86"/>
        <v>0</v>
      </c>
      <c r="AJ114" s="466">
        <f t="shared" si="86"/>
        <v>0</v>
      </c>
      <c r="AK114" s="466">
        <f t="shared" si="86"/>
        <v>0</v>
      </c>
      <c r="AL114" s="466">
        <f t="shared" si="86"/>
        <v>0</v>
      </c>
      <c r="AM114" s="466">
        <f t="shared" si="86"/>
        <v>0</v>
      </c>
      <c r="AN114" s="466">
        <f t="shared" si="86"/>
        <v>0</v>
      </c>
      <c r="AO114" s="466">
        <f t="shared" si="86"/>
        <v>0</v>
      </c>
      <c r="AP114" s="466">
        <f t="shared" si="86"/>
        <v>0</v>
      </c>
      <c r="AQ114" s="466">
        <f t="shared" si="86"/>
        <v>0</v>
      </c>
      <c r="AR114" s="466">
        <f t="shared" si="86"/>
        <v>0</v>
      </c>
      <c r="AS114" s="466">
        <f t="shared" si="86"/>
        <v>0</v>
      </c>
      <c r="AT114" s="466">
        <f t="shared" si="86"/>
        <v>0</v>
      </c>
      <c r="AU114" s="466">
        <f t="shared" si="86"/>
        <v>0</v>
      </c>
      <c r="AV114" s="466">
        <f t="shared" si="86"/>
        <v>0</v>
      </c>
      <c r="AW114" s="466">
        <f t="shared" si="86"/>
        <v>0</v>
      </c>
      <c r="AX114" s="466">
        <f t="shared" si="86"/>
        <v>0</v>
      </c>
      <c r="AY114" s="466">
        <f t="shared" si="86"/>
        <v>0</v>
      </c>
      <c r="AZ114" s="466">
        <f t="shared" si="86"/>
        <v>0</v>
      </c>
      <c r="BA114" s="466">
        <f t="shared" si="86"/>
        <v>0</v>
      </c>
      <c r="BB114" s="466">
        <f t="shared" si="86"/>
        <v>0</v>
      </c>
      <c r="BC114" s="466">
        <f t="shared" si="86"/>
        <v>0</v>
      </c>
      <c r="BD114" s="466">
        <f t="shared" si="86"/>
        <v>0</v>
      </c>
      <c r="BE114" s="466">
        <f t="shared" si="86"/>
        <v>0</v>
      </c>
      <c r="BF114" s="466">
        <f t="shared" si="86"/>
        <v>0</v>
      </c>
      <c r="BG114" s="466">
        <f t="shared" si="86"/>
        <v>0</v>
      </c>
      <c r="BH114" s="466">
        <f t="shared" si="86"/>
        <v>0</v>
      </c>
      <c r="BI114" s="466">
        <f t="shared" si="86"/>
        <v>0</v>
      </c>
      <c r="BJ114" s="466">
        <f t="shared" si="86"/>
        <v>0</v>
      </c>
      <c r="BK114" s="466">
        <f t="shared" si="86"/>
        <v>0</v>
      </c>
      <c r="BL114" s="466">
        <f t="shared" si="86"/>
        <v>0</v>
      </c>
      <c r="BM114" s="466">
        <f t="shared" si="86"/>
        <v>0</v>
      </c>
      <c r="BN114" s="466">
        <f t="shared" si="86"/>
        <v>0</v>
      </c>
      <c r="BO114" s="466">
        <f t="shared" si="86"/>
        <v>0</v>
      </c>
      <c r="BP114" s="466">
        <f t="shared" si="86"/>
        <v>0</v>
      </c>
      <c r="BQ114" s="466">
        <f t="shared" si="86"/>
        <v>0</v>
      </c>
      <c r="BR114" s="466">
        <f t="shared" si="86"/>
        <v>0</v>
      </c>
      <c r="BS114" s="466">
        <f t="shared" ref="BS114:DV114" si="87">BS108</f>
        <v>0</v>
      </c>
      <c r="BT114" s="466">
        <f t="shared" si="87"/>
        <v>0</v>
      </c>
      <c r="BU114" s="466">
        <f t="shared" si="87"/>
        <v>0</v>
      </c>
      <c r="BV114" s="466">
        <f t="shared" si="87"/>
        <v>0</v>
      </c>
      <c r="BW114" s="466">
        <f t="shared" si="87"/>
        <v>0</v>
      </c>
      <c r="BX114" s="466">
        <f t="shared" si="87"/>
        <v>0</v>
      </c>
      <c r="BY114" s="466">
        <f t="shared" si="87"/>
        <v>0</v>
      </c>
      <c r="BZ114" s="466">
        <f t="shared" si="87"/>
        <v>0</v>
      </c>
      <c r="CA114" s="466">
        <f t="shared" si="87"/>
        <v>0</v>
      </c>
      <c r="CB114" s="466">
        <f t="shared" si="87"/>
        <v>0</v>
      </c>
      <c r="CC114" s="466">
        <f t="shared" si="87"/>
        <v>0</v>
      </c>
      <c r="CD114" s="466">
        <f t="shared" si="87"/>
        <v>0</v>
      </c>
      <c r="CE114" s="466">
        <f t="shared" si="87"/>
        <v>0</v>
      </c>
      <c r="CF114" s="466">
        <f t="shared" si="87"/>
        <v>0</v>
      </c>
      <c r="CG114" s="466">
        <f t="shared" si="87"/>
        <v>0</v>
      </c>
      <c r="CH114" s="466">
        <f t="shared" si="87"/>
        <v>0</v>
      </c>
      <c r="CI114" s="466">
        <f t="shared" si="87"/>
        <v>0</v>
      </c>
      <c r="CJ114" s="466">
        <f t="shared" si="87"/>
        <v>0</v>
      </c>
      <c r="CK114" s="466">
        <f t="shared" si="87"/>
        <v>0</v>
      </c>
      <c r="CL114" s="466">
        <f t="shared" si="87"/>
        <v>0</v>
      </c>
      <c r="CM114" s="466">
        <f t="shared" si="87"/>
        <v>0</v>
      </c>
      <c r="CN114" s="466">
        <f t="shared" si="87"/>
        <v>0</v>
      </c>
      <c r="CO114" s="466">
        <f t="shared" si="87"/>
        <v>0</v>
      </c>
      <c r="CP114" s="466">
        <f t="shared" si="87"/>
        <v>0</v>
      </c>
      <c r="CQ114" s="466">
        <f t="shared" si="87"/>
        <v>0</v>
      </c>
      <c r="CR114" s="466">
        <f t="shared" si="87"/>
        <v>0</v>
      </c>
      <c r="CS114" s="466">
        <f t="shared" si="87"/>
        <v>0</v>
      </c>
      <c r="CT114" s="466">
        <f t="shared" si="87"/>
        <v>0</v>
      </c>
      <c r="CU114" s="466">
        <f t="shared" si="87"/>
        <v>0</v>
      </c>
      <c r="CV114" s="466">
        <f t="shared" si="87"/>
        <v>0</v>
      </c>
      <c r="CW114" s="466">
        <f t="shared" si="87"/>
        <v>0</v>
      </c>
      <c r="CX114" s="466">
        <f t="shared" si="87"/>
        <v>0</v>
      </c>
      <c r="CY114" s="466">
        <f t="shared" si="87"/>
        <v>0</v>
      </c>
      <c r="CZ114" s="466">
        <f t="shared" si="87"/>
        <v>0</v>
      </c>
      <c r="DA114" s="466">
        <f t="shared" si="87"/>
        <v>0</v>
      </c>
      <c r="DB114" s="466">
        <f t="shared" si="87"/>
        <v>0</v>
      </c>
      <c r="DC114" s="466">
        <f t="shared" si="87"/>
        <v>0</v>
      </c>
      <c r="DD114" s="466">
        <f t="shared" si="87"/>
        <v>0</v>
      </c>
      <c r="DE114" s="466">
        <f t="shared" si="87"/>
        <v>0</v>
      </c>
      <c r="DF114" s="466">
        <f t="shared" si="87"/>
        <v>0</v>
      </c>
      <c r="DG114" s="466">
        <f t="shared" si="87"/>
        <v>0</v>
      </c>
      <c r="DH114" s="466">
        <f t="shared" si="87"/>
        <v>0</v>
      </c>
      <c r="DI114" s="466">
        <f t="shared" si="87"/>
        <v>0</v>
      </c>
      <c r="DJ114" s="466">
        <f t="shared" si="87"/>
        <v>0</v>
      </c>
      <c r="DK114" s="466">
        <f t="shared" si="87"/>
        <v>0</v>
      </c>
      <c r="DL114" s="466">
        <f t="shared" si="87"/>
        <v>0</v>
      </c>
      <c r="DM114" s="466">
        <f t="shared" si="87"/>
        <v>0</v>
      </c>
      <c r="DN114" s="466">
        <f t="shared" si="87"/>
        <v>0</v>
      </c>
      <c r="DO114" s="466">
        <f t="shared" si="87"/>
        <v>0</v>
      </c>
      <c r="DP114" s="466">
        <f t="shared" si="87"/>
        <v>0</v>
      </c>
      <c r="DQ114" s="466">
        <f t="shared" si="87"/>
        <v>0</v>
      </c>
      <c r="DR114" s="466">
        <f t="shared" si="87"/>
        <v>0</v>
      </c>
      <c r="DS114" s="466">
        <f t="shared" si="87"/>
        <v>0</v>
      </c>
      <c r="DT114" s="466">
        <f t="shared" si="87"/>
        <v>0</v>
      </c>
      <c r="DU114" s="466">
        <f t="shared" si="87"/>
        <v>0</v>
      </c>
      <c r="DV114" s="466">
        <f t="shared" si="87"/>
        <v>0</v>
      </c>
      <c r="DW114" s="322" t="s">
        <v>372</v>
      </c>
    </row>
    <row r="115" spans="3:127" hidden="1" outlineLevel="1" x14ac:dyDescent="0.3">
      <c r="C115" s="374" t="s">
        <v>351</v>
      </c>
      <c r="D115" s="470"/>
      <c r="E115" s="463">
        <f>SUM(F115:BN115)</f>
        <v>-6044745.8832393363</v>
      </c>
      <c r="F115" s="475">
        <v>0</v>
      </c>
      <c r="G115" s="467">
        <f t="shared" ref="G115:BR115" si="88">F118</f>
        <v>0</v>
      </c>
      <c r="H115" s="467">
        <f t="shared" si="88"/>
        <v>-3218.5414583333331</v>
      </c>
      <c r="I115" s="467">
        <f t="shared" si="88"/>
        <v>-6437.0829166666663</v>
      </c>
      <c r="J115" s="467">
        <f t="shared" si="88"/>
        <v>-9655.6243749999994</v>
      </c>
      <c r="K115" s="467">
        <f t="shared" si="88"/>
        <v>-12874.165833333333</v>
      </c>
      <c r="L115" s="467">
        <f t="shared" si="88"/>
        <v>-16092.707291666666</v>
      </c>
      <c r="M115" s="467">
        <f t="shared" si="88"/>
        <v>-19311.248749999999</v>
      </c>
      <c r="N115" s="467">
        <f t="shared" si="88"/>
        <v>-22529.790208333332</v>
      </c>
      <c r="O115" s="467">
        <f t="shared" si="88"/>
        <v>-25748.331666666665</v>
      </c>
      <c r="P115" s="467">
        <f t="shared" si="88"/>
        <v>-28966.873124999998</v>
      </c>
      <c r="Q115" s="467">
        <f t="shared" si="88"/>
        <v>-32185.414583333331</v>
      </c>
      <c r="R115" s="467">
        <f t="shared" si="88"/>
        <v>-35403.956041666665</v>
      </c>
      <c r="S115" s="467">
        <f t="shared" si="88"/>
        <v>-38622.497499999998</v>
      </c>
      <c r="T115" s="467">
        <f t="shared" si="88"/>
        <v>-42064.642077083336</v>
      </c>
      <c r="U115" s="467">
        <f t="shared" si="88"/>
        <v>-45506.786654166674</v>
      </c>
      <c r="V115" s="467">
        <f t="shared" si="88"/>
        <v>-48948.931231250011</v>
      </c>
      <c r="W115" s="467">
        <f t="shared" si="88"/>
        <v>-52391.075808333349</v>
      </c>
      <c r="X115" s="467">
        <f t="shared" si="88"/>
        <v>-55833.220385416687</v>
      </c>
      <c r="Y115" s="467">
        <f t="shared" si="88"/>
        <v>-59275.364962500025</v>
      </c>
      <c r="Z115" s="467">
        <f t="shared" si="88"/>
        <v>-62717.509539583363</v>
      </c>
      <c r="AA115" s="467">
        <f t="shared" si="88"/>
        <v>-66159.654116666701</v>
      </c>
      <c r="AB115" s="467">
        <f t="shared" si="88"/>
        <v>-69601.798693750039</v>
      </c>
      <c r="AC115" s="467">
        <f t="shared" si="88"/>
        <v>-73043.943270833377</v>
      </c>
      <c r="AD115" s="467">
        <f t="shared" si="88"/>
        <v>-76486.087847916715</v>
      </c>
      <c r="AE115" s="467">
        <f t="shared" si="88"/>
        <v>-79928.232425000053</v>
      </c>
      <c r="AF115" s="467">
        <f t="shared" si="88"/>
        <v>-83600.688214395879</v>
      </c>
      <c r="AG115" s="467">
        <f t="shared" si="88"/>
        <v>-87273.144003791705</v>
      </c>
      <c r="AH115" s="467">
        <f t="shared" si="88"/>
        <v>-90945.599793187532</v>
      </c>
      <c r="AI115" s="467">
        <f t="shared" si="88"/>
        <v>-94618.055582583358</v>
      </c>
      <c r="AJ115" s="467">
        <f t="shared" si="88"/>
        <v>-98290.511371979184</v>
      </c>
      <c r="AK115" s="467">
        <f t="shared" si="88"/>
        <v>-101962.96716137501</v>
      </c>
      <c r="AL115" s="467">
        <f t="shared" si="88"/>
        <v>-105635.42295077084</v>
      </c>
      <c r="AM115" s="467">
        <f t="shared" si="88"/>
        <v>-109307.87874016666</v>
      </c>
      <c r="AN115" s="467">
        <f t="shared" si="88"/>
        <v>-112980.33452956249</v>
      </c>
      <c r="AO115" s="467">
        <f t="shared" si="88"/>
        <v>-116652.79031895832</v>
      </c>
      <c r="AP115" s="467">
        <f t="shared" si="88"/>
        <v>-120325.24610835414</v>
      </c>
      <c r="AQ115" s="467">
        <f t="shared" si="88"/>
        <v>-123997.70189774997</v>
      </c>
      <c r="AR115" s="467">
        <f t="shared" si="88"/>
        <v>-127907.37823582768</v>
      </c>
      <c r="AS115" s="467">
        <f t="shared" si="88"/>
        <v>-131817.05457390539</v>
      </c>
      <c r="AT115" s="467">
        <f t="shared" si="88"/>
        <v>-135726.73091198309</v>
      </c>
      <c r="AU115" s="467">
        <f t="shared" si="88"/>
        <v>-139636.40725006079</v>
      </c>
      <c r="AV115" s="467">
        <f t="shared" si="88"/>
        <v>-143546.08358813848</v>
      </c>
      <c r="AW115" s="467">
        <f t="shared" si="88"/>
        <v>-147455.75992621618</v>
      </c>
      <c r="AX115" s="467">
        <f t="shared" si="88"/>
        <v>-151365.43626429388</v>
      </c>
      <c r="AY115" s="467">
        <f t="shared" si="88"/>
        <v>-155275.11260237158</v>
      </c>
      <c r="AZ115" s="467">
        <f t="shared" si="88"/>
        <v>-159184.78894044927</v>
      </c>
      <c r="BA115" s="467">
        <f t="shared" si="88"/>
        <v>-163094.46527852697</v>
      </c>
      <c r="BB115" s="467">
        <f t="shared" si="88"/>
        <v>-167004.14161660467</v>
      </c>
      <c r="BC115" s="467">
        <f t="shared" si="88"/>
        <v>-170913.81795468237</v>
      </c>
      <c r="BD115" s="467">
        <f t="shared" si="88"/>
        <v>-173083.10412376409</v>
      </c>
      <c r="BE115" s="467">
        <f t="shared" si="88"/>
        <v>-175252.39029284581</v>
      </c>
      <c r="BF115" s="467">
        <f t="shared" si="88"/>
        <v>-177421.67646192753</v>
      </c>
      <c r="BG115" s="467">
        <f t="shared" si="88"/>
        <v>-179590.96263100926</v>
      </c>
      <c r="BH115" s="467">
        <f t="shared" si="88"/>
        <v>-181760.24880009098</v>
      </c>
      <c r="BI115" s="467">
        <f t="shared" si="88"/>
        <v>-183929.5349691727</v>
      </c>
      <c r="BJ115" s="467">
        <f t="shared" si="88"/>
        <v>-186098.82113825443</v>
      </c>
      <c r="BK115" s="467">
        <f t="shared" si="88"/>
        <v>-188268.10730733615</v>
      </c>
      <c r="BL115" s="467">
        <f t="shared" si="88"/>
        <v>-190437.39347641787</v>
      </c>
      <c r="BM115" s="467">
        <f t="shared" si="88"/>
        <v>-192606.67964549959</v>
      </c>
      <c r="BN115" s="467">
        <f t="shared" si="88"/>
        <v>-194775.96581458132</v>
      </c>
      <c r="BO115" s="467">
        <f t="shared" si="88"/>
        <v>-623938.25416604255</v>
      </c>
      <c r="BP115" s="467">
        <f t="shared" si="88"/>
        <v>-623938.25416604255</v>
      </c>
      <c r="BQ115" s="467">
        <f t="shared" si="88"/>
        <v>-623938.25416604255</v>
      </c>
      <c r="BR115" s="467">
        <f t="shared" si="88"/>
        <v>-623938.25416604255</v>
      </c>
      <c r="BS115" s="467">
        <f t="shared" ref="BS115:DV115" si="89">BR118</f>
        <v>-623938.25416604255</v>
      </c>
      <c r="BT115" s="467">
        <f t="shared" si="89"/>
        <v>-623938.25416604255</v>
      </c>
      <c r="BU115" s="467">
        <f t="shared" si="89"/>
        <v>-623938.25416604255</v>
      </c>
      <c r="BV115" s="467">
        <f t="shared" si="89"/>
        <v>-623938.25416604255</v>
      </c>
      <c r="BW115" s="467">
        <f t="shared" si="89"/>
        <v>-623938.25416604255</v>
      </c>
      <c r="BX115" s="467">
        <f t="shared" si="89"/>
        <v>-623938.25416604255</v>
      </c>
      <c r="BY115" s="467">
        <f t="shared" si="89"/>
        <v>-623938.25416604255</v>
      </c>
      <c r="BZ115" s="467">
        <f t="shared" si="89"/>
        <v>-623938.25416604255</v>
      </c>
      <c r="CA115" s="467">
        <f t="shared" si="89"/>
        <v>-623938.25416604255</v>
      </c>
      <c r="CB115" s="467">
        <f t="shared" si="89"/>
        <v>-623938.25416604255</v>
      </c>
      <c r="CC115" s="467">
        <f t="shared" si="89"/>
        <v>-623938.25416604255</v>
      </c>
      <c r="CD115" s="467">
        <f t="shared" si="89"/>
        <v>-623938.25416604255</v>
      </c>
      <c r="CE115" s="467">
        <f t="shared" si="89"/>
        <v>-623938.25416604255</v>
      </c>
      <c r="CF115" s="467">
        <f t="shared" si="89"/>
        <v>-623938.25416604255</v>
      </c>
      <c r="CG115" s="467">
        <f t="shared" si="89"/>
        <v>-623938.25416604255</v>
      </c>
      <c r="CH115" s="467">
        <f t="shared" si="89"/>
        <v>-623938.25416604255</v>
      </c>
      <c r="CI115" s="467">
        <f t="shared" si="89"/>
        <v>-623938.25416604255</v>
      </c>
      <c r="CJ115" s="467">
        <f t="shared" si="89"/>
        <v>-623938.25416604255</v>
      </c>
      <c r="CK115" s="467">
        <f t="shared" si="89"/>
        <v>-623938.25416604255</v>
      </c>
      <c r="CL115" s="467">
        <f t="shared" si="89"/>
        <v>-623938.25416604255</v>
      </c>
      <c r="CM115" s="467">
        <f t="shared" si="89"/>
        <v>-623938.25416604255</v>
      </c>
      <c r="CN115" s="467">
        <f t="shared" si="89"/>
        <v>-623938.25416604255</v>
      </c>
      <c r="CO115" s="467">
        <f t="shared" si="89"/>
        <v>-623938.25416604255</v>
      </c>
      <c r="CP115" s="467">
        <f t="shared" si="89"/>
        <v>-623938.25416604255</v>
      </c>
      <c r="CQ115" s="467">
        <f t="shared" si="89"/>
        <v>-623938.25416604255</v>
      </c>
      <c r="CR115" s="467">
        <f t="shared" si="89"/>
        <v>-623938.25416604255</v>
      </c>
      <c r="CS115" s="467">
        <f t="shared" si="89"/>
        <v>-623938.25416604255</v>
      </c>
      <c r="CT115" s="467">
        <f t="shared" si="89"/>
        <v>-623938.25416604255</v>
      </c>
      <c r="CU115" s="467">
        <f t="shared" si="89"/>
        <v>-623938.25416604255</v>
      </c>
      <c r="CV115" s="467">
        <f t="shared" si="89"/>
        <v>-623938.25416604255</v>
      </c>
      <c r="CW115" s="467">
        <f t="shared" si="89"/>
        <v>-623938.25416604255</v>
      </c>
      <c r="CX115" s="467">
        <f t="shared" si="89"/>
        <v>-623938.25416604255</v>
      </c>
      <c r="CY115" s="467">
        <f t="shared" si="89"/>
        <v>-623938.25416604255</v>
      </c>
      <c r="CZ115" s="467">
        <f t="shared" si="89"/>
        <v>-623938.25416604255</v>
      </c>
      <c r="DA115" s="467">
        <f t="shared" si="89"/>
        <v>-623938.25416604255</v>
      </c>
      <c r="DB115" s="467">
        <f t="shared" si="89"/>
        <v>-623938.25416604255</v>
      </c>
      <c r="DC115" s="467">
        <f t="shared" si="89"/>
        <v>-623938.25416604255</v>
      </c>
      <c r="DD115" s="467">
        <f t="shared" si="89"/>
        <v>-623938.25416604255</v>
      </c>
      <c r="DE115" s="467">
        <f t="shared" si="89"/>
        <v>-623938.25416604255</v>
      </c>
      <c r="DF115" s="467">
        <f t="shared" si="89"/>
        <v>-623938.25416604255</v>
      </c>
      <c r="DG115" s="467">
        <f t="shared" si="89"/>
        <v>-623938.25416604255</v>
      </c>
      <c r="DH115" s="467">
        <f t="shared" si="89"/>
        <v>-623938.25416604255</v>
      </c>
      <c r="DI115" s="467">
        <f t="shared" si="89"/>
        <v>-623938.25416604255</v>
      </c>
      <c r="DJ115" s="467">
        <f t="shared" si="89"/>
        <v>-623938.25416604255</v>
      </c>
      <c r="DK115" s="467">
        <f t="shared" si="89"/>
        <v>-623938.25416604255</v>
      </c>
      <c r="DL115" s="467">
        <f t="shared" si="89"/>
        <v>-623938.25416604255</v>
      </c>
      <c r="DM115" s="467">
        <f t="shared" si="89"/>
        <v>-623938.25416604255</v>
      </c>
      <c r="DN115" s="467">
        <f t="shared" si="89"/>
        <v>-623938.25416604255</v>
      </c>
      <c r="DO115" s="467">
        <f t="shared" si="89"/>
        <v>-623938.25416604255</v>
      </c>
      <c r="DP115" s="467">
        <f t="shared" si="89"/>
        <v>-623938.25416604255</v>
      </c>
      <c r="DQ115" s="467">
        <f t="shared" si="89"/>
        <v>-623938.25416604255</v>
      </c>
      <c r="DR115" s="467">
        <f t="shared" si="89"/>
        <v>-623938.25416604255</v>
      </c>
      <c r="DS115" s="467">
        <f t="shared" si="89"/>
        <v>-623938.25416604255</v>
      </c>
      <c r="DT115" s="467">
        <f t="shared" si="89"/>
        <v>-623938.25416604255</v>
      </c>
      <c r="DU115" s="467">
        <f t="shared" si="89"/>
        <v>-623938.25416604255</v>
      </c>
      <c r="DV115" s="467">
        <f t="shared" si="89"/>
        <v>-623938.25416604255</v>
      </c>
      <c r="DW115" s="322" t="s">
        <v>372</v>
      </c>
    </row>
    <row r="116" spans="3:127" hidden="1" outlineLevel="1" x14ac:dyDescent="0.3">
      <c r="C116" s="476" t="s">
        <v>403</v>
      </c>
      <c r="D116" s="477">
        <f>F38</f>
        <v>0</v>
      </c>
      <c r="E116" s="463">
        <f>SUM(F116:BN116)</f>
        <v>0</v>
      </c>
      <c r="F116" s="468">
        <f>F114*$D$96</f>
        <v>0</v>
      </c>
      <c r="G116" s="468">
        <f t="shared" ref="G116:BR116" si="90">G114*$D$96</f>
        <v>0</v>
      </c>
      <c r="H116" s="468">
        <f t="shared" si="90"/>
        <v>0</v>
      </c>
      <c r="I116" s="468">
        <f t="shared" si="90"/>
        <v>0</v>
      </c>
      <c r="J116" s="468">
        <f t="shared" si="90"/>
        <v>0</v>
      </c>
      <c r="K116" s="468">
        <f t="shared" si="90"/>
        <v>0</v>
      </c>
      <c r="L116" s="468">
        <f t="shared" si="90"/>
        <v>0</v>
      </c>
      <c r="M116" s="468">
        <f t="shared" si="90"/>
        <v>0</v>
      </c>
      <c r="N116" s="468">
        <f t="shared" si="90"/>
        <v>0</v>
      </c>
      <c r="O116" s="468">
        <f t="shared" si="90"/>
        <v>0</v>
      </c>
      <c r="P116" s="468">
        <f t="shared" si="90"/>
        <v>0</v>
      </c>
      <c r="Q116" s="468">
        <f t="shared" si="90"/>
        <v>0</v>
      </c>
      <c r="R116" s="468">
        <f t="shared" si="90"/>
        <v>0</v>
      </c>
      <c r="S116" s="468">
        <f t="shared" si="90"/>
        <v>0</v>
      </c>
      <c r="T116" s="468">
        <f t="shared" si="90"/>
        <v>0</v>
      </c>
      <c r="U116" s="468">
        <f t="shared" si="90"/>
        <v>0</v>
      </c>
      <c r="V116" s="468">
        <f t="shared" si="90"/>
        <v>0</v>
      </c>
      <c r="W116" s="468">
        <f t="shared" si="90"/>
        <v>0</v>
      </c>
      <c r="X116" s="468">
        <f t="shared" si="90"/>
        <v>0</v>
      </c>
      <c r="Y116" s="468">
        <f t="shared" si="90"/>
        <v>0</v>
      </c>
      <c r="Z116" s="468">
        <f t="shared" si="90"/>
        <v>0</v>
      </c>
      <c r="AA116" s="468">
        <f t="shared" si="90"/>
        <v>0</v>
      </c>
      <c r="AB116" s="468">
        <f t="shared" si="90"/>
        <v>0</v>
      </c>
      <c r="AC116" s="468">
        <f t="shared" si="90"/>
        <v>0</v>
      </c>
      <c r="AD116" s="468">
        <f t="shared" si="90"/>
        <v>0</v>
      </c>
      <c r="AE116" s="468">
        <f t="shared" si="90"/>
        <v>0</v>
      </c>
      <c r="AF116" s="468">
        <f t="shared" si="90"/>
        <v>0</v>
      </c>
      <c r="AG116" s="468">
        <f t="shared" si="90"/>
        <v>0</v>
      </c>
      <c r="AH116" s="468">
        <f t="shared" si="90"/>
        <v>0</v>
      </c>
      <c r="AI116" s="468">
        <f t="shared" si="90"/>
        <v>0</v>
      </c>
      <c r="AJ116" s="468">
        <f t="shared" si="90"/>
        <v>0</v>
      </c>
      <c r="AK116" s="468">
        <f t="shared" si="90"/>
        <v>0</v>
      </c>
      <c r="AL116" s="468">
        <f t="shared" si="90"/>
        <v>0</v>
      </c>
      <c r="AM116" s="468">
        <f t="shared" si="90"/>
        <v>0</v>
      </c>
      <c r="AN116" s="468">
        <f t="shared" si="90"/>
        <v>0</v>
      </c>
      <c r="AO116" s="468">
        <f t="shared" si="90"/>
        <v>0</v>
      </c>
      <c r="AP116" s="468">
        <f t="shared" si="90"/>
        <v>0</v>
      </c>
      <c r="AQ116" s="468">
        <f t="shared" si="90"/>
        <v>0</v>
      </c>
      <c r="AR116" s="468">
        <f t="shared" si="90"/>
        <v>0</v>
      </c>
      <c r="AS116" s="468">
        <f t="shared" si="90"/>
        <v>0</v>
      </c>
      <c r="AT116" s="468">
        <f t="shared" si="90"/>
        <v>0</v>
      </c>
      <c r="AU116" s="468">
        <f t="shared" si="90"/>
        <v>0</v>
      </c>
      <c r="AV116" s="468">
        <f t="shared" si="90"/>
        <v>0</v>
      </c>
      <c r="AW116" s="468">
        <f t="shared" si="90"/>
        <v>0</v>
      </c>
      <c r="AX116" s="468">
        <f t="shared" si="90"/>
        <v>0</v>
      </c>
      <c r="AY116" s="468">
        <f t="shared" si="90"/>
        <v>0</v>
      </c>
      <c r="AZ116" s="468">
        <f t="shared" si="90"/>
        <v>0</v>
      </c>
      <c r="BA116" s="468">
        <f t="shared" si="90"/>
        <v>0</v>
      </c>
      <c r="BB116" s="468">
        <f t="shared" si="90"/>
        <v>0</v>
      </c>
      <c r="BC116" s="468">
        <f t="shared" si="90"/>
        <v>0</v>
      </c>
      <c r="BD116" s="468">
        <f t="shared" si="90"/>
        <v>0</v>
      </c>
      <c r="BE116" s="468">
        <f t="shared" si="90"/>
        <v>0</v>
      </c>
      <c r="BF116" s="468">
        <f t="shared" si="90"/>
        <v>0</v>
      </c>
      <c r="BG116" s="468">
        <f t="shared" si="90"/>
        <v>0</v>
      </c>
      <c r="BH116" s="468">
        <f t="shared" si="90"/>
        <v>0</v>
      </c>
      <c r="BI116" s="468">
        <f t="shared" si="90"/>
        <v>0</v>
      </c>
      <c r="BJ116" s="468">
        <f t="shared" si="90"/>
        <v>0</v>
      </c>
      <c r="BK116" s="468">
        <f t="shared" si="90"/>
        <v>0</v>
      </c>
      <c r="BL116" s="468">
        <f t="shared" si="90"/>
        <v>0</v>
      </c>
      <c r="BM116" s="468">
        <f t="shared" si="90"/>
        <v>0</v>
      </c>
      <c r="BN116" s="468">
        <f t="shared" si="90"/>
        <v>0</v>
      </c>
      <c r="BO116" s="468">
        <f t="shared" si="90"/>
        <v>0</v>
      </c>
      <c r="BP116" s="468">
        <f t="shared" si="90"/>
        <v>0</v>
      </c>
      <c r="BQ116" s="468">
        <f t="shared" si="90"/>
        <v>0</v>
      </c>
      <c r="BR116" s="468">
        <f t="shared" si="90"/>
        <v>0</v>
      </c>
      <c r="BS116" s="468">
        <f t="shared" ref="BS116:DV116" si="91">BS114*$D$96</f>
        <v>0</v>
      </c>
      <c r="BT116" s="468">
        <f t="shared" si="91"/>
        <v>0</v>
      </c>
      <c r="BU116" s="468">
        <f t="shared" si="91"/>
        <v>0</v>
      </c>
      <c r="BV116" s="468">
        <f t="shared" si="91"/>
        <v>0</v>
      </c>
      <c r="BW116" s="468">
        <f t="shared" si="91"/>
        <v>0</v>
      </c>
      <c r="BX116" s="468">
        <f t="shared" si="91"/>
        <v>0</v>
      </c>
      <c r="BY116" s="468">
        <f t="shared" si="91"/>
        <v>0</v>
      </c>
      <c r="BZ116" s="468">
        <f t="shared" si="91"/>
        <v>0</v>
      </c>
      <c r="CA116" s="468">
        <f t="shared" si="91"/>
        <v>0</v>
      </c>
      <c r="CB116" s="468">
        <f t="shared" si="91"/>
        <v>0</v>
      </c>
      <c r="CC116" s="468">
        <f t="shared" si="91"/>
        <v>0</v>
      </c>
      <c r="CD116" s="468">
        <f t="shared" si="91"/>
        <v>0</v>
      </c>
      <c r="CE116" s="468">
        <f t="shared" si="91"/>
        <v>0</v>
      </c>
      <c r="CF116" s="468">
        <f t="shared" si="91"/>
        <v>0</v>
      </c>
      <c r="CG116" s="468">
        <f t="shared" si="91"/>
        <v>0</v>
      </c>
      <c r="CH116" s="468">
        <f t="shared" si="91"/>
        <v>0</v>
      </c>
      <c r="CI116" s="468">
        <f t="shared" si="91"/>
        <v>0</v>
      </c>
      <c r="CJ116" s="468">
        <f t="shared" si="91"/>
        <v>0</v>
      </c>
      <c r="CK116" s="468">
        <f t="shared" si="91"/>
        <v>0</v>
      </c>
      <c r="CL116" s="468">
        <f t="shared" si="91"/>
        <v>0</v>
      </c>
      <c r="CM116" s="468">
        <f t="shared" si="91"/>
        <v>0</v>
      </c>
      <c r="CN116" s="468">
        <f t="shared" si="91"/>
        <v>0</v>
      </c>
      <c r="CO116" s="468">
        <f t="shared" si="91"/>
        <v>0</v>
      </c>
      <c r="CP116" s="468">
        <f t="shared" si="91"/>
        <v>0</v>
      </c>
      <c r="CQ116" s="468">
        <f t="shared" si="91"/>
        <v>0</v>
      </c>
      <c r="CR116" s="468">
        <f t="shared" si="91"/>
        <v>0</v>
      </c>
      <c r="CS116" s="468">
        <f t="shared" si="91"/>
        <v>0</v>
      </c>
      <c r="CT116" s="468">
        <f t="shared" si="91"/>
        <v>0</v>
      </c>
      <c r="CU116" s="468">
        <f t="shared" si="91"/>
        <v>0</v>
      </c>
      <c r="CV116" s="468">
        <f t="shared" si="91"/>
        <v>0</v>
      </c>
      <c r="CW116" s="468">
        <f t="shared" si="91"/>
        <v>0</v>
      </c>
      <c r="CX116" s="468">
        <f t="shared" si="91"/>
        <v>0</v>
      </c>
      <c r="CY116" s="468">
        <f t="shared" si="91"/>
        <v>0</v>
      </c>
      <c r="CZ116" s="468">
        <f t="shared" si="91"/>
        <v>0</v>
      </c>
      <c r="DA116" s="468">
        <f t="shared" si="91"/>
        <v>0</v>
      </c>
      <c r="DB116" s="468">
        <f t="shared" si="91"/>
        <v>0</v>
      </c>
      <c r="DC116" s="468">
        <f t="shared" si="91"/>
        <v>0</v>
      </c>
      <c r="DD116" s="468">
        <f t="shared" si="91"/>
        <v>0</v>
      </c>
      <c r="DE116" s="468">
        <f t="shared" si="91"/>
        <v>0</v>
      </c>
      <c r="DF116" s="468">
        <f t="shared" si="91"/>
        <v>0</v>
      </c>
      <c r="DG116" s="468">
        <f t="shared" si="91"/>
        <v>0</v>
      </c>
      <c r="DH116" s="468">
        <f t="shared" si="91"/>
        <v>0</v>
      </c>
      <c r="DI116" s="468">
        <f t="shared" si="91"/>
        <v>0</v>
      </c>
      <c r="DJ116" s="468">
        <f t="shared" si="91"/>
        <v>0</v>
      </c>
      <c r="DK116" s="468">
        <f t="shared" si="91"/>
        <v>0</v>
      </c>
      <c r="DL116" s="468">
        <f t="shared" si="91"/>
        <v>0</v>
      </c>
      <c r="DM116" s="468">
        <f t="shared" si="91"/>
        <v>0</v>
      </c>
      <c r="DN116" s="468">
        <f t="shared" si="91"/>
        <v>0</v>
      </c>
      <c r="DO116" s="468">
        <f t="shared" si="91"/>
        <v>0</v>
      </c>
      <c r="DP116" s="468">
        <f t="shared" si="91"/>
        <v>0</v>
      </c>
      <c r="DQ116" s="468">
        <f t="shared" si="91"/>
        <v>0</v>
      </c>
      <c r="DR116" s="468">
        <f t="shared" si="91"/>
        <v>0</v>
      </c>
      <c r="DS116" s="468">
        <f t="shared" si="91"/>
        <v>0</v>
      </c>
      <c r="DT116" s="468">
        <f t="shared" si="91"/>
        <v>0</v>
      </c>
      <c r="DU116" s="468">
        <f t="shared" si="91"/>
        <v>0</v>
      </c>
      <c r="DV116" s="468">
        <f t="shared" si="91"/>
        <v>0</v>
      </c>
      <c r="DW116" s="322" t="s">
        <v>372</v>
      </c>
    </row>
    <row r="117" spans="3:127" hidden="1" outlineLevel="1" x14ac:dyDescent="0.3">
      <c r="C117" s="469" t="str">
        <f>C110</f>
        <v>8.00% Accrual Distribution</v>
      </c>
      <c r="D117" s="478"/>
      <c r="E117" s="463">
        <f>SUM(F117:BN117)</f>
        <v>-623938.25416604255</v>
      </c>
      <c r="F117" s="468">
        <f>F110</f>
        <v>0</v>
      </c>
      <c r="G117" s="468">
        <f t="shared" ref="G117:BR117" si="92">G110</f>
        <v>-3218.5414583333331</v>
      </c>
      <c r="H117" s="468">
        <f t="shared" si="92"/>
        <v>-3218.5414583333331</v>
      </c>
      <c r="I117" s="468">
        <f t="shared" si="92"/>
        <v>-3218.5414583333331</v>
      </c>
      <c r="J117" s="468">
        <f t="shared" si="92"/>
        <v>-3218.5414583333331</v>
      </c>
      <c r="K117" s="468">
        <f t="shared" si="92"/>
        <v>-3218.5414583333331</v>
      </c>
      <c r="L117" s="468">
        <f t="shared" si="92"/>
        <v>-3218.5414583333331</v>
      </c>
      <c r="M117" s="468">
        <f t="shared" si="92"/>
        <v>-3218.5414583333331</v>
      </c>
      <c r="N117" s="468">
        <f t="shared" si="92"/>
        <v>-3218.5414583333331</v>
      </c>
      <c r="O117" s="468">
        <f t="shared" si="92"/>
        <v>-3218.5414583333331</v>
      </c>
      <c r="P117" s="468">
        <f t="shared" si="92"/>
        <v>-3218.5414583333331</v>
      </c>
      <c r="Q117" s="468">
        <f t="shared" si="92"/>
        <v>-3218.5414583333331</v>
      </c>
      <c r="R117" s="468">
        <f t="shared" si="92"/>
        <v>-3218.5414583333331</v>
      </c>
      <c r="S117" s="468">
        <f t="shared" si="92"/>
        <v>-3442.1445770833343</v>
      </c>
      <c r="T117" s="468">
        <f t="shared" si="92"/>
        <v>-3442.1445770833343</v>
      </c>
      <c r="U117" s="468">
        <f t="shared" si="92"/>
        <v>-3442.1445770833343</v>
      </c>
      <c r="V117" s="468">
        <f t="shared" si="92"/>
        <v>-3442.1445770833343</v>
      </c>
      <c r="W117" s="468">
        <f t="shared" si="92"/>
        <v>-3442.1445770833343</v>
      </c>
      <c r="X117" s="468">
        <f t="shared" si="92"/>
        <v>-3442.1445770833343</v>
      </c>
      <c r="Y117" s="468">
        <f t="shared" si="92"/>
        <v>-3442.1445770833343</v>
      </c>
      <c r="Z117" s="468">
        <f t="shared" si="92"/>
        <v>-3442.1445770833343</v>
      </c>
      <c r="AA117" s="468">
        <f t="shared" si="92"/>
        <v>-3442.1445770833343</v>
      </c>
      <c r="AB117" s="468">
        <f t="shared" si="92"/>
        <v>-3442.1445770833343</v>
      </c>
      <c r="AC117" s="468">
        <f t="shared" si="92"/>
        <v>-3442.1445770833343</v>
      </c>
      <c r="AD117" s="468">
        <f t="shared" si="92"/>
        <v>-3442.1445770833343</v>
      </c>
      <c r="AE117" s="468">
        <f t="shared" si="92"/>
        <v>-3672.4557893958322</v>
      </c>
      <c r="AF117" s="468">
        <f t="shared" si="92"/>
        <v>-3672.4557893958322</v>
      </c>
      <c r="AG117" s="468">
        <f t="shared" si="92"/>
        <v>-3672.4557893958322</v>
      </c>
      <c r="AH117" s="468">
        <f t="shared" si="92"/>
        <v>-3672.4557893958322</v>
      </c>
      <c r="AI117" s="468">
        <f t="shared" si="92"/>
        <v>-3672.4557893958322</v>
      </c>
      <c r="AJ117" s="468">
        <f t="shared" si="92"/>
        <v>-3672.4557893958322</v>
      </c>
      <c r="AK117" s="468">
        <f t="shared" si="92"/>
        <v>-3672.4557893958322</v>
      </c>
      <c r="AL117" s="468">
        <f t="shared" si="92"/>
        <v>-3672.4557893958322</v>
      </c>
      <c r="AM117" s="468">
        <f t="shared" si="92"/>
        <v>-3672.4557893958322</v>
      </c>
      <c r="AN117" s="468">
        <f t="shared" si="92"/>
        <v>-3672.4557893958322</v>
      </c>
      <c r="AO117" s="468">
        <f t="shared" si="92"/>
        <v>-3672.4557893958322</v>
      </c>
      <c r="AP117" s="468">
        <f t="shared" si="92"/>
        <v>-3672.4557893958322</v>
      </c>
      <c r="AQ117" s="468">
        <f t="shared" si="92"/>
        <v>-3909.676338077707</v>
      </c>
      <c r="AR117" s="468">
        <f t="shared" si="92"/>
        <v>-3909.676338077707</v>
      </c>
      <c r="AS117" s="468">
        <f t="shared" si="92"/>
        <v>-3909.676338077707</v>
      </c>
      <c r="AT117" s="468">
        <f t="shared" si="92"/>
        <v>-3909.676338077707</v>
      </c>
      <c r="AU117" s="468">
        <f t="shared" si="92"/>
        <v>-3909.676338077707</v>
      </c>
      <c r="AV117" s="468">
        <f t="shared" si="92"/>
        <v>-3909.676338077707</v>
      </c>
      <c r="AW117" s="468">
        <f t="shared" si="92"/>
        <v>-3909.676338077707</v>
      </c>
      <c r="AX117" s="468">
        <f t="shared" si="92"/>
        <v>-3909.676338077707</v>
      </c>
      <c r="AY117" s="468">
        <f t="shared" si="92"/>
        <v>-3909.676338077707</v>
      </c>
      <c r="AZ117" s="468">
        <f t="shared" si="92"/>
        <v>-3909.676338077707</v>
      </c>
      <c r="BA117" s="468">
        <f t="shared" si="92"/>
        <v>-3909.676338077707</v>
      </c>
      <c r="BB117" s="468">
        <f t="shared" si="92"/>
        <v>-3909.676338077707</v>
      </c>
      <c r="BC117" s="468">
        <f t="shared" si="92"/>
        <v>-2169.2861690817131</v>
      </c>
      <c r="BD117" s="468">
        <f t="shared" si="92"/>
        <v>-2169.2861690817131</v>
      </c>
      <c r="BE117" s="468">
        <f t="shared" si="92"/>
        <v>-2169.2861690817131</v>
      </c>
      <c r="BF117" s="468">
        <f t="shared" si="92"/>
        <v>-2169.2861690817131</v>
      </c>
      <c r="BG117" s="468">
        <f t="shared" si="92"/>
        <v>-2169.2861690817131</v>
      </c>
      <c r="BH117" s="468">
        <f t="shared" si="92"/>
        <v>-2169.2861690817131</v>
      </c>
      <c r="BI117" s="468">
        <f t="shared" si="92"/>
        <v>-2169.2861690817131</v>
      </c>
      <c r="BJ117" s="468">
        <f t="shared" si="92"/>
        <v>-2169.2861690817131</v>
      </c>
      <c r="BK117" s="468">
        <f t="shared" si="92"/>
        <v>-2169.2861690817131</v>
      </c>
      <c r="BL117" s="468">
        <f t="shared" si="92"/>
        <v>-2169.2861690817131</v>
      </c>
      <c r="BM117" s="468">
        <f t="shared" si="92"/>
        <v>-2169.2861690817131</v>
      </c>
      <c r="BN117" s="468">
        <f t="shared" si="92"/>
        <v>-429162.28835146123</v>
      </c>
      <c r="BO117" s="468">
        <f t="shared" si="92"/>
        <v>0</v>
      </c>
      <c r="BP117" s="468">
        <f t="shared" si="92"/>
        <v>0</v>
      </c>
      <c r="BQ117" s="468">
        <f t="shared" si="92"/>
        <v>0</v>
      </c>
      <c r="BR117" s="468">
        <f t="shared" si="92"/>
        <v>0</v>
      </c>
      <c r="BS117" s="468">
        <f t="shared" ref="BS117:DV117" si="93">BS110</f>
        <v>0</v>
      </c>
      <c r="BT117" s="468">
        <f t="shared" si="93"/>
        <v>0</v>
      </c>
      <c r="BU117" s="468">
        <f t="shared" si="93"/>
        <v>0</v>
      </c>
      <c r="BV117" s="468">
        <f t="shared" si="93"/>
        <v>0</v>
      </c>
      <c r="BW117" s="468">
        <f t="shared" si="93"/>
        <v>0</v>
      </c>
      <c r="BX117" s="468">
        <f t="shared" si="93"/>
        <v>0</v>
      </c>
      <c r="BY117" s="468">
        <f t="shared" si="93"/>
        <v>0</v>
      </c>
      <c r="BZ117" s="468">
        <f t="shared" si="93"/>
        <v>0</v>
      </c>
      <c r="CA117" s="468">
        <f t="shared" si="93"/>
        <v>0</v>
      </c>
      <c r="CB117" s="468">
        <f t="shared" si="93"/>
        <v>0</v>
      </c>
      <c r="CC117" s="468">
        <f t="shared" si="93"/>
        <v>0</v>
      </c>
      <c r="CD117" s="468">
        <f t="shared" si="93"/>
        <v>0</v>
      </c>
      <c r="CE117" s="468">
        <f t="shared" si="93"/>
        <v>0</v>
      </c>
      <c r="CF117" s="468">
        <f t="shared" si="93"/>
        <v>0</v>
      </c>
      <c r="CG117" s="468">
        <f t="shared" si="93"/>
        <v>0</v>
      </c>
      <c r="CH117" s="468">
        <f t="shared" si="93"/>
        <v>0</v>
      </c>
      <c r="CI117" s="468">
        <f t="shared" si="93"/>
        <v>0</v>
      </c>
      <c r="CJ117" s="468">
        <f t="shared" si="93"/>
        <v>0</v>
      </c>
      <c r="CK117" s="468">
        <f t="shared" si="93"/>
        <v>0</v>
      </c>
      <c r="CL117" s="468">
        <f t="shared" si="93"/>
        <v>0</v>
      </c>
      <c r="CM117" s="468">
        <f t="shared" si="93"/>
        <v>0</v>
      </c>
      <c r="CN117" s="468">
        <f t="shared" si="93"/>
        <v>0</v>
      </c>
      <c r="CO117" s="468">
        <f t="shared" si="93"/>
        <v>0</v>
      </c>
      <c r="CP117" s="468">
        <f t="shared" si="93"/>
        <v>0</v>
      </c>
      <c r="CQ117" s="468">
        <f t="shared" si="93"/>
        <v>0</v>
      </c>
      <c r="CR117" s="468">
        <f t="shared" si="93"/>
        <v>0</v>
      </c>
      <c r="CS117" s="468">
        <f t="shared" si="93"/>
        <v>0</v>
      </c>
      <c r="CT117" s="468">
        <f t="shared" si="93"/>
        <v>0</v>
      </c>
      <c r="CU117" s="468">
        <f t="shared" si="93"/>
        <v>0</v>
      </c>
      <c r="CV117" s="468">
        <f t="shared" si="93"/>
        <v>0</v>
      </c>
      <c r="CW117" s="468">
        <f t="shared" si="93"/>
        <v>0</v>
      </c>
      <c r="CX117" s="468">
        <f t="shared" si="93"/>
        <v>0</v>
      </c>
      <c r="CY117" s="468">
        <f t="shared" si="93"/>
        <v>0</v>
      </c>
      <c r="CZ117" s="468">
        <f t="shared" si="93"/>
        <v>0</v>
      </c>
      <c r="DA117" s="468">
        <f t="shared" si="93"/>
        <v>0</v>
      </c>
      <c r="DB117" s="468">
        <f t="shared" si="93"/>
        <v>0</v>
      </c>
      <c r="DC117" s="468">
        <f t="shared" si="93"/>
        <v>0</v>
      </c>
      <c r="DD117" s="468">
        <f t="shared" si="93"/>
        <v>0</v>
      </c>
      <c r="DE117" s="468">
        <f t="shared" si="93"/>
        <v>0</v>
      </c>
      <c r="DF117" s="468">
        <f t="shared" si="93"/>
        <v>0</v>
      </c>
      <c r="DG117" s="468">
        <f t="shared" si="93"/>
        <v>0</v>
      </c>
      <c r="DH117" s="468">
        <f t="shared" si="93"/>
        <v>0</v>
      </c>
      <c r="DI117" s="468">
        <f t="shared" si="93"/>
        <v>0</v>
      </c>
      <c r="DJ117" s="468">
        <f t="shared" si="93"/>
        <v>0</v>
      </c>
      <c r="DK117" s="468">
        <f t="shared" si="93"/>
        <v>0</v>
      </c>
      <c r="DL117" s="468">
        <f t="shared" si="93"/>
        <v>0</v>
      </c>
      <c r="DM117" s="468">
        <f t="shared" si="93"/>
        <v>0</v>
      </c>
      <c r="DN117" s="468">
        <f t="shared" si="93"/>
        <v>0</v>
      </c>
      <c r="DO117" s="468">
        <f t="shared" si="93"/>
        <v>0</v>
      </c>
      <c r="DP117" s="468">
        <f t="shared" si="93"/>
        <v>0</v>
      </c>
      <c r="DQ117" s="468">
        <f t="shared" si="93"/>
        <v>0</v>
      </c>
      <c r="DR117" s="468">
        <f t="shared" si="93"/>
        <v>0</v>
      </c>
      <c r="DS117" s="468">
        <f t="shared" si="93"/>
        <v>0</v>
      </c>
      <c r="DT117" s="468">
        <f t="shared" si="93"/>
        <v>0</v>
      </c>
      <c r="DU117" s="468">
        <f t="shared" si="93"/>
        <v>0</v>
      </c>
      <c r="DV117" s="468">
        <f t="shared" si="93"/>
        <v>0</v>
      </c>
      <c r="DW117" s="322" t="s">
        <v>372</v>
      </c>
    </row>
    <row r="118" spans="3:127" ht="17.25" hidden="1" outlineLevel="1" thickBot="1" x14ac:dyDescent="0.35">
      <c r="C118" s="365" t="s">
        <v>352</v>
      </c>
      <c r="D118" s="470"/>
      <c r="E118" s="414">
        <v>0</v>
      </c>
      <c r="F118" s="414">
        <f t="shared" ref="F118:BQ118" si="94">SUM(F115:F117)</f>
        <v>0</v>
      </c>
      <c r="G118" s="414">
        <f t="shared" si="94"/>
        <v>-3218.5414583333331</v>
      </c>
      <c r="H118" s="414">
        <f t="shared" si="94"/>
        <v>-6437.0829166666663</v>
      </c>
      <c r="I118" s="414">
        <f t="shared" si="94"/>
        <v>-9655.6243749999994</v>
      </c>
      <c r="J118" s="414">
        <f t="shared" si="94"/>
        <v>-12874.165833333333</v>
      </c>
      <c r="K118" s="414">
        <f t="shared" si="94"/>
        <v>-16092.707291666666</v>
      </c>
      <c r="L118" s="414">
        <f t="shared" si="94"/>
        <v>-19311.248749999999</v>
      </c>
      <c r="M118" s="414">
        <f t="shared" si="94"/>
        <v>-22529.790208333332</v>
      </c>
      <c r="N118" s="414">
        <f t="shared" si="94"/>
        <v>-25748.331666666665</v>
      </c>
      <c r="O118" s="414">
        <f t="shared" si="94"/>
        <v>-28966.873124999998</v>
      </c>
      <c r="P118" s="414">
        <f t="shared" si="94"/>
        <v>-32185.414583333331</v>
      </c>
      <c r="Q118" s="414">
        <f t="shared" si="94"/>
        <v>-35403.956041666665</v>
      </c>
      <c r="R118" s="414">
        <f t="shared" si="94"/>
        <v>-38622.497499999998</v>
      </c>
      <c r="S118" s="414">
        <f t="shared" si="94"/>
        <v>-42064.642077083336</v>
      </c>
      <c r="T118" s="414">
        <f t="shared" si="94"/>
        <v>-45506.786654166674</v>
      </c>
      <c r="U118" s="414">
        <f t="shared" si="94"/>
        <v>-48948.931231250011</v>
      </c>
      <c r="V118" s="414">
        <f t="shared" si="94"/>
        <v>-52391.075808333349</v>
      </c>
      <c r="W118" s="414">
        <f t="shared" si="94"/>
        <v>-55833.220385416687</v>
      </c>
      <c r="X118" s="414">
        <f t="shared" si="94"/>
        <v>-59275.364962500025</v>
      </c>
      <c r="Y118" s="414">
        <f t="shared" si="94"/>
        <v>-62717.509539583363</v>
      </c>
      <c r="Z118" s="414">
        <f t="shared" si="94"/>
        <v>-66159.654116666701</v>
      </c>
      <c r="AA118" s="414">
        <f t="shared" si="94"/>
        <v>-69601.798693750039</v>
      </c>
      <c r="AB118" s="414">
        <f t="shared" si="94"/>
        <v>-73043.943270833377</v>
      </c>
      <c r="AC118" s="414">
        <f t="shared" si="94"/>
        <v>-76486.087847916715</v>
      </c>
      <c r="AD118" s="414">
        <f t="shared" si="94"/>
        <v>-79928.232425000053</v>
      </c>
      <c r="AE118" s="414">
        <f t="shared" si="94"/>
        <v>-83600.688214395879</v>
      </c>
      <c r="AF118" s="414">
        <f t="shared" si="94"/>
        <v>-87273.144003791705</v>
      </c>
      <c r="AG118" s="414">
        <f t="shared" si="94"/>
        <v>-90945.599793187532</v>
      </c>
      <c r="AH118" s="414">
        <f t="shared" si="94"/>
        <v>-94618.055582583358</v>
      </c>
      <c r="AI118" s="414">
        <f t="shared" si="94"/>
        <v>-98290.511371979184</v>
      </c>
      <c r="AJ118" s="414">
        <f t="shared" si="94"/>
        <v>-101962.96716137501</v>
      </c>
      <c r="AK118" s="414">
        <f t="shared" si="94"/>
        <v>-105635.42295077084</v>
      </c>
      <c r="AL118" s="414">
        <f t="shared" si="94"/>
        <v>-109307.87874016666</v>
      </c>
      <c r="AM118" s="414">
        <f t="shared" si="94"/>
        <v>-112980.33452956249</v>
      </c>
      <c r="AN118" s="414">
        <f t="shared" si="94"/>
        <v>-116652.79031895832</v>
      </c>
      <c r="AO118" s="414">
        <f t="shared" si="94"/>
        <v>-120325.24610835414</v>
      </c>
      <c r="AP118" s="414">
        <f t="shared" si="94"/>
        <v>-123997.70189774997</v>
      </c>
      <c r="AQ118" s="414">
        <f t="shared" si="94"/>
        <v>-127907.37823582768</v>
      </c>
      <c r="AR118" s="414">
        <f t="shared" si="94"/>
        <v>-131817.05457390539</v>
      </c>
      <c r="AS118" s="414">
        <f t="shared" si="94"/>
        <v>-135726.73091198309</v>
      </c>
      <c r="AT118" s="414">
        <f t="shared" si="94"/>
        <v>-139636.40725006079</v>
      </c>
      <c r="AU118" s="414">
        <f t="shared" si="94"/>
        <v>-143546.08358813848</v>
      </c>
      <c r="AV118" s="414">
        <f t="shared" si="94"/>
        <v>-147455.75992621618</v>
      </c>
      <c r="AW118" s="414">
        <f t="shared" si="94"/>
        <v>-151365.43626429388</v>
      </c>
      <c r="AX118" s="414">
        <f t="shared" si="94"/>
        <v>-155275.11260237158</v>
      </c>
      <c r="AY118" s="414">
        <f t="shared" si="94"/>
        <v>-159184.78894044927</v>
      </c>
      <c r="AZ118" s="414">
        <f t="shared" si="94"/>
        <v>-163094.46527852697</v>
      </c>
      <c r="BA118" s="414">
        <f t="shared" si="94"/>
        <v>-167004.14161660467</v>
      </c>
      <c r="BB118" s="414">
        <f t="shared" si="94"/>
        <v>-170913.81795468237</v>
      </c>
      <c r="BC118" s="414">
        <f t="shared" si="94"/>
        <v>-173083.10412376409</v>
      </c>
      <c r="BD118" s="414">
        <f t="shared" si="94"/>
        <v>-175252.39029284581</v>
      </c>
      <c r="BE118" s="414">
        <f t="shared" si="94"/>
        <v>-177421.67646192753</v>
      </c>
      <c r="BF118" s="414">
        <f t="shared" si="94"/>
        <v>-179590.96263100926</v>
      </c>
      <c r="BG118" s="414">
        <f t="shared" si="94"/>
        <v>-181760.24880009098</v>
      </c>
      <c r="BH118" s="414">
        <f t="shared" si="94"/>
        <v>-183929.5349691727</v>
      </c>
      <c r="BI118" s="414">
        <f t="shared" si="94"/>
        <v>-186098.82113825443</v>
      </c>
      <c r="BJ118" s="414">
        <f t="shared" si="94"/>
        <v>-188268.10730733615</v>
      </c>
      <c r="BK118" s="414">
        <f t="shared" si="94"/>
        <v>-190437.39347641787</v>
      </c>
      <c r="BL118" s="414">
        <f t="shared" si="94"/>
        <v>-192606.67964549959</v>
      </c>
      <c r="BM118" s="414">
        <f t="shared" si="94"/>
        <v>-194775.96581458132</v>
      </c>
      <c r="BN118" s="414">
        <f t="shared" si="94"/>
        <v>-623938.25416604255</v>
      </c>
      <c r="BO118" s="414">
        <f t="shared" si="94"/>
        <v>-623938.25416604255</v>
      </c>
      <c r="BP118" s="414">
        <f t="shared" si="94"/>
        <v>-623938.25416604255</v>
      </c>
      <c r="BQ118" s="414">
        <f t="shared" si="94"/>
        <v>-623938.25416604255</v>
      </c>
      <c r="BR118" s="414">
        <f t="shared" ref="BR118:DV118" si="95">SUM(BR115:BR117)</f>
        <v>-623938.25416604255</v>
      </c>
      <c r="BS118" s="414">
        <f t="shared" si="95"/>
        <v>-623938.25416604255</v>
      </c>
      <c r="BT118" s="414">
        <f t="shared" si="95"/>
        <v>-623938.25416604255</v>
      </c>
      <c r="BU118" s="414">
        <f t="shared" si="95"/>
        <v>-623938.25416604255</v>
      </c>
      <c r="BV118" s="414">
        <f t="shared" si="95"/>
        <v>-623938.25416604255</v>
      </c>
      <c r="BW118" s="414">
        <f t="shared" si="95"/>
        <v>-623938.25416604255</v>
      </c>
      <c r="BX118" s="414">
        <f t="shared" si="95"/>
        <v>-623938.25416604255</v>
      </c>
      <c r="BY118" s="414">
        <f t="shared" si="95"/>
        <v>-623938.25416604255</v>
      </c>
      <c r="BZ118" s="414">
        <f t="shared" si="95"/>
        <v>-623938.25416604255</v>
      </c>
      <c r="CA118" s="414">
        <f t="shared" si="95"/>
        <v>-623938.25416604255</v>
      </c>
      <c r="CB118" s="414">
        <f t="shared" si="95"/>
        <v>-623938.25416604255</v>
      </c>
      <c r="CC118" s="414">
        <f t="shared" si="95"/>
        <v>-623938.25416604255</v>
      </c>
      <c r="CD118" s="414">
        <f t="shared" si="95"/>
        <v>-623938.25416604255</v>
      </c>
      <c r="CE118" s="414">
        <f t="shared" si="95"/>
        <v>-623938.25416604255</v>
      </c>
      <c r="CF118" s="414">
        <f t="shared" si="95"/>
        <v>-623938.25416604255</v>
      </c>
      <c r="CG118" s="414">
        <f t="shared" si="95"/>
        <v>-623938.25416604255</v>
      </c>
      <c r="CH118" s="414">
        <f t="shared" si="95"/>
        <v>-623938.25416604255</v>
      </c>
      <c r="CI118" s="414">
        <f t="shared" si="95"/>
        <v>-623938.25416604255</v>
      </c>
      <c r="CJ118" s="414">
        <f t="shared" si="95"/>
        <v>-623938.25416604255</v>
      </c>
      <c r="CK118" s="414">
        <f t="shared" si="95"/>
        <v>-623938.25416604255</v>
      </c>
      <c r="CL118" s="414">
        <f t="shared" si="95"/>
        <v>-623938.25416604255</v>
      </c>
      <c r="CM118" s="414">
        <f t="shared" si="95"/>
        <v>-623938.25416604255</v>
      </c>
      <c r="CN118" s="414">
        <f t="shared" si="95"/>
        <v>-623938.25416604255</v>
      </c>
      <c r="CO118" s="414">
        <f t="shared" si="95"/>
        <v>-623938.25416604255</v>
      </c>
      <c r="CP118" s="414">
        <f t="shared" si="95"/>
        <v>-623938.25416604255</v>
      </c>
      <c r="CQ118" s="414">
        <f t="shared" si="95"/>
        <v>-623938.25416604255</v>
      </c>
      <c r="CR118" s="414">
        <f t="shared" si="95"/>
        <v>-623938.25416604255</v>
      </c>
      <c r="CS118" s="414">
        <f t="shared" si="95"/>
        <v>-623938.25416604255</v>
      </c>
      <c r="CT118" s="414">
        <f t="shared" si="95"/>
        <v>-623938.25416604255</v>
      </c>
      <c r="CU118" s="414">
        <f t="shared" si="95"/>
        <v>-623938.25416604255</v>
      </c>
      <c r="CV118" s="414">
        <f t="shared" si="95"/>
        <v>-623938.25416604255</v>
      </c>
      <c r="CW118" s="414">
        <f t="shared" si="95"/>
        <v>-623938.25416604255</v>
      </c>
      <c r="CX118" s="414">
        <f t="shared" si="95"/>
        <v>-623938.25416604255</v>
      </c>
      <c r="CY118" s="414">
        <f t="shared" si="95"/>
        <v>-623938.25416604255</v>
      </c>
      <c r="CZ118" s="414">
        <f t="shared" si="95"/>
        <v>-623938.25416604255</v>
      </c>
      <c r="DA118" s="414">
        <f t="shared" si="95"/>
        <v>-623938.25416604255</v>
      </c>
      <c r="DB118" s="414">
        <f t="shared" si="95"/>
        <v>-623938.25416604255</v>
      </c>
      <c r="DC118" s="414">
        <f t="shared" si="95"/>
        <v>-623938.25416604255</v>
      </c>
      <c r="DD118" s="414">
        <f t="shared" si="95"/>
        <v>-623938.25416604255</v>
      </c>
      <c r="DE118" s="414">
        <f t="shared" si="95"/>
        <v>-623938.25416604255</v>
      </c>
      <c r="DF118" s="414">
        <f t="shared" si="95"/>
        <v>-623938.25416604255</v>
      </c>
      <c r="DG118" s="414">
        <f t="shared" si="95"/>
        <v>-623938.25416604255</v>
      </c>
      <c r="DH118" s="414">
        <f t="shared" si="95"/>
        <v>-623938.25416604255</v>
      </c>
      <c r="DI118" s="414">
        <f t="shared" si="95"/>
        <v>-623938.25416604255</v>
      </c>
      <c r="DJ118" s="414">
        <f t="shared" si="95"/>
        <v>-623938.25416604255</v>
      </c>
      <c r="DK118" s="414">
        <f t="shared" si="95"/>
        <v>-623938.25416604255</v>
      </c>
      <c r="DL118" s="414">
        <f t="shared" si="95"/>
        <v>-623938.25416604255</v>
      </c>
      <c r="DM118" s="414">
        <f t="shared" si="95"/>
        <v>-623938.25416604255</v>
      </c>
      <c r="DN118" s="414">
        <f t="shared" si="95"/>
        <v>-623938.25416604255</v>
      </c>
      <c r="DO118" s="414">
        <f t="shared" si="95"/>
        <v>-623938.25416604255</v>
      </c>
      <c r="DP118" s="414">
        <f t="shared" si="95"/>
        <v>-623938.25416604255</v>
      </c>
      <c r="DQ118" s="414">
        <f t="shared" si="95"/>
        <v>-623938.25416604255</v>
      </c>
      <c r="DR118" s="414">
        <f t="shared" si="95"/>
        <v>-623938.25416604255</v>
      </c>
      <c r="DS118" s="414">
        <f t="shared" si="95"/>
        <v>-623938.25416604255</v>
      </c>
      <c r="DT118" s="414">
        <f t="shared" si="95"/>
        <v>-623938.25416604255</v>
      </c>
      <c r="DU118" s="414">
        <f t="shared" si="95"/>
        <v>-623938.25416604255</v>
      </c>
      <c r="DV118" s="414">
        <f t="shared" si="95"/>
        <v>-623938.25416604255</v>
      </c>
      <c r="DW118" s="322" t="s">
        <v>372</v>
      </c>
    </row>
    <row r="119" spans="3:127" ht="17.25" hidden="1" outlineLevel="1" thickTop="1" x14ac:dyDescent="0.3">
      <c r="C119" s="365"/>
      <c r="D119" s="470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08"/>
      <c r="P119" s="408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  <c r="AA119" s="408"/>
      <c r="AB119" s="408"/>
      <c r="AC119" s="408"/>
      <c r="AD119" s="408"/>
      <c r="AE119" s="408"/>
      <c r="AF119" s="408"/>
      <c r="AG119" s="408"/>
      <c r="AH119" s="408"/>
      <c r="AI119" s="408"/>
      <c r="AJ119" s="408"/>
      <c r="AK119" s="408"/>
      <c r="AL119" s="408"/>
      <c r="AM119" s="374"/>
      <c r="AN119" s="374"/>
      <c r="AO119" s="374"/>
      <c r="AP119" s="472"/>
      <c r="AQ119" s="472"/>
      <c r="AR119" s="472"/>
      <c r="AS119" s="472"/>
      <c r="AT119" s="472"/>
      <c r="AU119" s="472"/>
      <c r="AV119" s="473"/>
      <c r="AW119" s="360"/>
      <c r="AX119" s="360"/>
      <c r="AY119" s="360"/>
      <c r="AZ119" s="360"/>
      <c r="BA119" s="360"/>
      <c r="BB119" s="360"/>
      <c r="BC119" s="360"/>
      <c r="BD119" s="360"/>
      <c r="BE119" s="360"/>
      <c r="BF119" s="360"/>
      <c r="BG119" s="360"/>
      <c r="BH119" s="360"/>
      <c r="BI119" s="360"/>
      <c r="BJ119" s="360"/>
      <c r="BK119" s="360"/>
      <c r="BL119" s="360"/>
      <c r="BM119" s="360"/>
      <c r="BN119" s="360"/>
      <c r="BO119" s="360"/>
      <c r="BP119" s="360"/>
      <c r="BQ119" s="360"/>
      <c r="BR119" s="360"/>
      <c r="BS119" s="360"/>
      <c r="BT119" s="360"/>
      <c r="BU119" s="360"/>
      <c r="BV119" s="360"/>
      <c r="BW119" s="360"/>
      <c r="BX119" s="360"/>
      <c r="BY119" s="360"/>
      <c r="BZ119" s="360"/>
      <c r="CA119" s="360"/>
      <c r="CB119" s="360"/>
      <c r="CC119" s="360"/>
      <c r="CD119" s="360"/>
      <c r="CE119" s="360"/>
      <c r="CF119" s="360"/>
      <c r="CG119" s="360"/>
      <c r="CH119" s="360"/>
      <c r="CI119" s="360"/>
      <c r="CJ119" s="360"/>
      <c r="CK119" s="360"/>
      <c r="CL119" s="360"/>
      <c r="CM119" s="360"/>
      <c r="CN119" s="360"/>
      <c r="CO119" s="360"/>
      <c r="CP119" s="360"/>
      <c r="CQ119" s="360"/>
      <c r="CR119" s="360"/>
      <c r="CS119" s="360"/>
      <c r="CT119" s="360"/>
      <c r="CU119" s="360"/>
      <c r="CV119" s="360"/>
      <c r="CW119" s="360"/>
      <c r="CX119" s="360"/>
      <c r="CY119" s="360"/>
      <c r="CZ119" s="360"/>
      <c r="DA119" s="360"/>
      <c r="DB119" s="360"/>
      <c r="DC119" s="360"/>
      <c r="DD119" s="360"/>
      <c r="DE119" s="360"/>
      <c r="DF119" s="360"/>
      <c r="DG119" s="360"/>
      <c r="DH119" s="360"/>
      <c r="DI119" s="360"/>
      <c r="DJ119" s="360"/>
      <c r="DK119" s="360"/>
      <c r="DL119" s="360"/>
      <c r="DM119" s="360"/>
      <c r="DN119" s="360"/>
      <c r="DO119" s="360"/>
      <c r="DP119" s="360"/>
      <c r="DQ119" s="360"/>
      <c r="DR119" s="360"/>
      <c r="DS119" s="360"/>
      <c r="DT119" s="360"/>
      <c r="DU119" s="360"/>
      <c r="DV119" s="360"/>
      <c r="DW119" s="322" t="s">
        <v>372</v>
      </c>
    </row>
    <row r="120" spans="3:127" hidden="1" outlineLevel="1" x14ac:dyDescent="0.3">
      <c r="C120" s="479" t="s">
        <v>404</v>
      </c>
      <c r="D120" s="480"/>
      <c r="E120" s="481"/>
      <c r="F120" s="481"/>
      <c r="G120" s="481"/>
      <c r="H120" s="481"/>
      <c r="I120" s="481"/>
      <c r="J120" s="481"/>
      <c r="K120" s="481"/>
      <c r="L120" s="481"/>
      <c r="M120" s="481"/>
      <c r="N120" s="481"/>
      <c r="O120" s="481"/>
      <c r="P120" s="481"/>
      <c r="Q120" s="481"/>
      <c r="R120" s="481"/>
      <c r="S120" s="481"/>
      <c r="T120" s="481"/>
      <c r="U120" s="481"/>
      <c r="V120" s="481"/>
      <c r="W120" s="481"/>
      <c r="X120" s="481"/>
      <c r="Y120" s="481"/>
      <c r="Z120" s="481"/>
      <c r="AA120" s="481"/>
      <c r="AB120" s="481"/>
      <c r="AC120" s="481"/>
      <c r="AD120" s="481"/>
      <c r="AE120" s="481"/>
      <c r="AF120" s="481"/>
      <c r="AG120" s="481"/>
      <c r="AH120" s="481"/>
      <c r="AI120" s="481"/>
      <c r="AJ120" s="481"/>
      <c r="AK120" s="481"/>
      <c r="AL120" s="481"/>
      <c r="AM120" s="481"/>
      <c r="AN120" s="481"/>
      <c r="AO120" s="481"/>
      <c r="AP120" s="481"/>
      <c r="AQ120" s="481"/>
      <c r="AR120" s="481"/>
      <c r="AS120" s="481"/>
      <c r="AT120" s="481"/>
      <c r="AU120" s="481"/>
      <c r="AV120" s="481"/>
      <c r="AW120" s="481"/>
      <c r="AX120" s="481"/>
      <c r="AY120" s="481"/>
      <c r="AZ120" s="481"/>
      <c r="BA120" s="481"/>
      <c r="BB120" s="481"/>
      <c r="BC120" s="481"/>
      <c r="BD120" s="481"/>
      <c r="BE120" s="481"/>
      <c r="BF120" s="481"/>
      <c r="BG120" s="481"/>
      <c r="BH120" s="481"/>
      <c r="BI120" s="481"/>
      <c r="BJ120" s="481"/>
      <c r="BK120" s="481"/>
      <c r="BL120" s="481"/>
      <c r="BM120" s="481"/>
      <c r="BN120" s="481"/>
      <c r="BO120" s="481"/>
      <c r="BP120" s="481"/>
      <c r="BQ120" s="481"/>
      <c r="BR120" s="481"/>
      <c r="BS120" s="481"/>
      <c r="BT120" s="481"/>
      <c r="BU120" s="481"/>
      <c r="BV120" s="481"/>
      <c r="BW120" s="481"/>
      <c r="BX120" s="481"/>
      <c r="BY120" s="481"/>
      <c r="BZ120" s="481"/>
      <c r="CA120" s="481"/>
      <c r="CB120" s="481"/>
      <c r="CC120" s="481"/>
      <c r="CD120" s="481"/>
      <c r="CE120" s="481"/>
      <c r="CF120" s="481"/>
      <c r="CG120" s="481"/>
      <c r="CH120" s="481"/>
      <c r="CI120" s="481"/>
      <c r="CJ120" s="481"/>
      <c r="CK120" s="481"/>
      <c r="CL120" s="481"/>
      <c r="CM120" s="481"/>
      <c r="CN120" s="481"/>
      <c r="CO120" s="481"/>
      <c r="CP120" s="481"/>
      <c r="CQ120" s="481"/>
      <c r="CR120" s="481"/>
      <c r="CS120" s="481"/>
      <c r="CT120" s="481"/>
      <c r="CU120" s="481"/>
      <c r="CV120" s="481"/>
      <c r="CW120" s="481"/>
      <c r="CX120" s="481"/>
      <c r="CY120" s="481"/>
      <c r="CZ120" s="481"/>
      <c r="DA120" s="481"/>
      <c r="DB120" s="481"/>
      <c r="DC120" s="481"/>
      <c r="DD120" s="481"/>
      <c r="DE120" s="481"/>
      <c r="DF120" s="481"/>
      <c r="DG120" s="481"/>
      <c r="DH120" s="481"/>
      <c r="DI120" s="481"/>
      <c r="DJ120" s="481"/>
      <c r="DK120" s="481"/>
      <c r="DL120" s="481"/>
      <c r="DM120" s="481"/>
      <c r="DN120" s="481"/>
      <c r="DO120" s="481"/>
      <c r="DP120" s="481"/>
      <c r="DQ120" s="481"/>
      <c r="DR120" s="481"/>
      <c r="DS120" s="481"/>
      <c r="DT120" s="481"/>
      <c r="DU120" s="481"/>
      <c r="DV120" s="481"/>
      <c r="DW120" s="322" t="s">
        <v>372</v>
      </c>
    </row>
    <row r="121" spans="3:127" hidden="1" outlineLevel="1" x14ac:dyDescent="0.3">
      <c r="C121" s="479" t="str">
        <f>"IRR and Equity Multiple Test for "&amp;C106</f>
        <v>IRR and Equity Multiple Test for Granite Park</v>
      </c>
      <c r="D121" s="480"/>
      <c r="E121" s="481"/>
      <c r="F121" s="481">
        <f>MAX(SUM(F107:F109),SUM(F115:F116))</f>
        <v>455750</v>
      </c>
      <c r="G121" s="481">
        <f t="shared" ref="G121:BR121" si="96">MAX(SUM(G107:G109),SUM(G115:G116))</f>
        <v>455750</v>
      </c>
      <c r="H121" s="481">
        <f t="shared" si="96"/>
        <v>452531.45854166668</v>
      </c>
      <c r="I121" s="481">
        <f t="shared" si="96"/>
        <v>458041.51554354595</v>
      </c>
      <c r="J121" s="481">
        <f t="shared" si="96"/>
        <v>454822.97408521263</v>
      </c>
      <c r="K121" s="481">
        <f t="shared" si="96"/>
        <v>451604.43262687931</v>
      </c>
      <c r="L121" s="481">
        <f t="shared" si="96"/>
        <v>457096.48071633978</v>
      </c>
      <c r="M121" s="481">
        <f t="shared" si="96"/>
        <v>453877.93925800646</v>
      </c>
      <c r="N121" s="481">
        <f t="shared" si="96"/>
        <v>450659.39779967314</v>
      </c>
      <c r="O121" s="481">
        <f t="shared" si="96"/>
        <v>456133.08712573291</v>
      </c>
      <c r="P121" s="481">
        <f t="shared" si="96"/>
        <v>452914.54566739959</v>
      </c>
      <c r="Q121" s="481">
        <f t="shared" si="96"/>
        <v>449696.00420906628</v>
      </c>
      <c r="R121" s="481">
        <f t="shared" si="96"/>
        <v>455150.97812434699</v>
      </c>
      <c r="S121" s="481">
        <f t="shared" si="96"/>
        <v>451932.43666601367</v>
      </c>
      <c r="T121" s="481">
        <f t="shared" si="96"/>
        <v>448490.29208893032</v>
      </c>
      <c r="U121" s="481">
        <f t="shared" si="96"/>
        <v>453693.89622592612</v>
      </c>
      <c r="V121" s="481">
        <f t="shared" si="96"/>
        <v>450251.75164884276</v>
      </c>
      <c r="W121" s="481">
        <f t="shared" si="96"/>
        <v>446809.60707175941</v>
      </c>
      <c r="X121" s="481">
        <f t="shared" si="96"/>
        <v>451980.5613024311</v>
      </c>
      <c r="Y121" s="481">
        <f t="shared" si="96"/>
        <v>448538.41672534775</v>
      </c>
      <c r="Z121" s="481">
        <f t="shared" si="96"/>
        <v>445096.2721482644</v>
      </c>
      <c r="AA121" s="481">
        <f t="shared" si="96"/>
        <v>450233.94219767518</v>
      </c>
      <c r="AB121" s="481">
        <f t="shared" si="96"/>
        <v>446791.79762059182</v>
      </c>
      <c r="AC121" s="481">
        <f t="shared" si="96"/>
        <v>443349.65304350847</v>
      </c>
      <c r="AD121" s="481">
        <f t="shared" si="96"/>
        <v>448453.39231494983</v>
      </c>
      <c r="AE121" s="481">
        <f t="shared" si="96"/>
        <v>445011.24773786648</v>
      </c>
      <c r="AF121" s="481">
        <f t="shared" si="96"/>
        <v>441338.79194847064</v>
      </c>
      <c r="AG121" s="481">
        <f t="shared" si="96"/>
        <v>446168.68176864128</v>
      </c>
      <c r="AH121" s="481">
        <f t="shared" si="96"/>
        <v>442496.22597924544</v>
      </c>
      <c r="AI121" s="481">
        <f t="shared" si="96"/>
        <v>438823.7701898496</v>
      </c>
      <c r="AJ121" s="481">
        <f t="shared" si="96"/>
        <v>443604.80182185106</v>
      </c>
      <c r="AK121" s="481">
        <f t="shared" si="96"/>
        <v>439932.34603245521</v>
      </c>
      <c r="AL121" s="481">
        <f t="shared" si="96"/>
        <v>436259.89024305937</v>
      </c>
      <c r="AM121" s="481">
        <f t="shared" si="96"/>
        <v>440991.11454100732</v>
      </c>
      <c r="AN121" s="481">
        <f t="shared" si="96"/>
        <v>437318.65875161148</v>
      </c>
      <c r="AO121" s="481">
        <f t="shared" si="96"/>
        <v>433646.20296221564</v>
      </c>
      <c r="AP121" s="481">
        <f t="shared" si="96"/>
        <v>438326.6523415987</v>
      </c>
      <c r="AQ121" s="481">
        <f t="shared" si="96"/>
        <v>434654.19655220286</v>
      </c>
      <c r="AR121" s="481">
        <f t="shared" si="96"/>
        <v>430744.52021412516</v>
      </c>
      <c r="AS121" s="481">
        <f t="shared" si="96"/>
        <v>435126.7709926911</v>
      </c>
      <c r="AT121" s="481">
        <f t="shared" si="96"/>
        <v>431217.09465461341</v>
      </c>
      <c r="AU121" s="481">
        <f t="shared" si="96"/>
        <v>427307.41831653571</v>
      </c>
      <c r="AV121" s="481">
        <f t="shared" si="96"/>
        <v>431622.89807385963</v>
      </c>
      <c r="AW121" s="481">
        <f t="shared" si="96"/>
        <v>427713.22173578193</v>
      </c>
      <c r="AX121" s="481">
        <f t="shared" si="96"/>
        <v>423803.54539770423</v>
      </c>
      <c r="AY121" s="481">
        <f t="shared" si="96"/>
        <v>428050.9570034098</v>
      </c>
      <c r="AZ121" s="481">
        <f t="shared" si="96"/>
        <v>424141.2806653321</v>
      </c>
      <c r="BA121" s="481">
        <f t="shared" si="96"/>
        <v>420231.6043272544</v>
      </c>
      <c r="BB121" s="481">
        <f t="shared" si="96"/>
        <v>424409.62545220129</v>
      </c>
      <c r="BC121" s="481">
        <f t="shared" si="96"/>
        <v>420499.94911412359</v>
      </c>
      <c r="BD121" s="481">
        <f t="shared" si="96"/>
        <v>418330.6629450419</v>
      </c>
      <c r="BE121" s="481">
        <f t="shared" si="96"/>
        <v>424245.95528331009</v>
      </c>
      <c r="BF121" s="481">
        <f t="shared" si="96"/>
        <v>422076.6691142284</v>
      </c>
      <c r="BG121" s="481">
        <f t="shared" si="96"/>
        <v>419907.3829451467</v>
      </c>
      <c r="BH121" s="481">
        <f t="shared" si="96"/>
        <v>425853.30550845811</v>
      </c>
      <c r="BI121" s="481">
        <f t="shared" si="96"/>
        <v>423684.01933937642</v>
      </c>
      <c r="BJ121" s="481">
        <f t="shared" si="96"/>
        <v>421514.73317029473</v>
      </c>
      <c r="BK121" s="481">
        <f t="shared" si="96"/>
        <v>427491.88099815301</v>
      </c>
      <c r="BL121" s="481">
        <f t="shared" si="96"/>
        <v>425322.59482907131</v>
      </c>
      <c r="BM121" s="481">
        <f t="shared" si="96"/>
        <v>423153.30865998962</v>
      </c>
      <c r="BN121" s="481">
        <f t="shared" si="96"/>
        <v>429162.28835146123</v>
      </c>
      <c r="BO121" s="481">
        <f t="shared" si="96"/>
        <v>0</v>
      </c>
      <c r="BP121" s="481">
        <f t="shared" si="96"/>
        <v>0</v>
      </c>
      <c r="BQ121" s="481">
        <f t="shared" si="96"/>
        <v>0</v>
      </c>
      <c r="BR121" s="481">
        <f t="shared" si="96"/>
        <v>0</v>
      </c>
      <c r="BS121" s="481">
        <f t="shared" ref="BS121:DV121" si="97">MAX(SUM(BS107:BS109),SUM(BS115:BS116))</f>
        <v>0</v>
      </c>
      <c r="BT121" s="481">
        <f t="shared" si="97"/>
        <v>0</v>
      </c>
      <c r="BU121" s="481">
        <f t="shared" si="97"/>
        <v>0</v>
      </c>
      <c r="BV121" s="481">
        <f t="shared" si="97"/>
        <v>0</v>
      </c>
      <c r="BW121" s="481">
        <f t="shared" si="97"/>
        <v>0</v>
      </c>
      <c r="BX121" s="481">
        <f t="shared" si="97"/>
        <v>0</v>
      </c>
      <c r="BY121" s="481">
        <f t="shared" si="97"/>
        <v>0</v>
      </c>
      <c r="BZ121" s="481">
        <f t="shared" si="97"/>
        <v>0</v>
      </c>
      <c r="CA121" s="481">
        <f t="shared" si="97"/>
        <v>0</v>
      </c>
      <c r="CB121" s="481">
        <f t="shared" si="97"/>
        <v>0</v>
      </c>
      <c r="CC121" s="481">
        <f t="shared" si="97"/>
        <v>0</v>
      </c>
      <c r="CD121" s="481">
        <f t="shared" si="97"/>
        <v>0</v>
      </c>
      <c r="CE121" s="481">
        <f t="shared" si="97"/>
        <v>0</v>
      </c>
      <c r="CF121" s="481">
        <f t="shared" si="97"/>
        <v>0</v>
      </c>
      <c r="CG121" s="481">
        <f t="shared" si="97"/>
        <v>0</v>
      </c>
      <c r="CH121" s="481">
        <f t="shared" si="97"/>
        <v>0</v>
      </c>
      <c r="CI121" s="481">
        <f t="shared" si="97"/>
        <v>0</v>
      </c>
      <c r="CJ121" s="481">
        <f t="shared" si="97"/>
        <v>0</v>
      </c>
      <c r="CK121" s="481">
        <f t="shared" si="97"/>
        <v>0</v>
      </c>
      <c r="CL121" s="481">
        <f t="shared" si="97"/>
        <v>0</v>
      </c>
      <c r="CM121" s="481">
        <f t="shared" si="97"/>
        <v>0</v>
      </c>
      <c r="CN121" s="481">
        <f t="shared" si="97"/>
        <v>0</v>
      </c>
      <c r="CO121" s="481">
        <f t="shared" si="97"/>
        <v>0</v>
      </c>
      <c r="CP121" s="481">
        <f t="shared" si="97"/>
        <v>0</v>
      </c>
      <c r="CQ121" s="481">
        <f t="shared" si="97"/>
        <v>0</v>
      </c>
      <c r="CR121" s="481">
        <f t="shared" si="97"/>
        <v>0</v>
      </c>
      <c r="CS121" s="481">
        <f t="shared" si="97"/>
        <v>0</v>
      </c>
      <c r="CT121" s="481">
        <f t="shared" si="97"/>
        <v>0</v>
      </c>
      <c r="CU121" s="481">
        <f t="shared" si="97"/>
        <v>0</v>
      </c>
      <c r="CV121" s="481">
        <f t="shared" si="97"/>
        <v>0</v>
      </c>
      <c r="CW121" s="481">
        <f t="shared" si="97"/>
        <v>0</v>
      </c>
      <c r="CX121" s="481">
        <f t="shared" si="97"/>
        <v>0</v>
      </c>
      <c r="CY121" s="481">
        <f t="shared" si="97"/>
        <v>0</v>
      </c>
      <c r="CZ121" s="481">
        <f t="shared" si="97"/>
        <v>0</v>
      </c>
      <c r="DA121" s="481">
        <f t="shared" si="97"/>
        <v>0</v>
      </c>
      <c r="DB121" s="481">
        <f t="shared" si="97"/>
        <v>0</v>
      </c>
      <c r="DC121" s="481">
        <f t="shared" si="97"/>
        <v>0</v>
      </c>
      <c r="DD121" s="481">
        <f t="shared" si="97"/>
        <v>0</v>
      </c>
      <c r="DE121" s="481">
        <f t="shared" si="97"/>
        <v>0</v>
      </c>
      <c r="DF121" s="481">
        <f t="shared" si="97"/>
        <v>0</v>
      </c>
      <c r="DG121" s="481">
        <f t="shared" si="97"/>
        <v>0</v>
      </c>
      <c r="DH121" s="481">
        <f t="shared" si="97"/>
        <v>0</v>
      </c>
      <c r="DI121" s="481">
        <f t="shared" si="97"/>
        <v>0</v>
      </c>
      <c r="DJ121" s="481">
        <f t="shared" si="97"/>
        <v>0</v>
      </c>
      <c r="DK121" s="481">
        <f t="shared" si="97"/>
        <v>0</v>
      </c>
      <c r="DL121" s="481">
        <f t="shared" si="97"/>
        <v>0</v>
      </c>
      <c r="DM121" s="481">
        <f t="shared" si="97"/>
        <v>0</v>
      </c>
      <c r="DN121" s="481">
        <f t="shared" si="97"/>
        <v>0</v>
      </c>
      <c r="DO121" s="481">
        <f t="shared" si="97"/>
        <v>0</v>
      </c>
      <c r="DP121" s="481">
        <f t="shared" si="97"/>
        <v>0</v>
      </c>
      <c r="DQ121" s="481">
        <f t="shared" si="97"/>
        <v>0</v>
      </c>
      <c r="DR121" s="481">
        <f t="shared" si="97"/>
        <v>0</v>
      </c>
      <c r="DS121" s="481">
        <f t="shared" si="97"/>
        <v>0</v>
      </c>
      <c r="DT121" s="481">
        <f t="shared" si="97"/>
        <v>0</v>
      </c>
      <c r="DU121" s="481">
        <f t="shared" si="97"/>
        <v>0</v>
      </c>
      <c r="DV121" s="481">
        <f t="shared" si="97"/>
        <v>0</v>
      </c>
      <c r="DW121" s="322" t="s">
        <v>372</v>
      </c>
    </row>
    <row r="122" spans="3:127" hidden="1" outlineLevel="1" x14ac:dyDescent="0.3">
      <c r="C122" s="479"/>
      <c r="D122" s="480"/>
      <c r="E122" s="481"/>
      <c r="F122" s="481"/>
      <c r="G122" s="481"/>
      <c r="H122" s="481"/>
      <c r="I122" s="481"/>
      <c r="J122" s="481"/>
      <c r="K122" s="481"/>
      <c r="L122" s="481"/>
      <c r="M122" s="481"/>
      <c r="N122" s="481"/>
      <c r="O122" s="481"/>
      <c r="P122" s="481"/>
      <c r="Q122" s="481"/>
      <c r="R122" s="481"/>
      <c r="S122" s="481"/>
      <c r="T122" s="481"/>
      <c r="U122" s="481"/>
      <c r="V122" s="481"/>
      <c r="W122" s="481"/>
      <c r="X122" s="481"/>
      <c r="Y122" s="481"/>
      <c r="Z122" s="481"/>
      <c r="AA122" s="481"/>
      <c r="AB122" s="481"/>
      <c r="AC122" s="481"/>
      <c r="AD122" s="481"/>
      <c r="AE122" s="481"/>
      <c r="AF122" s="481"/>
      <c r="AG122" s="481"/>
      <c r="AH122" s="481"/>
      <c r="AI122" s="481"/>
      <c r="AJ122" s="481"/>
      <c r="AK122" s="481"/>
      <c r="AL122" s="481"/>
      <c r="AM122" s="481"/>
      <c r="AN122" s="481"/>
      <c r="AO122" s="481"/>
      <c r="AP122" s="481"/>
      <c r="AQ122" s="481"/>
      <c r="AR122" s="481"/>
      <c r="AS122" s="481"/>
      <c r="AT122" s="481"/>
      <c r="AU122" s="481"/>
      <c r="AV122" s="481"/>
      <c r="AW122" s="481"/>
      <c r="AX122" s="481"/>
      <c r="AY122" s="481"/>
      <c r="AZ122" s="481"/>
      <c r="BA122" s="481"/>
      <c r="BB122" s="481"/>
      <c r="BC122" s="481"/>
      <c r="BD122" s="481"/>
      <c r="BE122" s="481"/>
      <c r="BF122" s="481"/>
      <c r="BG122" s="481"/>
      <c r="BH122" s="481"/>
      <c r="BI122" s="481"/>
      <c r="BJ122" s="481"/>
      <c r="BK122" s="481"/>
      <c r="BL122" s="481"/>
      <c r="BM122" s="481"/>
      <c r="BN122" s="481"/>
      <c r="BO122" s="481"/>
      <c r="BP122" s="481"/>
      <c r="BQ122" s="481"/>
      <c r="BR122" s="481"/>
      <c r="BS122" s="481"/>
      <c r="BT122" s="481"/>
      <c r="BU122" s="481"/>
      <c r="BV122" s="481"/>
      <c r="BW122" s="481"/>
      <c r="BX122" s="481"/>
      <c r="BY122" s="481"/>
      <c r="BZ122" s="481"/>
      <c r="CA122" s="481"/>
      <c r="CB122" s="481"/>
      <c r="CC122" s="481"/>
      <c r="CD122" s="481"/>
      <c r="CE122" s="481"/>
      <c r="CF122" s="481"/>
      <c r="CG122" s="481"/>
      <c r="CH122" s="481"/>
      <c r="CI122" s="481"/>
      <c r="CJ122" s="481"/>
      <c r="CK122" s="481"/>
      <c r="CL122" s="481"/>
      <c r="CM122" s="481"/>
      <c r="CN122" s="481"/>
      <c r="CO122" s="481"/>
      <c r="CP122" s="481"/>
      <c r="CQ122" s="481"/>
      <c r="CR122" s="481"/>
      <c r="CS122" s="481"/>
      <c r="CT122" s="481"/>
      <c r="CU122" s="481"/>
      <c r="CV122" s="481"/>
      <c r="CW122" s="481"/>
      <c r="CX122" s="481"/>
      <c r="CY122" s="481"/>
      <c r="CZ122" s="481"/>
      <c r="DA122" s="481"/>
      <c r="DB122" s="481"/>
      <c r="DC122" s="481"/>
      <c r="DD122" s="481"/>
      <c r="DE122" s="481"/>
      <c r="DF122" s="481"/>
      <c r="DG122" s="481"/>
      <c r="DH122" s="481"/>
      <c r="DI122" s="481"/>
      <c r="DJ122" s="481"/>
      <c r="DK122" s="481"/>
      <c r="DL122" s="481"/>
      <c r="DM122" s="481"/>
      <c r="DN122" s="481"/>
      <c r="DO122" s="481"/>
      <c r="DP122" s="481"/>
      <c r="DQ122" s="481"/>
      <c r="DR122" s="481"/>
      <c r="DS122" s="481"/>
      <c r="DT122" s="481"/>
      <c r="DU122" s="481"/>
      <c r="DV122" s="481"/>
      <c r="DW122" s="322" t="s">
        <v>372</v>
      </c>
    </row>
    <row r="123" spans="3:127" ht="17.25" hidden="1" outlineLevel="1" thickBot="1" x14ac:dyDescent="0.35">
      <c r="C123" s="480" t="str">
        <f>"Total Distribution Per Tier I to "&amp;C106</f>
        <v>Total Distribution Per Tier I to Granite Park</v>
      </c>
      <c r="D123" s="480"/>
      <c r="E123" s="482">
        <v>-2077334.382751219</v>
      </c>
      <c r="F123" s="483">
        <f>-MAX(MIN(F121,F81*$D$127),0)</f>
        <v>0</v>
      </c>
      <c r="G123" s="483">
        <f t="shared" ref="G123:BR123" si="98">-MAX(MIN(G121,G81*$D$127),0)</f>
        <v>-3218.5414583333331</v>
      </c>
      <c r="H123" s="483">
        <f t="shared" si="98"/>
        <v>-3218.5414583333331</v>
      </c>
      <c r="I123" s="483">
        <f t="shared" si="98"/>
        <v>-3218.5414583333331</v>
      </c>
      <c r="J123" s="483">
        <f t="shared" si="98"/>
        <v>-3218.5414583333331</v>
      </c>
      <c r="K123" s="483">
        <f t="shared" si="98"/>
        <v>-3218.5414583333331</v>
      </c>
      <c r="L123" s="483">
        <f t="shared" si="98"/>
        <v>-3218.5414583333331</v>
      </c>
      <c r="M123" s="483">
        <f t="shared" si="98"/>
        <v>-3218.5414583333331</v>
      </c>
      <c r="N123" s="483">
        <f t="shared" si="98"/>
        <v>-3218.5414583333331</v>
      </c>
      <c r="O123" s="483">
        <f t="shared" si="98"/>
        <v>-3218.5414583333331</v>
      </c>
      <c r="P123" s="483">
        <f t="shared" si="98"/>
        <v>-3218.5414583333331</v>
      </c>
      <c r="Q123" s="483">
        <f t="shared" si="98"/>
        <v>-3218.5414583333331</v>
      </c>
      <c r="R123" s="483">
        <f t="shared" si="98"/>
        <v>-3218.5414583333331</v>
      </c>
      <c r="S123" s="483">
        <f t="shared" si="98"/>
        <v>-3442.1445770833343</v>
      </c>
      <c r="T123" s="483">
        <f t="shared" si="98"/>
        <v>-3442.1445770833343</v>
      </c>
      <c r="U123" s="483">
        <f t="shared" si="98"/>
        <v>-3442.1445770833343</v>
      </c>
      <c r="V123" s="483">
        <f t="shared" si="98"/>
        <v>-3442.1445770833343</v>
      </c>
      <c r="W123" s="483">
        <f t="shared" si="98"/>
        <v>-3442.1445770833343</v>
      </c>
      <c r="X123" s="483">
        <f t="shared" si="98"/>
        <v>-3442.1445770833343</v>
      </c>
      <c r="Y123" s="483">
        <f t="shared" si="98"/>
        <v>-3442.1445770833343</v>
      </c>
      <c r="Z123" s="483">
        <f t="shared" si="98"/>
        <v>-3442.1445770833343</v>
      </c>
      <c r="AA123" s="483">
        <f t="shared" si="98"/>
        <v>-3442.1445770833343</v>
      </c>
      <c r="AB123" s="483">
        <f t="shared" si="98"/>
        <v>-3442.1445770833343</v>
      </c>
      <c r="AC123" s="483">
        <f t="shared" si="98"/>
        <v>-3442.1445770833343</v>
      </c>
      <c r="AD123" s="483">
        <f t="shared" si="98"/>
        <v>-3442.1445770833343</v>
      </c>
      <c r="AE123" s="483">
        <f t="shared" si="98"/>
        <v>-3672.4557893958322</v>
      </c>
      <c r="AF123" s="483">
        <f t="shared" si="98"/>
        <v>-3672.4557893958322</v>
      </c>
      <c r="AG123" s="483">
        <f t="shared" si="98"/>
        <v>-3672.4557893958322</v>
      </c>
      <c r="AH123" s="483">
        <f t="shared" si="98"/>
        <v>-3672.4557893958322</v>
      </c>
      <c r="AI123" s="483">
        <f t="shared" si="98"/>
        <v>-3672.4557893958322</v>
      </c>
      <c r="AJ123" s="483">
        <f t="shared" si="98"/>
        <v>-3672.4557893958322</v>
      </c>
      <c r="AK123" s="483">
        <f t="shared" si="98"/>
        <v>-3672.4557893958322</v>
      </c>
      <c r="AL123" s="483">
        <f t="shared" si="98"/>
        <v>-3672.4557893958322</v>
      </c>
      <c r="AM123" s="483">
        <f t="shared" si="98"/>
        <v>-3672.4557893958322</v>
      </c>
      <c r="AN123" s="483">
        <f t="shared" si="98"/>
        <v>-3672.4557893958322</v>
      </c>
      <c r="AO123" s="483">
        <f t="shared" si="98"/>
        <v>-3672.4557893958322</v>
      </c>
      <c r="AP123" s="483">
        <f t="shared" si="98"/>
        <v>-3672.4557893958322</v>
      </c>
      <c r="AQ123" s="483">
        <f t="shared" si="98"/>
        <v>-3909.676338077707</v>
      </c>
      <c r="AR123" s="483">
        <f t="shared" si="98"/>
        <v>-3909.676338077707</v>
      </c>
      <c r="AS123" s="483">
        <f t="shared" si="98"/>
        <v>-3909.676338077707</v>
      </c>
      <c r="AT123" s="483">
        <f t="shared" si="98"/>
        <v>-3909.676338077707</v>
      </c>
      <c r="AU123" s="483">
        <f t="shared" si="98"/>
        <v>-3909.676338077707</v>
      </c>
      <c r="AV123" s="483">
        <f t="shared" si="98"/>
        <v>-3909.676338077707</v>
      </c>
      <c r="AW123" s="483">
        <f t="shared" si="98"/>
        <v>-3909.676338077707</v>
      </c>
      <c r="AX123" s="483">
        <f t="shared" si="98"/>
        <v>-3909.676338077707</v>
      </c>
      <c r="AY123" s="483">
        <f t="shared" si="98"/>
        <v>-3909.676338077707</v>
      </c>
      <c r="AZ123" s="483">
        <f t="shared" si="98"/>
        <v>-3909.676338077707</v>
      </c>
      <c r="BA123" s="483">
        <f t="shared" si="98"/>
        <v>-3909.676338077707</v>
      </c>
      <c r="BB123" s="483">
        <f t="shared" si="98"/>
        <v>-3909.676338077707</v>
      </c>
      <c r="BC123" s="483">
        <f t="shared" si="98"/>
        <v>-2169.2861690817131</v>
      </c>
      <c r="BD123" s="483">
        <f t="shared" si="98"/>
        <v>-2169.2861690817131</v>
      </c>
      <c r="BE123" s="483">
        <f t="shared" si="98"/>
        <v>-2169.2861690817131</v>
      </c>
      <c r="BF123" s="483">
        <f t="shared" si="98"/>
        <v>-2169.2861690817131</v>
      </c>
      <c r="BG123" s="483">
        <f t="shared" si="98"/>
        <v>-2169.2861690817131</v>
      </c>
      <c r="BH123" s="483">
        <f t="shared" si="98"/>
        <v>-2169.2861690817131</v>
      </c>
      <c r="BI123" s="483">
        <f t="shared" si="98"/>
        <v>-2169.2861690817131</v>
      </c>
      <c r="BJ123" s="483">
        <f t="shared" si="98"/>
        <v>-2169.2861690817131</v>
      </c>
      <c r="BK123" s="483">
        <f t="shared" si="98"/>
        <v>-2169.2861690817131</v>
      </c>
      <c r="BL123" s="483">
        <f t="shared" si="98"/>
        <v>-2169.2861690817131</v>
      </c>
      <c r="BM123" s="483">
        <f t="shared" si="98"/>
        <v>-2169.2861690817131</v>
      </c>
      <c r="BN123" s="483">
        <f t="shared" si="98"/>
        <v>-429162.28835146123</v>
      </c>
      <c r="BO123" s="483">
        <f t="shared" si="98"/>
        <v>0</v>
      </c>
      <c r="BP123" s="483">
        <f t="shared" si="98"/>
        <v>0</v>
      </c>
      <c r="BQ123" s="483">
        <f t="shared" si="98"/>
        <v>0</v>
      </c>
      <c r="BR123" s="483">
        <f t="shared" si="98"/>
        <v>0</v>
      </c>
      <c r="BS123" s="483">
        <f t="shared" ref="BS123:DV123" si="99">-MAX(MIN(BS121,BS81*$D$127),0)</f>
        <v>0</v>
      </c>
      <c r="BT123" s="483">
        <f t="shared" si="99"/>
        <v>0</v>
      </c>
      <c r="BU123" s="483">
        <f t="shared" si="99"/>
        <v>0</v>
      </c>
      <c r="BV123" s="483">
        <f t="shared" si="99"/>
        <v>0</v>
      </c>
      <c r="BW123" s="483">
        <f t="shared" si="99"/>
        <v>0</v>
      </c>
      <c r="BX123" s="483">
        <f t="shared" si="99"/>
        <v>0</v>
      </c>
      <c r="BY123" s="483">
        <f t="shared" si="99"/>
        <v>0</v>
      </c>
      <c r="BZ123" s="483">
        <f t="shared" si="99"/>
        <v>0</v>
      </c>
      <c r="CA123" s="483">
        <f t="shared" si="99"/>
        <v>0</v>
      </c>
      <c r="CB123" s="483">
        <f t="shared" si="99"/>
        <v>0</v>
      </c>
      <c r="CC123" s="483">
        <f t="shared" si="99"/>
        <v>0</v>
      </c>
      <c r="CD123" s="483">
        <f t="shared" si="99"/>
        <v>0</v>
      </c>
      <c r="CE123" s="483">
        <f t="shared" si="99"/>
        <v>0</v>
      </c>
      <c r="CF123" s="483">
        <f t="shared" si="99"/>
        <v>0</v>
      </c>
      <c r="CG123" s="483">
        <f t="shared" si="99"/>
        <v>0</v>
      </c>
      <c r="CH123" s="483">
        <f t="shared" si="99"/>
        <v>0</v>
      </c>
      <c r="CI123" s="483">
        <f t="shared" si="99"/>
        <v>0</v>
      </c>
      <c r="CJ123" s="483">
        <f t="shared" si="99"/>
        <v>0</v>
      </c>
      <c r="CK123" s="483">
        <f t="shared" si="99"/>
        <v>0</v>
      </c>
      <c r="CL123" s="483">
        <f t="shared" si="99"/>
        <v>0</v>
      </c>
      <c r="CM123" s="483">
        <f t="shared" si="99"/>
        <v>0</v>
      </c>
      <c r="CN123" s="483">
        <f t="shared" si="99"/>
        <v>0</v>
      </c>
      <c r="CO123" s="483">
        <f t="shared" si="99"/>
        <v>0</v>
      </c>
      <c r="CP123" s="483">
        <f t="shared" si="99"/>
        <v>0</v>
      </c>
      <c r="CQ123" s="483">
        <f t="shared" si="99"/>
        <v>0</v>
      </c>
      <c r="CR123" s="483">
        <f t="shared" si="99"/>
        <v>0</v>
      </c>
      <c r="CS123" s="483">
        <f t="shared" si="99"/>
        <v>0</v>
      </c>
      <c r="CT123" s="483">
        <f t="shared" si="99"/>
        <v>0</v>
      </c>
      <c r="CU123" s="483">
        <f t="shared" si="99"/>
        <v>0</v>
      </c>
      <c r="CV123" s="483">
        <f t="shared" si="99"/>
        <v>0</v>
      </c>
      <c r="CW123" s="483">
        <f t="shared" si="99"/>
        <v>0</v>
      </c>
      <c r="CX123" s="483">
        <f t="shared" si="99"/>
        <v>0</v>
      </c>
      <c r="CY123" s="483">
        <f t="shared" si="99"/>
        <v>0</v>
      </c>
      <c r="CZ123" s="483">
        <f t="shared" si="99"/>
        <v>0</v>
      </c>
      <c r="DA123" s="483">
        <f t="shared" si="99"/>
        <v>0</v>
      </c>
      <c r="DB123" s="483">
        <f t="shared" si="99"/>
        <v>0</v>
      </c>
      <c r="DC123" s="483">
        <f t="shared" si="99"/>
        <v>0</v>
      </c>
      <c r="DD123" s="483">
        <f t="shared" si="99"/>
        <v>0</v>
      </c>
      <c r="DE123" s="483">
        <f t="shared" si="99"/>
        <v>0</v>
      </c>
      <c r="DF123" s="483">
        <f t="shared" si="99"/>
        <v>0</v>
      </c>
      <c r="DG123" s="483">
        <f t="shared" si="99"/>
        <v>0</v>
      </c>
      <c r="DH123" s="483">
        <f t="shared" si="99"/>
        <v>0</v>
      </c>
      <c r="DI123" s="483">
        <f t="shared" si="99"/>
        <v>0</v>
      </c>
      <c r="DJ123" s="483">
        <f t="shared" si="99"/>
        <v>0</v>
      </c>
      <c r="DK123" s="483">
        <f t="shared" si="99"/>
        <v>0</v>
      </c>
      <c r="DL123" s="483">
        <f t="shared" si="99"/>
        <v>0</v>
      </c>
      <c r="DM123" s="483">
        <f t="shared" si="99"/>
        <v>0</v>
      </c>
      <c r="DN123" s="483">
        <f t="shared" si="99"/>
        <v>0</v>
      </c>
      <c r="DO123" s="483">
        <f t="shared" si="99"/>
        <v>0</v>
      </c>
      <c r="DP123" s="483">
        <f t="shared" si="99"/>
        <v>0</v>
      </c>
      <c r="DQ123" s="483">
        <f t="shared" si="99"/>
        <v>0</v>
      </c>
      <c r="DR123" s="483">
        <f t="shared" si="99"/>
        <v>0</v>
      </c>
      <c r="DS123" s="483">
        <f t="shared" si="99"/>
        <v>0</v>
      </c>
      <c r="DT123" s="483">
        <f t="shared" si="99"/>
        <v>0</v>
      </c>
      <c r="DU123" s="483">
        <f t="shared" si="99"/>
        <v>0</v>
      </c>
      <c r="DV123" s="483">
        <f t="shared" si="99"/>
        <v>0</v>
      </c>
      <c r="DW123" s="322" t="s">
        <v>372</v>
      </c>
    </row>
    <row r="124" spans="3:127" ht="17.25" hidden="1" outlineLevel="1" thickTop="1" x14ac:dyDescent="0.3">
      <c r="C124" s="365"/>
      <c r="D124" s="470"/>
      <c r="E124" s="463"/>
      <c r="F124" s="374"/>
      <c r="G124" s="374"/>
      <c r="H124" s="463"/>
      <c r="I124" s="463"/>
      <c r="J124" s="463"/>
      <c r="K124" s="463"/>
      <c r="L124" s="463"/>
      <c r="M124" s="463"/>
      <c r="N124" s="463"/>
      <c r="O124" s="463"/>
      <c r="P124" s="463"/>
      <c r="Q124" s="463"/>
      <c r="R124" s="463"/>
      <c r="S124" s="463"/>
      <c r="T124" s="463"/>
      <c r="U124" s="463"/>
      <c r="V124" s="463"/>
      <c r="W124" s="463"/>
      <c r="X124" s="463"/>
      <c r="Y124" s="463"/>
      <c r="Z124" s="463"/>
      <c r="AA124" s="463"/>
      <c r="AB124" s="463"/>
      <c r="AC124" s="463"/>
      <c r="AD124" s="463"/>
      <c r="AE124" s="463"/>
      <c r="AF124" s="463"/>
      <c r="AG124" s="463"/>
      <c r="AH124" s="463"/>
      <c r="AI124" s="463"/>
      <c r="AJ124" s="463"/>
      <c r="AK124" s="463"/>
      <c r="AL124" s="463"/>
      <c r="AM124" s="463"/>
      <c r="AN124" s="463"/>
      <c r="AO124" s="463"/>
      <c r="AP124" s="463"/>
      <c r="AQ124" s="463"/>
      <c r="AR124" s="463"/>
      <c r="AS124" s="463"/>
      <c r="AT124" s="463"/>
      <c r="AU124" s="463"/>
      <c r="AV124" s="463"/>
      <c r="AW124" s="463"/>
      <c r="AX124" s="463"/>
      <c r="AY124" s="463"/>
      <c r="AZ124" s="463"/>
      <c r="BA124" s="463"/>
      <c r="BB124" s="463"/>
      <c r="BC124" s="463"/>
      <c r="BD124" s="463"/>
      <c r="BE124" s="463"/>
      <c r="BF124" s="463"/>
      <c r="BG124" s="463"/>
      <c r="BH124" s="463"/>
      <c r="BI124" s="463"/>
      <c r="BJ124" s="463"/>
      <c r="BK124" s="463"/>
      <c r="BL124" s="463"/>
      <c r="BM124" s="463"/>
      <c r="BN124" s="463"/>
      <c r="BO124" s="463"/>
      <c r="BP124" s="463"/>
      <c r="BQ124" s="463"/>
      <c r="BR124" s="463"/>
      <c r="BS124" s="463"/>
      <c r="BT124" s="463"/>
      <c r="BU124" s="463"/>
      <c r="BV124" s="463"/>
      <c r="BW124" s="463"/>
      <c r="BX124" s="463"/>
      <c r="BY124" s="463"/>
      <c r="BZ124" s="463"/>
      <c r="CA124" s="463"/>
      <c r="CB124" s="463"/>
      <c r="CC124" s="463"/>
      <c r="CD124" s="463"/>
      <c r="CE124" s="463"/>
      <c r="CF124" s="463"/>
      <c r="CG124" s="463"/>
      <c r="CH124" s="463"/>
      <c r="CI124" s="463"/>
      <c r="CJ124" s="463"/>
      <c r="CK124" s="463"/>
      <c r="CL124" s="463"/>
      <c r="CM124" s="463"/>
      <c r="CN124" s="463"/>
      <c r="CO124" s="463"/>
      <c r="CP124" s="463"/>
      <c r="CQ124" s="463"/>
      <c r="CR124" s="463"/>
      <c r="CS124" s="463"/>
      <c r="CT124" s="463"/>
      <c r="CU124" s="463"/>
      <c r="CV124" s="463"/>
      <c r="CW124" s="463"/>
      <c r="CX124" s="463"/>
      <c r="CY124" s="463"/>
      <c r="CZ124" s="463"/>
      <c r="DA124" s="463"/>
      <c r="DB124" s="463"/>
      <c r="DC124" s="463"/>
      <c r="DD124" s="463"/>
      <c r="DE124" s="463"/>
      <c r="DF124" s="463"/>
      <c r="DG124" s="463"/>
      <c r="DH124" s="463"/>
      <c r="DI124" s="463"/>
      <c r="DJ124" s="463"/>
      <c r="DK124" s="463"/>
      <c r="DL124" s="463"/>
      <c r="DM124" s="463"/>
      <c r="DN124" s="463"/>
      <c r="DO124" s="463"/>
      <c r="DP124" s="463"/>
      <c r="DQ124" s="463"/>
      <c r="DR124" s="463"/>
      <c r="DS124" s="463"/>
      <c r="DT124" s="463"/>
      <c r="DU124" s="463"/>
      <c r="DV124" s="463"/>
      <c r="DW124" s="322" t="s">
        <v>372</v>
      </c>
    </row>
    <row r="125" spans="3:127" hidden="1" outlineLevel="1" x14ac:dyDescent="0.3">
      <c r="C125" s="485" t="s">
        <v>405</v>
      </c>
      <c r="D125" s="374"/>
      <c r="E125" s="463"/>
      <c r="F125" s="374"/>
      <c r="G125" s="374"/>
      <c r="H125" s="463"/>
      <c r="I125" s="463"/>
      <c r="J125" s="463"/>
      <c r="K125" s="463"/>
      <c r="L125" s="463"/>
      <c r="M125" s="463"/>
      <c r="N125" s="463"/>
      <c r="O125" s="463"/>
      <c r="P125" s="463"/>
      <c r="Q125" s="463"/>
      <c r="R125" s="463"/>
      <c r="S125" s="463"/>
      <c r="T125" s="463"/>
      <c r="U125" s="463"/>
      <c r="V125" s="463"/>
      <c r="W125" s="463"/>
      <c r="X125" s="463"/>
      <c r="Y125" s="463"/>
      <c r="Z125" s="463"/>
      <c r="AA125" s="463"/>
      <c r="AB125" s="463"/>
      <c r="AC125" s="463"/>
      <c r="AD125" s="463"/>
      <c r="AE125" s="463"/>
      <c r="AF125" s="463"/>
      <c r="AG125" s="463"/>
      <c r="AH125" s="463"/>
      <c r="AI125" s="463"/>
      <c r="AJ125" s="463"/>
      <c r="AK125" s="463"/>
      <c r="AL125" s="463"/>
      <c r="AM125" s="463"/>
      <c r="AN125" s="463"/>
      <c r="AO125" s="463"/>
      <c r="AP125" s="463"/>
      <c r="AQ125" s="463"/>
      <c r="AR125" s="463"/>
      <c r="AS125" s="463"/>
      <c r="AT125" s="463"/>
      <c r="AU125" s="463"/>
      <c r="AV125" s="463"/>
      <c r="AW125" s="463"/>
      <c r="AX125" s="463"/>
      <c r="AY125" s="463"/>
      <c r="AZ125" s="463"/>
      <c r="BA125" s="463"/>
      <c r="BB125" s="463"/>
      <c r="BC125" s="463"/>
      <c r="BD125" s="463"/>
      <c r="BE125" s="463"/>
      <c r="BF125" s="463"/>
      <c r="BG125" s="463"/>
      <c r="BH125" s="463"/>
      <c r="BI125" s="463"/>
      <c r="BJ125" s="463"/>
      <c r="BK125" s="463"/>
      <c r="BL125" s="463"/>
      <c r="BM125" s="463"/>
      <c r="BN125" s="463"/>
      <c r="BO125" s="463"/>
      <c r="BP125" s="463"/>
      <c r="BQ125" s="463"/>
      <c r="BR125" s="463"/>
      <c r="BS125" s="463"/>
      <c r="BT125" s="463"/>
      <c r="BU125" s="463"/>
      <c r="BV125" s="463"/>
      <c r="BW125" s="463"/>
      <c r="BX125" s="463"/>
      <c r="BY125" s="463"/>
      <c r="BZ125" s="463"/>
      <c r="CA125" s="463"/>
      <c r="CB125" s="463"/>
      <c r="CC125" s="463"/>
      <c r="CD125" s="463"/>
      <c r="CE125" s="463"/>
      <c r="CF125" s="463"/>
      <c r="CG125" s="463"/>
      <c r="CH125" s="463"/>
      <c r="CI125" s="463"/>
      <c r="CJ125" s="463"/>
      <c r="CK125" s="463"/>
      <c r="CL125" s="463"/>
      <c r="CM125" s="463"/>
      <c r="CN125" s="463"/>
      <c r="CO125" s="463"/>
      <c r="CP125" s="463"/>
      <c r="CQ125" s="463"/>
      <c r="CR125" s="463"/>
      <c r="CS125" s="463"/>
      <c r="CT125" s="463"/>
      <c r="CU125" s="463"/>
      <c r="CV125" s="463"/>
      <c r="CW125" s="463"/>
      <c r="CX125" s="463"/>
      <c r="CY125" s="463"/>
      <c r="CZ125" s="463"/>
      <c r="DA125" s="463"/>
      <c r="DB125" s="463"/>
      <c r="DC125" s="463"/>
      <c r="DD125" s="463"/>
      <c r="DE125" s="463"/>
      <c r="DF125" s="463"/>
      <c r="DG125" s="463"/>
      <c r="DH125" s="463"/>
      <c r="DI125" s="463"/>
      <c r="DJ125" s="463"/>
      <c r="DK125" s="463"/>
      <c r="DL125" s="463"/>
      <c r="DM125" s="463"/>
      <c r="DN125" s="463"/>
      <c r="DO125" s="463"/>
      <c r="DP125" s="463"/>
      <c r="DQ125" s="463"/>
      <c r="DR125" s="463"/>
      <c r="DS125" s="463"/>
      <c r="DT125" s="463"/>
      <c r="DU125" s="463"/>
      <c r="DV125" s="463"/>
      <c r="DW125" s="322" t="s">
        <v>372</v>
      </c>
    </row>
    <row r="126" spans="3:127" hidden="1" outlineLevel="1" x14ac:dyDescent="0.3">
      <c r="C126" s="374" t="str">
        <f>C86&amp; " Equity"</f>
        <v>LP Equity</v>
      </c>
      <c r="D126" s="486">
        <f>H38</f>
        <v>0.75</v>
      </c>
      <c r="E126" s="467">
        <f>SUM(F126:DV126)</f>
        <v>504564.76249812916</v>
      </c>
      <c r="F126" s="466">
        <f>-F88-F103</f>
        <v>-1367250</v>
      </c>
      <c r="G126" s="466">
        <f t="shared" ref="G126:BR126" si="100">-G88-G103</f>
        <v>9655.6243749999994</v>
      </c>
      <c r="H126" s="466">
        <f t="shared" si="100"/>
        <v>9655.6243749999994</v>
      </c>
      <c r="I126" s="466">
        <f t="shared" si="100"/>
        <v>9655.6243749999994</v>
      </c>
      <c r="J126" s="466">
        <f t="shared" si="100"/>
        <v>9655.6243749999994</v>
      </c>
      <c r="K126" s="466">
        <f t="shared" si="100"/>
        <v>9655.6243749999994</v>
      </c>
      <c r="L126" s="466">
        <f t="shared" si="100"/>
        <v>9655.6243749999994</v>
      </c>
      <c r="M126" s="466">
        <f t="shared" si="100"/>
        <v>9655.6243749999994</v>
      </c>
      <c r="N126" s="466">
        <f t="shared" si="100"/>
        <v>9655.6243749999994</v>
      </c>
      <c r="O126" s="466">
        <f t="shared" si="100"/>
        <v>9655.6243749999994</v>
      </c>
      <c r="P126" s="466">
        <f t="shared" si="100"/>
        <v>9655.6243749999994</v>
      </c>
      <c r="Q126" s="466">
        <f t="shared" si="100"/>
        <v>9655.6243749999994</v>
      </c>
      <c r="R126" s="466">
        <f t="shared" si="100"/>
        <v>9655.6243749999994</v>
      </c>
      <c r="S126" s="466">
        <f t="shared" si="100"/>
        <v>10326.433731250003</v>
      </c>
      <c r="T126" s="466">
        <f t="shared" si="100"/>
        <v>10326.433731250003</v>
      </c>
      <c r="U126" s="466">
        <f t="shared" si="100"/>
        <v>10326.433731250003</v>
      </c>
      <c r="V126" s="466">
        <f t="shared" si="100"/>
        <v>10326.433731250003</v>
      </c>
      <c r="W126" s="466">
        <f t="shared" si="100"/>
        <v>10326.433731250003</v>
      </c>
      <c r="X126" s="466">
        <f t="shared" si="100"/>
        <v>10326.433731250003</v>
      </c>
      <c r="Y126" s="466">
        <f t="shared" si="100"/>
        <v>10326.433731250003</v>
      </c>
      <c r="Z126" s="466">
        <f t="shared" si="100"/>
        <v>10326.433731250003</v>
      </c>
      <c r="AA126" s="466">
        <f t="shared" si="100"/>
        <v>10326.433731250003</v>
      </c>
      <c r="AB126" s="466">
        <f t="shared" si="100"/>
        <v>10326.433731250003</v>
      </c>
      <c r="AC126" s="466">
        <f t="shared" si="100"/>
        <v>10326.433731250003</v>
      </c>
      <c r="AD126" s="466">
        <f t="shared" si="100"/>
        <v>10326.433731250003</v>
      </c>
      <c r="AE126" s="466">
        <f t="shared" si="100"/>
        <v>11017.367368187497</v>
      </c>
      <c r="AF126" s="466">
        <f t="shared" si="100"/>
        <v>11017.367368187497</v>
      </c>
      <c r="AG126" s="466">
        <f t="shared" si="100"/>
        <v>11017.367368187497</v>
      </c>
      <c r="AH126" s="466">
        <f t="shared" si="100"/>
        <v>11017.367368187497</v>
      </c>
      <c r="AI126" s="466">
        <f t="shared" si="100"/>
        <v>11017.367368187497</v>
      </c>
      <c r="AJ126" s="466">
        <f t="shared" si="100"/>
        <v>11017.367368187497</v>
      </c>
      <c r="AK126" s="466">
        <f t="shared" si="100"/>
        <v>11017.367368187497</v>
      </c>
      <c r="AL126" s="466">
        <f t="shared" si="100"/>
        <v>11017.367368187497</v>
      </c>
      <c r="AM126" s="466">
        <f t="shared" si="100"/>
        <v>11017.367368187497</v>
      </c>
      <c r="AN126" s="466">
        <f t="shared" si="100"/>
        <v>11017.367368187497</v>
      </c>
      <c r="AO126" s="466">
        <f t="shared" si="100"/>
        <v>11017.367368187497</v>
      </c>
      <c r="AP126" s="466">
        <f t="shared" si="100"/>
        <v>11017.367368187497</v>
      </c>
      <c r="AQ126" s="466">
        <f t="shared" si="100"/>
        <v>11729.029014233121</v>
      </c>
      <c r="AR126" s="466">
        <f t="shared" si="100"/>
        <v>11729.029014233121</v>
      </c>
      <c r="AS126" s="466">
        <f t="shared" si="100"/>
        <v>11729.029014233121</v>
      </c>
      <c r="AT126" s="466">
        <f t="shared" si="100"/>
        <v>11729.029014233121</v>
      </c>
      <c r="AU126" s="466">
        <f t="shared" si="100"/>
        <v>11729.029014233121</v>
      </c>
      <c r="AV126" s="466">
        <f t="shared" si="100"/>
        <v>11729.029014233121</v>
      </c>
      <c r="AW126" s="466">
        <f t="shared" si="100"/>
        <v>11729.029014233121</v>
      </c>
      <c r="AX126" s="466">
        <f t="shared" si="100"/>
        <v>11729.029014233121</v>
      </c>
      <c r="AY126" s="466">
        <f t="shared" si="100"/>
        <v>11729.029014233121</v>
      </c>
      <c r="AZ126" s="466">
        <f t="shared" si="100"/>
        <v>11729.029014233121</v>
      </c>
      <c r="BA126" s="466">
        <f t="shared" si="100"/>
        <v>11729.029014233121</v>
      </c>
      <c r="BB126" s="466">
        <f t="shared" si="100"/>
        <v>11729.029014233121</v>
      </c>
      <c r="BC126" s="466">
        <f t="shared" si="100"/>
        <v>6507.8585072451388</v>
      </c>
      <c r="BD126" s="466">
        <f t="shared" si="100"/>
        <v>6507.8585072451388</v>
      </c>
      <c r="BE126" s="466">
        <f t="shared" si="100"/>
        <v>6507.8585072451388</v>
      </c>
      <c r="BF126" s="466">
        <f t="shared" si="100"/>
        <v>6507.8585072451388</v>
      </c>
      <c r="BG126" s="466">
        <f t="shared" si="100"/>
        <v>6507.8585072451388</v>
      </c>
      <c r="BH126" s="466">
        <f t="shared" si="100"/>
        <v>6507.8585072451388</v>
      </c>
      <c r="BI126" s="466">
        <f t="shared" si="100"/>
        <v>6507.8585072451388</v>
      </c>
      <c r="BJ126" s="466">
        <f t="shared" si="100"/>
        <v>6507.8585072451388</v>
      </c>
      <c r="BK126" s="466">
        <f t="shared" si="100"/>
        <v>6507.8585072451388</v>
      </c>
      <c r="BL126" s="466">
        <f t="shared" si="100"/>
        <v>6507.8585072451388</v>
      </c>
      <c r="BM126" s="466">
        <f t="shared" si="100"/>
        <v>6507.8585072451388</v>
      </c>
      <c r="BN126" s="466">
        <f t="shared" si="100"/>
        <v>1287486.8650543864</v>
      </c>
      <c r="BO126" s="466">
        <f t="shared" si="100"/>
        <v>0</v>
      </c>
      <c r="BP126" s="466">
        <f t="shared" si="100"/>
        <v>0</v>
      </c>
      <c r="BQ126" s="466">
        <f t="shared" si="100"/>
        <v>0</v>
      </c>
      <c r="BR126" s="466">
        <f t="shared" si="100"/>
        <v>0</v>
      </c>
      <c r="BS126" s="466">
        <f t="shared" ref="BS126:DV126" si="101">-BS88-BS103</f>
        <v>0</v>
      </c>
      <c r="BT126" s="466">
        <f t="shared" si="101"/>
        <v>0</v>
      </c>
      <c r="BU126" s="466">
        <f t="shared" si="101"/>
        <v>0</v>
      </c>
      <c r="BV126" s="466">
        <f t="shared" si="101"/>
        <v>0</v>
      </c>
      <c r="BW126" s="466">
        <f t="shared" si="101"/>
        <v>0</v>
      </c>
      <c r="BX126" s="466">
        <f t="shared" si="101"/>
        <v>0</v>
      </c>
      <c r="BY126" s="466">
        <f t="shared" si="101"/>
        <v>0</v>
      </c>
      <c r="BZ126" s="466">
        <f t="shared" si="101"/>
        <v>0</v>
      </c>
      <c r="CA126" s="466">
        <f t="shared" si="101"/>
        <v>0</v>
      </c>
      <c r="CB126" s="466">
        <f t="shared" si="101"/>
        <v>0</v>
      </c>
      <c r="CC126" s="466">
        <f t="shared" si="101"/>
        <v>0</v>
      </c>
      <c r="CD126" s="466">
        <f t="shared" si="101"/>
        <v>0</v>
      </c>
      <c r="CE126" s="466">
        <f t="shared" si="101"/>
        <v>0</v>
      </c>
      <c r="CF126" s="466">
        <f t="shared" si="101"/>
        <v>0</v>
      </c>
      <c r="CG126" s="466">
        <f t="shared" si="101"/>
        <v>0</v>
      </c>
      <c r="CH126" s="466">
        <f t="shared" si="101"/>
        <v>0</v>
      </c>
      <c r="CI126" s="466">
        <f t="shared" si="101"/>
        <v>0</v>
      </c>
      <c r="CJ126" s="466">
        <f t="shared" si="101"/>
        <v>0</v>
      </c>
      <c r="CK126" s="466">
        <f t="shared" si="101"/>
        <v>0</v>
      </c>
      <c r="CL126" s="466">
        <f t="shared" si="101"/>
        <v>0</v>
      </c>
      <c r="CM126" s="466">
        <f t="shared" si="101"/>
        <v>0</v>
      </c>
      <c r="CN126" s="466">
        <f t="shared" si="101"/>
        <v>0</v>
      </c>
      <c r="CO126" s="466">
        <f t="shared" si="101"/>
        <v>0</v>
      </c>
      <c r="CP126" s="466">
        <f t="shared" si="101"/>
        <v>0</v>
      </c>
      <c r="CQ126" s="466">
        <f t="shared" si="101"/>
        <v>0</v>
      </c>
      <c r="CR126" s="466">
        <f t="shared" si="101"/>
        <v>0</v>
      </c>
      <c r="CS126" s="466">
        <f t="shared" si="101"/>
        <v>0</v>
      </c>
      <c r="CT126" s="466">
        <f t="shared" si="101"/>
        <v>0</v>
      </c>
      <c r="CU126" s="466">
        <f t="shared" si="101"/>
        <v>0</v>
      </c>
      <c r="CV126" s="466">
        <f t="shared" si="101"/>
        <v>0</v>
      </c>
      <c r="CW126" s="466">
        <f t="shared" si="101"/>
        <v>0</v>
      </c>
      <c r="CX126" s="466">
        <f t="shared" si="101"/>
        <v>0</v>
      </c>
      <c r="CY126" s="466">
        <f t="shared" si="101"/>
        <v>0</v>
      </c>
      <c r="CZ126" s="466">
        <f t="shared" si="101"/>
        <v>0</v>
      </c>
      <c r="DA126" s="466">
        <f t="shared" si="101"/>
        <v>0</v>
      </c>
      <c r="DB126" s="466">
        <f t="shared" si="101"/>
        <v>0</v>
      </c>
      <c r="DC126" s="466">
        <f t="shared" si="101"/>
        <v>0</v>
      </c>
      <c r="DD126" s="466">
        <f t="shared" si="101"/>
        <v>0</v>
      </c>
      <c r="DE126" s="466">
        <f t="shared" si="101"/>
        <v>0</v>
      </c>
      <c r="DF126" s="466">
        <f t="shared" si="101"/>
        <v>0</v>
      </c>
      <c r="DG126" s="466">
        <f t="shared" si="101"/>
        <v>0</v>
      </c>
      <c r="DH126" s="466">
        <f t="shared" si="101"/>
        <v>0</v>
      </c>
      <c r="DI126" s="466">
        <f t="shared" si="101"/>
        <v>0</v>
      </c>
      <c r="DJ126" s="466">
        <f t="shared" si="101"/>
        <v>0</v>
      </c>
      <c r="DK126" s="466">
        <f t="shared" si="101"/>
        <v>0</v>
      </c>
      <c r="DL126" s="466">
        <f t="shared" si="101"/>
        <v>0</v>
      </c>
      <c r="DM126" s="466">
        <f t="shared" si="101"/>
        <v>0</v>
      </c>
      <c r="DN126" s="466">
        <f t="shared" si="101"/>
        <v>0</v>
      </c>
      <c r="DO126" s="466">
        <f t="shared" si="101"/>
        <v>0</v>
      </c>
      <c r="DP126" s="466">
        <f t="shared" si="101"/>
        <v>0</v>
      </c>
      <c r="DQ126" s="466">
        <f t="shared" si="101"/>
        <v>0</v>
      </c>
      <c r="DR126" s="466">
        <f t="shared" si="101"/>
        <v>0</v>
      </c>
      <c r="DS126" s="466">
        <f t="shared" si="101"/>
        <v>0</v>
      </c>
      <c r="DT126" s="466">
        <f t="shared" si="101"/>
        <v>0</v>
      </c>
      <c r="DU126" s="466">
        <f t="shared" si="101"/>
        <v>0</v>
      </c>
      <c r="DV126" s="466">
        <f t="shared" si="101"/>
        <v>0</v>
      </c>
      <c r="DW126" s="322" t="s">
        <v>372</v>
      </c>
    </row>
    <row r="127" spans="3:127" hidden="1" outlineLevel="1" x14ac:dyDescent="0.3">
      <c r="C127" s="374" t="str">
        <f>C106&amp; " Equity"</f>
        <v>Granite Park Equity</v>
      </c>
      <c r="D127" s="486">
        <f>1-D126</f>
        <v>0.25</v>
      </c>
      <c r="E127" s="463">
        <f>SUM(F127:DV127)</f>
        <v>168188.2541660424</v>
      </c>
      <c r="F127" s="468">
        <f>-F108-F123</f>
        <v>-455750</v>
      </c>
      <c r="G127" s="468">
        <f>-G108-G123</f>
        <v>3218.5414583333331</v>
      </c>
      <c r="H127" s="468">
        <f t="shared" ref="H127:BS127" si="102">-H108-H123</f>
        <v>3218.5414583333331</v>
      </c>
      <c r="I127" s="468">
        <f t="shared" si="102"/>
        <v>3218.5414583333331</v>
      </c>
      <c r="J127" s="468">
        <f t="shared" si="102"/>
        <v>3218.5414583333331</v>
      </c>
      <c r="K127" s="468">
        <f t="shared" si="102"/>
        <v>3218.5414583333331</v>
      </c>
      <c r="L127" s="468">
        <f t="shared" si="102"/>
        <v>3218.5414583333331</v>
      </c>
      <c r="M127" s="468">
        <f t="shared" si="102"/>
        <v>3218.5414583333331</v>
      </c>
      <c r="N127" s="468">
        <f t="shared" si="102"/>
        <v>3218.5414583333331</v>
      </c>
      <c r="O127" s="468">
        <f t="shared" si="102"/>
        <v>3218.5414583333331</v>
      </c>
      <c r="P127" s="468">
        <f t="shared" si="102"/>
        <v>3218.5414583333331</v>
      </c>
      <c r="Q127" s="468">
        <f t="shared" si="102"/>
        <v>3218.5414583333331</v>
      </c>
      <c r="R127" s="468">
        <f t="shared" si="102"/>
        <v>3218.5414583333331</v>
      </c>
      <c r="S127" s="468">
        <f t="shared" si="102"/>
        <v>3442.1445770833343</v>
      </c>
      <c r="T127" s="468">
        <f t="shared" si="102"/>
        <v>3442.1445770833343</v>
      </c>
      <c r="U127" s="468">
        <f t="shared" si="102"/>
        <v>3442.1445770833343</v>
      </c>
      <c r="V127" s="468">
        <f t="shared" si="102"/>
        <v>3442.1445770833343</v>
      </c>
      <c r="W127" s="468">
        <f t="shared" si="102"/>
        <v>3442.1445770833343</v>
      </c>
      <c r="X127" s="468">
        <f t="shared" si="102"/>
        <v>3442.1445770833343</v>
      </c>
      <c r="Y127" s="468">
        <f t="shared" si="102"/>
        <v>3442.1445770833343</v>
      </c>
      <c r="Z127" s="468">
        <f t="shared" si="102"/>
        <v>3442.1445770833343</v>
      </c>
      <c r="AA127" s="468">
        <f t="shared" si="102"/>
        <v>3442.1445770833343</v>
      </c>
      <c r="AB127" s="468">
        <f t="shared" si="102"/>
        <v>3442.1445770833343</v>
      </c>
      <c r="AC127" s="468">
        <f t="shared" si="102"/>
        <v>3442.1445770833343</v>
      </c>
      <c r="AD127" s="468">
        <f t="shared" si="102"/>
        <v>3442.1445770833343</v>
      </c>
      <c r="AE127" s="468">
        <f t="shared" si="102"/>
        <v>3672.4557893958322</v>
      </c>
      <c r="AF127" s="468">
        <f t="shared" si="102"/>
        <v>3672.4557893958322</v>
      </c>
      <c r="AG127" s="468">
        <f t="shared" si="102"/>
        <v>3672.4557893958322</v>
      </c>
      <c r="AH127" s="468">
        <f t="shared" si="102"/>
        <v>3672.4557893958322</v>
      </c>
      <c r="AI127" s="468">
        <f t="shared" si="102"/>
        <v>3672.4557893958322</v>
      </c>
      <c r="AJ127" s="468">
        <f t="shared" si="102"/>
        <v>3672.4557893958322</v>
      </c>
      <c r="AK127" s="468">
        <f t="shared" si="102"/>
        <v>3672.4557893958322</v>
      </c>
      <c r="AL127" s="468">
        <f t="shared" si="102"/>
        <v>3672.4557893958322</v>
      </c>
      <c r="AM127" s="468">
        <f t="shared" si="102"/>
        <v>3672.4557893958322</v>
      </c>
      <c r="AN127" s="468">
        <f t="shared" si="102"/>
        <v>3672.4557893958322</v>
      </c>
      <c r="AO127" s="468">
        <f t="shared" si="102"/>
        <v>3672.4557893958322</v>
      </c>
      <c r="AP127" s="468">
        <f t="shared" si="102"/>
        <v>3672.4557893958322</v>
      </c>
      <c r="AQ127" s="468">
        <f t="shared" si="102"/>
        <v>3909.676338077707</v>
      </c>
      <c r="AR127" s="468">
        <f t="shared" si="102"/>
        <v>3909.676338077707</v>
      </c>
      <c r="AS127" s="468">
        <f t="shared" si="102"/>
        <v>3909.676338077707</v>
      </c>
      <c r="AT127" s="468">
        <f t="shared" si="102"/>
        <v>3909.676338077707</v>
      </c>
      <c r="AU127" s="468">
        <f t="shared" si="102"/>
        <v>3909.676338077707</v>
      </c>
      <c r="AV127" s="468">
        <f t="shared" si="102"/>
        <v>3909.676338077707</v>
      </c>
      <c r="AW127" s="468">
        <f t="shared" si="102"/>
        <v>3909.676338077707</v>
      </c>
      <c r="AX127" s="468">
        <f t="shared" si="102"/>
        <v>3909.676338077707</v>
      </c>
      <c r="AY127" s="468">
        <f t="shared" si="102"/>
        <v>3909.676338077707</v>
      </c>
      <c r="AZ127" s="468">
        <f t="shared" si="102"/>
        <v>3909.676338077707</v>
      </c>
      <c r="BA127" s="468">
        <f t="shared" si="102"/>
        <v>3909.676338077707</v>
      </c>
      <c r="BB127" s="468">
        <f t="shared" si="102"/>
        <v>3909.676338077707</v>
      </c>
      <c r="BC127" s="468">
        <f t="shared" si="102"/>
        <v>2169.2861690817131</v>
      </c>
      <c r="BD127" s="468">
        <f t="shared" si="102"/>
        <v>2169.2861690817131</v>
      </c>
      <c r="BE127" s="468">
        <f t="shared" si="102"/>
        <v>2169.2861690817131</v>
      </c>
      <c r="BF127" s="468">
        <f t="shared" si="102"/>
        <v>2169.2861690817131</v>
      </c>
      <c r="BG127" s="468">
        <f t="shared" si="102"/>
        <v>2169.2861690817131</v>
      </c>
      <c r="BH127" s="468">
        <f t="shared" si="102"/>
        <v>2169.2861690817131</v>
      </c>
      <c r="BI127" s="468">
        <f t="shared" si="102"/>
        <v>2169.2861690817131</v>
      </c>
      <c r="BJ127" s="468">
        <f t="shared" si="102"/>
        <v>2169.2861690817131</v>
      </c>
      <c r="BK127" s="468">
        <f t="shared" si="102"/>
        <v>2169.2861690817131</v>
      </c>
      <c r="BL127" s="468">
        <f t="shared" si="102"/>
        <v>2169.2861690817131</v>
      </c>
      <c r="BM127" s="468">
        <f t="shared" si="102"/>
        <v>2169.2861690817131</v>
      </c>
      <c r="BN127" s="468">
        <f t="shared" si="102"/>
        <v>429162.28835146123</v>
      </c>
      <c r="BO127" s="468">
        <f t="shared" si="102"/>
        <v>0</v>
      </c>
      <c r="BP127" s="468">
        <f t="shared" si="102"/>
        <v>0</v>
      </c>
      <c r="BQ127" s="468">
        <f t="shared" si="102"/>
        <v>0</v>
      </c>
      <c r="BR127" s="468">
        <f t="shared" si="102"/>
        <v>0</v>
      </c>
      <c r="BS127" s="468">
        <f t="shared" si="102"/>
        <v>0</v>
      </c>
      <c r="BT127" s="468">
        <f t="shared" ref="BT127:DV127" si="103">-BT108-BT123</f>
        <v>0</v>
      </c>
      <c r="BU127" s="468">
        <f t="shared" si="103"/>
        <v>0</v>
      </c>
      <c r="BV127" s="468">
        <f t="shared" si="103"/>
        <v>0</v>
      </c>
      <c r="BW127" s="468">
        <f t="shared" si="103"/>
        <v>0</v>
      </c>
      <c r="BX127" s="468">
        <f t="shared" si="103"/>
        <v>0</v>
      </c>
      <c r="BY127" s="468">
        <f t="shared" si="103"/>
        <v>0</v>
      </c>
      <c r="BZ127" s="468">
        <f t="shared" si="103"/>
        <v>0</v>
      </c>
      <c r="CA127" s="468">
        <f t="shared" si="103"/>
        <v>0</v>
      </c>
      <c r="CB127" s="468">
        <f t="shared" si="103"/>
        <v>0</v>
      </c>
      <c r="CC127" s="468">
        <f t="shared" si="103"/>
        <v>0</v>
      </c>
      <c r="CD127" s="468">
        <f t="shared" si="103"/>
        <v>0</v>
      </c>
      <c r="CE127" s="468">
        <f t="shared" si="103"/>
        <v>0</v>
      </c>
      <c r="CF127" s="468">
        <f t="shared" si="103"/>
        <v>0</v>
      </c>
      <c r="CG127" s="468">
        <f t="shared" si="103"/>
        <v>0</v>
      </c>
      <c r="CH127" s="468">
        <f t="shared" si="103"/>
        <v>0</v>
      </c>
      <c r="CI127" s="468">
        <f t="shared" si="103"/>
        <v>0</v>
      </c>
      <c r="CJ127" s="468">
        <f t="shared" si="103"/>
        <v>0</v>
      </c>
      <c r="CK127" s="468">
        <f t="shared" si="103"/>
        <v>0</v>
      </c>
      <c r="CL127" s="468">
        <f t="shared" si="103"/>
        <v>0</v>
      </c>
      <c r="CM127" s="468">
        <f t="shared" si="103"/>
        <v>0</v>
      </c>
      <c r="CN127" s="468">
        <f t="shared" si="103"/>
        <v>0</v>
      </c>
      <c r="CO127" s="468">
        <f t="shared" si="103"/>
        <v>0</v>
      </c>
      <c r="CP127" s="468">
        <f t="shared" si="103"/>
        <v>0</v>
      </c>
      <c r="CQ127" s="468">
        <f t="shared" si="103"/>
        <v>0</v>
      </c>
      <c r="CR127" s="468">
        <f t="shared" si="103"/>
        <v>0</v>
      </c>
      <c r="CS127" s="468">
        <f t="shared" si="103"/>
        <v>0</v>
      </c>
      <c r="CT127" s="468">
        <f t="shared" si="103"/>
        <v>0</v>
      </c>
      <c r="CU127" s="468">
        <f t="shared" si="103"/>
        <v>0</v>
      </c>
      <c r="CV127" s="468">
        <f t="shared" si="103"/>
        <v>0</v>
      </c>
      <c r="CW127" s="468">
        <f t="shared" si="103"/>
        <v>0</v>
      </c>
      <c r="CX127" s="468">
        <f t="shared" si="103"/>
        <v>0</v>
      </c>
      <c r="CY127" s="468">
        <f t="shared" si="103"/>
        <v>0</v>
      </c>
      <c r="CZ127" s="468">
        <f t="shared" si="103"/>
        <v>0</v>
      </c>
      <c r="DA127" s="468">
        <f t="shared" si="103"/>
        <v>0</v>
      </c>
      <c r="DB127" s="468">
        <f t="shared" si="103"/>
        <v>0</v>
      </c>
      <c r="DC127" s="468">
        <f t="shared" si="103"/>
        <v>0</v>
      </c>
      <c r="DD127" s="468">
        <f t="shared" si="103"/>
        <v>0</v>
      </c>
      <c r="DE127" s="468">
        <f t="shared" si="103"/>
        <v>0</v>
      </c>
      <c r="DF127" s="468">
        <f t="shared" si="103"/>
        <v>0</v>
      </c>
      <c r="DG127" s="468">
        <f t="shared" si="103"/>
        <v>0</v>
      </c>
      <c r="DH127" s="468">
        <f t="shared" si="103"/>
        <v>0</v>
      </c>
      <c r="DI127" s="468">
        <f t="shared" si="103"/>
        <v>0</v>
      </c>
      <c r="DJ127" s="468">
        <f t="shared" si="103"/>
        <v>0</v>
      </c>
      <c r="DK127" s="468">
        <f t="shared" si="103"/>
        <v>0</v>
      </c>
      <c r="DL127" s="468">
        <f t="shared" si="103"/>
        <v>0</v>
      </c>
      <c r="DM127" s="468">
        <f t="shared" si="103"/>
        <v>0</v>
      </c>
      <c r="DN127" s="468">
        <f t="shared" si="103"/>
        <v>0</v>
      </c>
      <c r="DO127" s="468">
        <f t="shared" si="103"/>
        <v>0</v>
      </c>
      <c r="DP127" s="468">
        <f t="shared" si="103"/>
        <v>0</v>
      </c>
      <c r="DQ127" s="468">
        <f t="shared" si="103"/>
        <v>0</v>
      </c>
      <c r="DR127" s="468">
        <f t="shared" si="103"/>
        <v>0</v>
      </c>
      <c r="DS127" s="468">
        <f t="shared" si="103"/>
        <v>0</v>
      </c>
      <c r="DT127" s="468">
        <f t="shared" si="103"/>
        <v>0</v>
      </c>
      <c r="DU127" s="468">
        <f t="shared" si="103"/>
        <v>0</v>
      </c>
      <c r="DV127" s="468">
        <f t="shared" si="103"/>
        <v>0</v>
      </c>
      <c r="DW127" s="322" t="s">
        <v>372</v>
      </c>
    </row>
    <row r="128" spans="3:127" ht="17.25" hidden="1" outlineLevel="1" thickBot="1" x14ac:dyDescent="0.35">
      <c r="C128" s="365" t="s">
        <v>406</v>
      </c>
      <c r="D128" s="486"/>
      <c r="E128" s="414">
        <f>SUM(E126:E127)</f>
        <v>672753.01666417159</v>
      </c>
      <c r="F128" s="415"/>
      <c r="G128" s="415">
        <f t="shared" ref="G128:BR128" si="104">SUM(G126:G127)</f>
        <v>12874.165833333333</v>
      </c>
      <c r="H128" s="415">
        <f t="shared" si="104"/>
        <v>12874.165833333333</v>
      </c>
      <c r="I128" s="415">
        <f t="shared" si="104"/>
        <v>12874.165833333333</v>
      </c>
      <c r="J128" s="415">
        <f t="shared" si="104"/>
        <v>12874.165833333333</v>
      </c>
      <c r="K128" s="415">
        <f t="shared" si="104"/>
        <v>12874.165833333333</v>
      </c>
      <c r="L128" s="415">
        <f t="shared" si="104"/>
        <v>12874.165833333333</v>
      </c>
      <c r="M128" s="415">
        <f t="shared" si="104"/>
        <v>12874.165833333333</v>
      </c>
      <c r="N128" s="415">
        <f t="shared" si="104"/>
        <v>12874.165833333333</v>
      </c>
      <c r="O128" s="415">
        <f t="shared" si="104"/>
        <v>12874.165833333333</v>
      </c>
      <c r="P128" s="415">
        <f t="shared" si="104"/>
        <v>12874.165833333333</v>
      </c>
      <c r="Q128" s="415">
        <f t="shared" si="104"/>
        <v>12874.165833333333</v>
      </c>
      <c r="R128" s="415">
        <f t="shared" si="104"/>
        <v>12874.165833333333</v>
      </c>
      <c r="S128" s="415">
        <f t="shared" si="104"/>
        <v>13768.578308333337</v>
      </c>
      <c r="T128" s="415">
        <f t="shared" si="104"/>
        <v>13768.578308333337</v>
      </c>
      <c r="U128" s="415">
        <f t="shared" si="104"/>
        <v>13768.578308333337</v>
      </c>
      <c r="V128" s="415">
        <f t="shared" si="104"/>
        <v>13768.578308333337</v>
      </c>
      <c r="W128" s="415">
        <f t="shared" si="104"/>
        <v>13768.578308333337</v>
      </c>
      <c r="X128" s="415">
        <f t="shared" si="104"/>
        <v>13768.578308333337</v>
      </c>
      <c r="Y128" s="415">
        <f t="shared" si="104"/>
        <v>13768.578308333337</v>
      </c>
      <c r="Z128" s="415">
        <f t="shared" si="104"/>
        <v>13768.578308333337</v>
      </c>
      <c r="AA128" s="415">
        <f t="shared" si="104"/>
        <v>13768.578308333337</v>
      </c>
      <c r="AB128" s="415">
        <f t="shared" si="104"/>
        <v>13768.578308333337</v>
      </c>
      <c r="AC128" s="415">
        <f t="shared" si="104"/>
        <v>13768.578308333337</v>
      </c>
      <c r="AD128" s="415">
        <f t="shared" si="104"/>
        <v>13768.578308333337</v>
      </c>
      <c r="AE128" s="415">
        <f t="shared" si="104"/>
        <v>14689.823157583329</v>
      </c>
      <c r="AF128" s="415">
        <f t="shared" si="104"/>
        <v>14689.823157583329</v>
      </c>
      <c r="AG128" s="415">
        <f t="shared" si="104"/>
        <v>14689.823157583329</v>
      </c>
      <c r="AH128" s="415">
        <f t="shared" si="104"/>
        <v>14689.823157583329</v>
      </c>
      <c r="AI128" s="415">
        <f t="shared" si="104"/>
        <v>14689.823157583329</v>
      </c>
      <c r="AJ128" s="415">
        <f t="shared" si="104"/>
        <v>14689.823157583329</v>
      </c>
      <c r="AK128" s="415">
        <f t="shared" si="104"/>
        <v>14689.823157583329</v>
      </c>
      <c r="AL128" s="415">
        <f t="shared" si="104"/>
        <v>14689.823157583329</v>
      </c>
      <c r="AM128" s="415">
        <f t="shared" si="104"/>
        <v>14689.823157583329</v>
      </c>
      <c r="AN128" s="415">
        <f t="shared" si="104"/>
        <v>14689.823157583329</v>
      </c>
      <c r="AO128" s="415">
        <f t="shared" si="104"/>
        <v>14689.823157583329</v>
      </c>
      <c r="AP128" s="415">
        <f t="shared" si="104"/>
        <v>14689.823157583329</v>
      </c>
      <c r="AQ128" s="415">
        <f t="shared" si="104"/>
        <v>15638.705352310828</v>
      </c>
      <c r="AR128" s="415">
        <f t="shared" si="104"/>
        <v>15638.705352310828</v>
      </c>
      <c r="AS128" s="415">
        <f t="shared" si="104"/>
        <v>15638.705352310828</v>
      </c>
      <c r="AT128" s="415">
        <f t="shared" si="104"/>
        <v>15638.705352310828</v>
      </c>
      <c r="AU128" s="415">
        <f t="shared" si="104"/>
        <v>15638.705352310828</v>
      </c>
      <c r="AV128" s="415">
        <f t="shared" si="104"/>
        <v>15638.705352310828</v>
      </c>
      <c r="AW128" s="415">
        <f t="shared" si="104"/>
        <v>15638.705352310828</v>
      </c>
      <c r="AX128" s="415">
        <f t="shared" si="104"/>
        <v>15638.705352310828</v>
      </c>
      <c r="AY128" s="415">
        <f t="shared" si="104"/>
        <v>15638.705352310828</v>
      </c>
      <c r="AZ128" s="415">
        <f t="shared" si="104"/>
        <v>15638.705352310828</v>
      </c>
      <c r="BA128" s="415">
        <f t="shared" si="104"/>
        <v>15638.705352310828</v>
      </c>
      <c r="BB128" s="415">
        <f t="shared" si="104"/>
        <v>15638.705352310828</v>
      </c>
      <c r="BC128" s="415">
        <f t="shared" si="104"/>
        <v>8677.1446763268523</v>
      </c>
      <c r="BD128" s="415">
        <f t="shared" si="104"/>
        <v>8677.1446763268523</v>
      </c>
      <c r="BE128" s="415">
        <f t="shared" si="104"/>
        <v>8677.1446763268523</v>
      </c>
      <c r="BF128" s="415">
        <f t="shared" si="104"/>
        <v>8677.1446763268523</v>
      </c>
      <c r="BG128" s="415">
        <f t="shared" si="104"/>
        <v>8677.1446763268523</v>
      </c>
      <c r="BH128" s="415">
        <f t="shared" si="104"/>
        <v>8677.1446763268523</v>
      </c>
      <c r="BI128" s="415">
        <f t="shared" si="104"/>
        <v>8677.1446763268523</v>
      </c>
      <c r="BJ128" s="415">
        <f t="shared" si="104"/>
        <v>8677.1446763268523</v>
      </c>
      <c r="BK128" s="415">
        <f t="shared" si="104"/>
        <v>8677.1446763268523</v>
      </c>
      <c r="BL128" s="415">
        <f t="shared" si="104"/>
        <v>8677.1446763268523</v>
      </c>
      <c r="BM128" s="415">
        <f t="shared" si="104"/>
        <v>8677.1446763268523</v>
      </c>
      <c r="BN128" s="415">
        <f t="shared" si="104"/>
        <v>1716649.1534058477</v>
      </c>
      <c r="BO128" s="415">
        <f t="shared" si="104"/>
        <v>0</v>
      </c>
      <c r="BP128" s="415">
        <f t="shared" si="104"/>
        <v>0</v>
      </c>
      <c r="BQ128" s="415">
        <f t="shared" si="104"/>
        <v>0</v>
      </c>
      <c r="BR128" s="415">
        <f t="shared" si="104"/>
        <v>0</v>
      </c>
      <c r="BS128" s="415">
        <f t="shared" ref="BS128:DV128" si="105">SUM(BS126:BS127)</f>
        <v>0</v>
      </c>
      <c r="BT128" s="415">
        <f t="shared" si="105"/>
        <v>0</v>
      </c>
      <c r="BU128" s="415">
        <f t="shared" si="105"/>
        <v>0</v>
      </c>
      <c r="BV128" s="415">
        <f t="shared" si="105"/>
        <v>0</v>
      </c>
      <c r="BW128" s="415">
        <f t="shared" si="105"/>
        <v>0</v>
      </c>
      <c r="BX128" s="415">
        <f t="shared" si="105"/>
        <v>0</v>
      </c>
      <c r="BY128" s="415">
        <f t="shared" si="105"/>
        <v>0</v>
      </c>
      <c r="BZ128" s="415">
        <f t="shared" si="105"/>
        <v>0</v>
      </c>
      <c r="CA128" s="415">
        <f t="shared" si="105"/>
        <v>0</v>
      </c>
      <c r="CB128" s="415">
        <f t="shared" si="105"/>
        <v>0</v>
      </c>
      <c r="CC128" s="415">
        <f t="shared" si="105"/>
        <v>0</v>
      </c>
      <c r="CD128" s="415">
        <f t="shared" si="105"/>
        <v>0</v>
      </c>
      <c r="CE128" s="415">
        <f t="shared" si="105"/>
        <v>0</v>
      </c>
      <c r="CF128" s="415">
        <f t="shared" si="105"/>
        <v>0</v>
      </c>
      <c r="CG128" s="415">
        <f t="shared" si="105"/>
        <v>0</v>
      </c>
      <c r="CH128" s="415">
        <f t="shared" si="105"/>
        <v>0</v>
      </c>
      <c r="CI128" s="415">
        <f t="shared" si="105"/>
        <v>0</v>
      </c>
      <c r="CJ128" s="415">
        <f t="shared" si="105"/>
        <v>0</v>
      </c>
      <c r="CK128" s="415">
        <f t="shared" si="105"/>
        <v>0</v>
      </c>
      <c r="CL128" s="415">
        <f t="shared" si="105"/>
        <v>0</v>
      </c>
      <c r="CM128" s="415">
        <f t="shared" si="105"/>
        <v>0</v>
      </c>
      <c r="CN128" s="415">
        <f t="shared" si="105"/>
        <v>0</v>
      </c>
      <c r="CO128" s="415">
        <f t="shared" si="105"/>
        <v>0</v>
      </c>
      <c r="CP128" s="415">
        <f t="shared" si="105"/>
        <v>0</v>
      </c>
      <c r="CQ128" s="415">
        <f t="shared" si="105"/>
        <v>0</v>
      </c>
      <c r="CR128" s="415">
        <f t="shared" si="105"/>
        <v>0</v>
      </c>
      <c r="CS128" s="415">
        <f t="shared" si="105"/>
        <v>0</v>
      </c>
      <c r="CT128" s="415">
        <f t="shared" si="105"/>
        <v>0</v>
      </c>
      <c r="CU128" s="415">
        <f t="shared" si="105"/>
        <v>0</v>
      </c>
      <c r="CV128" s="415">
        <f t="shared" si="105"/>
        <v>0</v>
      </c>
      <c r="CW128" s="415">
        <f t="shared" si="105"/>
        <v>0</v>
      </c>
      <c r="CX128" s="415">
        <f t="shared" si="105"/>
        <v>0</v>
      </c>
      <c r="CY128" s="415">
        <f t="shared" si="105"/>
        <v>0</v>
      </c>
      <c r="CZ128" s="415">
        <f t="shared" si="105"/>
        <v>0</v>
      </c>
      <c r="DA128" s="415">
        <f t="shared" si="105"/>
        <v>0</v>
      </c>
      <c r="DB128" s="415">
        <f t="shared" si="105"/>
        <v>0</v>
      </c>
      <c r="DC128" s="415">
        <f t="shared" si="105"/>
        <v>0</v>
      </c>
      <c r="DD128" s="415">
        <f t="shared" si="105"/>
        <v>0</v>
      </c>
      <c r="DE128" s="415">
        <f t="shared" si="105"/>
        <v>0</v>
      </c>
      <c r="DF128" s="415">
        <f t="shared" si="105"/>
        <v>0</v>
      </c>
      <c r="DG128" s="415">
        <f t="shared" si="105"/>
        <v>0</v>
      </c>
      <c r="DH128" s="415">
        <f t="shared" si="105"/>
        <v>0</v>
      </c>
      <c r="DI128" s="415">
        <f t="shared" si="105"/>
        <v>0</v>
      </c>
      <c r="DJ128" s="415">
        <f t="shared" si="105"/>
        <v>0</v>
      </c>
      <c r="DK128" s="415">
        <f t="shared" si="105"/>
        <v>0</v>
      </c>
      <c r="DL128" s="415">
        <f t="shared" si="105"/>
        <v>0</v>
      </c>
      <c r="DM128" s="415">
        <f t="shared" si="105"/>
        <v>0</v>
      </c>
      <c r="DN128" s="415">
        <f t="shared" si="105"/>
        <v>0</v>
      </c>
      <c r="DO128" s="415">
        <f t="shared" si="105"/>
        <v>0</v>
      </c>
      <c r="DP128" s="415">
        <f t="shared" si="105"/>
        <v>0</v>
      </c>
      <c r="DQ128" s="415">
        <f t="shared" si="105"/>
        <v>0</v>
      </c>
      <c r="DR128" s="415">
        <f t="shared" si="105"/>
        <v>0</v>
      </c>
      <c r="DS128" s="415">
        <f t="shared" si="105"/>
        <v>0</v>
      </c>
      <c r="DT128" s="415">
        <f t="shared" si="105"/>
        <v>0</v>
      </c>
      <c r="DU128" s="415">
        <f t="shared" si="105"/>
        <v>0</v>
      </c>
      <c r="DV128" s="415">
        <f t="shared" si="105"/>
        <v>0</v>
      </c>
      <c r="DW128" s="322" t="s">
        <v>372</v>
      </c>
    </row>
    <row r="129" spans="3:127" ht="17.25" hidden="1" outlineLevel="1" thickTop="1" x14ac:dyDescent="0.3">
      <c r="C129" s="374"/>
      <c r="D129" s="486"/>
      <c r="E129" s="463"/>
      <c r="F129" s="374"/>
      <c r="G129" s="374"/>
      <c r="H129" s="463"/>
      <c r="I129" s="463"/>
      <c r="J129" s="463"/>
      <c r="K129" s="463"/>
      <c r="L129" s="463"/>
      <c r="M129" s="463"/>
      <c r="N129" s="463"/>
      <c r="O129" s="463"/>
      <c r="P129" s="463"/>
      <c r="Q129" s="463"/>
      <c r="R129" s="463"/>
      <c r="S129" s="463"/>
      <c r="T129" s="463"/>
      <c r="U129" s="463"/>
      <c r="V129" s="463"/>
      <c r="W129" s="463"/>
      <c r="X129" s="463"/>
      <c r="Y129" s="463"/>
      <c r="Z129" s="463"/>
      <c r="AA129" s="463"/>
      <c r="AB129" s="463"/>
      <c r="AC129" s="463"/>
      <c r="AD129" s="463"/>
      <c r="AE129" s="463"/>
      <c r="AF129" s="463"/>
      <c r="AG129" s="463"/>
      <c r="AH129" s="463"/>
      <c r="AI129" s="463"/>
      <c r="AJ129" s="463"/>
      <c r="AK129" s="463"/>
      <c r="AL129" s="463"/>
      <c r="AM129" s="463"/>
      <c r="AN129" s="463"/>
      <c r="AO129" s="463"/>
      <c r="AP129" s="463"/>
      <c r="AQ129" s="463"/>
      <c r="AR129" s="463"/>
      <c r="AS129" s="463"/>
      <c r="AT129" s="463"/>
      <c r="AU129" s="463"/>
      <c r="AV129" s="463"/>
      <c r="AW129" s="463"/>
      <c r="AX129" s="463"/>
      <c r="AY129" s="463"/>
      <c r="AZ129" s="463"/>
      <c r="BA129" s="463"/>
      <c r="BB129" s="463"/>
      <c r="BC129" s="463"/>
      <c r="BD129" s="463"/>
      <c r="BE129" s="463"/>
      <c r="BF129" s="463"/>
      <c r="BG129" s="463"/>
      <c r="BH129" s="463"/>
      <c r="BI129" s="463"/>
      <c r="BJ129" s="463"/>
      <c r="BK129" s="463"/>
      <c r="BL129" s="463"/>
      <c r="BM129" s="463"/>
      <c r="BN129" s="463"/>
      <c r="BO129" s="463"/>
      <c r="BP129" s="463"/>
      <c r="BQ129" s="463"/>
      <c r="BR129" s="463"/>
      <c r="BS129" s="463"/>
      <c r="BT129" s="463"/>
      <c r="BU129" s="463"/>
      <c r="BV129" s="463"/>
      <c r="BW129" s="463"/>
      <c r="BX129" s="463"/>
      <c r="BY129" s="463"/>
      <c r="BZ129" s="463"/>
      <c r="CA129" s="463"/>
      <c r="CB129" s="463"/>
      <c r="CC129" s="463"/>
      <c r="CD129" s="463"/>
      <c r="CE129" s="463"/>
      <c r="CF129" s="463"/>
      <c r="CG129" s="463"/>
      <c r="CH129" s="463"/>
      <c r="CI129" s="463"/>
      <c r="CJ129" s="463"/>
      <c r="CK129" s="463"/>
      <c r="CL129" s="463"/>
      <c r="CM129" s="463"/>
      <c r="CN129" s="463"/>
      <c r="CO129" s="463"/>
      <c r="CP129" s="463"/>
      <c r="CQ129" s="463"/>
      <c r="CR129" s="463"/>
      <c r="CS129" s="463"/>
      <c r="CT129" s="463"/>
      <c r="CU129" s="463"/>
      <c r="CV129" s="463"/>
      <c r="CW129" s="463"/>
      <c r="CX129" s="463"/>
      <c r="CY129" s="463"/>
      <c r="CZ129" s="463"/>
      <c r="DA129" s="463"/>
      <c r="DB129" s="463"/>
      <c r="DC129" s="463"/>
      <c r="DD129" s="463"/>
      <c r="DE129" s="463"/>
      <c r="DF129" s="463"/>
      <c r="DG129" s="463"/>
      <c r="DH129" s="463"/>
      <c r="DI129" s="463"/>
      <c r="DJ129" s="463"/>
      <c r="DK129" s="463"/>
      <c r="DL129" s="463"/>
      <c r="DM129" s="463"/>
      <c r="DN129" s="463"/>
      <c r="DO129" s="463"/>
      <c r="DP129" s="463"/>
      <c r="DQ129" s="463"/>
      <c r="DR129" s="463"/>
      <c r="DS129" s="463"/>
      <c r="DT129" s="463"/>
      <c r="DU129" s="463"/>
      <c r="DV129" s="463"/>
      <c r="DW129" s="322" t="s">
        <v>372</v>
      </c>
    </row>
    <row r="130" spans="3:127" ht="17.25" hidden="1" outlineLevel="1" thickBot="1" x14ac:dyDescent="0.35">
      <c r="C130" s="365" t="s">
        <v>407</v>
      </c>
      <c r="D130" s="487"/>
      <c r="E130" s="488">
        <f>SUM(G130:DV130)</f>
        <v>1848155.4605131794</v>
      </c>
      <c r="F130" s="489"/>
      <c r="G130" s="489">
        <f t="shared" ref="G130:BR130" si="106">IF(G128&lt;0,0,G81-G128)</f>
        <v>0</v>
      </c>
      <c r="H130" s="489">
        <f t="shared" si="106"/>
        <v>0</v>
      </c>
      <c r="I130" s="489">
        <f t="shared" si="106"/>
        <v>0</v>
      </c>
      <c r="J130" s="489">
        <f t="shared" si="106"/>
        <v>0</v>
      </c>
      <c r="K130" s="489">
        <f t="shared" si="106"/>
        <v>0</v>
      </c>
      <c r="L130" s="489">
        <f t="shared" si="106"/>
        <v>0</v>
      </c>
      <c r="M130" s="489">
        <f t="shared" si="106"/>
        <v>0</v>
      </c>
      <c r="N130" s="489">
        <f t="shared" si="106"/>
        <v>0</v>
      </c>
      <c r="O130" s="489">
        <f t="shared" si="106"/>
        <v>0</v>
      </c>
      <c r="P130" s="489">
        <f t="shared" si="106"/>
        <v>0</v>
      </c>
      <c r="Q130" s="489">
        <f t="shared" si="106"/>
        <v>0</v>
      </c>
      <c r="R130" s="489">
        <f t="shared" si="106"/>
        <v>0</v>
      </c>
      <c r="S130" s="489">
        <f t="shared" si="106"/>
        <v>0</v>
      </c>
      <c r="T130" s="489">
        <f t="shared" si="106"/>
        <v>0</v>
      </c>
      <c r="U130" s="489">
        <f t="shared" si="106"/>
        <v>0</v>
      </c>
      <c r="V130" s="489">
        <f t="shared" si="106"/>
        <v>0</v>
      </c>
      <c r="W130" s="489">
        <f t="shared" si="106"/>
        <v>0</v>
      </c>
      <c r="X130" s="489">
        <f t="shared" si="106"/>
        <v>0</v>
      </c>
      <c r="Y130" s="489">
        <f t="shared" si="106"/>
        <v>0</v>
      </c>
      <c r="Z130" s="489">
        <f t="shared" si="106"/>
        <v>0</v>
      </c>
      <c r="AA130" s="489">
        <f t="shared" si="106"/>
        <v>0</v>
      </c>
      <c r="AB130" s="489">
        <f t="shared" si="106"/>
        <v>0</v>
      </c>
      <c r="AC130" s="489">
        <f t="shared" si="106"/>
        <v>0</v>
      </c>
      <c r="AD130" s="489">
        <f t="shared" si="106"/>
        <v>0</v>
      </c>
      <c r="AE130" s="489">
        <f t="shared" si="106"/>
        <v>0</v>
      </c>
      <c r="AF130" s="489">
        <f t="shared" si="106"/>
        <v>0</v>
      </c>
      <c r="AG130" s="489">
        <f t="shared" si="106"/>
        <v>0</v>
      </c>
      <c r="AH130" s="489">
        <f t="shared" si="106"/>
        <v>0</v>
      </c>
      <c r="AI130" s="489">
        <f t="shared" si="106"/>
        <v>0</v>
      </c>
      <c r="AJ130" s="489">
        <f t="shared" si="106"/>
        <v>0</v>
      </c>
      <c r="AK130" s="489">
        <f t="shared" si="106"/>
        <v>0</v>
      </c>
      <c r="AL130" s="489">
        <f t="shared" si="106"/>
        <v>0</v>
      </c>
      <c r="AM130" s="489">
        <f t="shared" si="106"/>
        <v>0</v>
      </c>
      <c r="AN130" s="489">
        <f t="shared" si="106"/>
        <v>0</v>
      </c>
      <c r="AO130" s="489">
        <f t="shared" si="106"/>
        <v>0</v>
      </c>
      <c r="AP130" s="489">
        <f t="shared" si="106"/>
        <v>0</v>
      </c>
      <c r="AQ130" s="489">
        <f t="shared" si="106"/>
        <v>0</v>
      </c>
      <c r="AR130" s="489">
        <f t="shared" si="106"/>
        <v>0</v>
      </c>
      <c r="AS130" s="489">
        <f t="shared" si="106"/>
        <v>0</v>
      </c>
      <c r="AT130" s="489">
        <f t="shared" si="106"/>
        <v>0</v>
      </c>
      <c r="AU130" s="489">
        <f t="shared" si="106"/>
        <v>0</v>
      </c>
      <c r="AV130" s="489">
        <f t="shared" si="106"/>
        <v>0</v>
      </c>
      <c r="AW130" s="489">
        <f t="shared" si="106"/>
        <v>0</v>
      </c>
      <c r="AX130" s="489">
        <f t="shared" si="106"/>
        <v>0</v>
      </c>
      <c r="AY130" s="489">
        <f t="shared" si="106"/>
        <v>0</v>
      </c>
      <c r="AZ130" s="489">
        <f t="shared" si="106"/>
        <v>0</v>
      </c>
      <c r="BA130" s="489">
        <f t="shared" si="106"/>
        <v>0</v>
      </c>
      <c r="BB130" s="489">
        <f t="shared" si="106"/>
        <v>0</v>
      </c>
      <c r="BC130" s="489">
        <f t="shared" si="106"/>
        <v>0</v>
      </c>
      <c r="BD130" s="489">
        <f t="shared" si="106"/>
        <v>0</v>
      </c>
      <c r="BE130" s="489">
        <f t="shared" si="106"/>
        <v>0</v>
      </c>
      <c r="BF130" s="489">
        <f t="shared" si="106"/>
        <v>0</v>
      </c>
      <c r="BG130" s="489">
        <f t="shared" si="106"/>
        <v>0</v>
      </c>
      <c r="BH130" s="489">
        <f t="shared" si="106"/>
        <v>0</v>
      </c>
      <c r="BI130" s="489">
        <f t="shared" si="106"/>
        <v>0</v>
      </c>
      <c r="BJ130" s="489">
        <f t="shared" si="106"/>
        <v>0</v>
      </c>
      <c r="BK130" s="489">
        <f t="shared" si="106"/>
        <v>0</v>
      </c>
      <c r="BL130" s="489">
        <f t="shared" si="106"/>
        <v>0</v>
      </c>
      <c r="BM130" s="489">
        <f t="shared" si="106"/>
        <v>0</v>
      </c>
      <c r="BN130" s="489">
        <f t="shared" si="106"/>
        <v>1848155.4605131794</v>
      </c>
      <c r="BO130" s="489">
        <f t="shared" si="106"/>
        <v>0</v>
      </c>
      <c r="BP130" s="489">
        <f t="shared" si="106"/>
        <v>0</v>
      </c>
      <c r="BQ130" s="489">
        <f t="shared" si="106"/>
        <v>0</v>
      </c>
      <c r="BR130" s="489">
        <f t="shared" si="106"/>
        <v>0</v>
      </c>
      <c r="BS130" s="489">
        <f t="shared" ref="BS130:DV130" si="107">IF(BS128&lt;0,0,BS81-BS128)</f>
        <v>0</v>
      </c>
      <c r="BT130" s="489">
        <f t="shared" si="107"/>
        <v>0</v>
      </c>
      <c r="BU130" s="489">
        <f t="shared" si="107"/>
        <v>0</v>
      </c>
      <c r="BV130" s="489">
        <f t="shared" si="107"/>
        <v>0</v>
      </c>
      <c r="BW130" s="489">
        <f t="shared" si="107"/>
        <v>0</v>
      </c>
      <c r="BX130" s="489">
        <f t="shared" si="107"/>
        <v>0</v>
      </c>
      <c r="BY130" s="489">
        <f t="shared" si="107"/>
        <v>0</v>
      </c>
      <c r="BZ130" s="489">
        <f t="shared" si="107"/>
        <v>0</v>
      </c>
      <c r="CA130" s="489">
        <f t="shared" si="107"/>
        <v>0</v>
      </c>
      <c r="CB130" s="489">
        <f t="shared" si="107"/>
        <v>0</v>
      </c>
      <c r="CC130" s="489">
        <f t="shared" si="107"/>
        <v>0</v>
      </c>
      <c r="CD130" s="489">
        <f t="shared" si="107"/>
        <v>0</v>
      </c>
      <c r="CE130" s="489">
        <f t="shared" si="107"/>
        <v>0</v>
      </c>
      <c r="CF130" s="489">
        <f t="shared" si="107"/>
        <v>0</v>
      </c>
      <c r="CG130" s="489">
        <f t="shared" si="107"/>
        <v>0</v>
      </c>
      <c r="CH130" s="489">
        <f t="shared" si="107"/>
        <v>0</v>
      </c>
      <c r="CI130" s="489">
        <f t="shared" si="107"/>
        <v>0</v>
      </c>
      <c r="CJ130" s="489">
        <f t="shared" si="107"/>
        <v>0</v>
      </c>
      <c r="CK130" s="489">
        <f t="shared" si="107"/>
        <v>0</v>
      </c>
      <c r="CL130" s="489">
        <f t="shared" si="107"/>
        <v>0</v>
      </c>
      <c r="CM130" s="489">
        <f t="shared" si="107"/>
        <v>0</v>
      </c>
      <c r="CN130" s="489">
        <f t="shared" si="107"/>
        <v>0</v>
      </c>
      <c r="CO130" s="489">
        <f t="shared" si="107"/>
        <v>0</v>
      </c>
      <c r="CP130" s="489">
        <f t="shared" si="107"/>
        <v>0</v>
      </c>
      <c r="CQ130" s="489">
        <f t="shared" si="107"/>
        <v>0</v>
      </c>
      <c r="CR130" s="489">
        <f t="shared" si="107"/>
        <v>0</v>
      </c>
      <c r="CS130" s="489">
        <f t="shared" si="107"/>
        <v>0</v>
      </c>
      <c r="CT130" s="489">
        <f t="shared" si="107"/>
        <v>0</v>
      </c>
      <c r="CU130" s="489">
        <f t="shared" si="107"/>
        <v>0</v>
      </c>
      <c r="CV130" s="489">
        <f t="shared" si="107"/>
        <v>0</v>
      </c>
      <c r="CW130" s="489">
        <f t="shared" si="107"/>
        <v>0</v>
      </c>
      <c r="CX130" s="489">
        <f t="shared" si="107"/>
        <v>0</v>
      </c>
      <c r="CY130" s="489">
        <f t="shared" si="107"/>
        <v>0</v>
      </c>
      <c r="CZ130" s="489">
        <f t="shared" si="107"/>
        <v>0</v>
      </c>
      <c r="DA130" s="489">
        <f t="shared" si="107"/>
        <v>0</v>
      </c>
      <c r="DB130" s="489">
        <f t="shared" si="107"/>
        <v>0</v>
      </c>
      <c r="DC130" s="489">
        <f t="shared" si="107"/>
        <v>0</v>
      </c>
      <c r="DD130" s="489">
        <f t="shared" si="107"/>
        <v>0</v>
      </c>
      <c r="DE130" s="489">
        <f t="shared" si="107"/>
        <v>0</v>
      </c>
      <c r="DF130" s="489">
        <f t="shared" si="107"/>
        <v>0</v>
      </c>
      <c r="DG130" s="489">
        <f t="shared" si="107"/>
        <v>0</v>
      </c>
      <c r="DH130" s="489">
        <f t="shared" si="107"/>
        <v>0</v>
      </c>
      <c r="DI130" s="489">
        <f t="shared" si="107"/>
        <v>0</v>
      </c>
      <c r="DJ130" s="489">
        <f t="shared" si="107"/>
        <v>0</v>
      </c>
      <c r="DK130" s="489">
        <f t="shared" si="107"/>
        <v>0</v>
      </c>
      <c r="DL130" s="489">
        <f t="shared" si="107"/>
        <v>0</v>
      </c>
      <c r="DM130" s="489">
        <f t="shared" si="107"/>
        <v>0</v>
      </c>
      <c r="DN130" s="489">
        <f t="shared" si="107"/>
        <v>0</v>
      </c>
      <c r="DO130" s="489">
        <f t="shared" si="107"/>
        <v>0</v>
      </c>
      <c r="DP130" s="489">
        <f t="shared" si="107"/>
        <v>0</v>
      </c>
      <c r="DQ130" s="489">
        <f t="shared" si="107"/>
        <v>0</v>
      </c>
      <c r="DR130" s="489">
        <f t="shared" si="107"/>
        <v>0</v>
      </c>
      <c r="DS130" s="489">
        <f t="shared" si="107"/>
        <v>0</v>
      </c>
      <c r="DT130" s="489">
        <f t="shared" si="107"/>
        <v>0</v>
      </c>
      <c r="DU130" s="489">
        <f t="shared" si="107"/>
        <v>0</v>
      </c>
      <c r="DV130" s="489">
        <f t="shared" si="107"/>
        <v>0</v>
      </c>
      <c r="DW130" s="322" t="s">
        <v>372</v>
      </c>
    </row>
    <row r="131" spans="3:127" ht="17.25" hidden="1" outlineLevel="1" thickTop="1" x14ac:dyDescent="0.3">
      <c r="C131" s="360"/>
      <c r="D131" s="360"/>
      <c r="E131" s="360"/>
      <c r="F131" s="360"/>
      <c r="G131" s="360"/>
      <c r="H131" s="360"/>
      <c r="I131" s="360"/>
      <c r="J131" s="360"/>
      <c r="K131" s="360"/>
      <c r="L131" s="360"/>
      <c r="M131" s="360"/>
      <c r="N131" s="360"/>
      <c r="O131" s="360"/>
      <c r="P131" s="360"/>
      <c r="Q131" s="360"/>
      <c r="R131" s="360"/>
      <c r="S131" s="360"/>
      <c r="T131" s="360"/>
      <c r="U131" s="360"/>
      <c r="V131" s="360"/>
      <c r="W131" s="360"/>
      <c r="X131" s="360"/>
      <c r="Y131" s="360"/>
      <c r="Z131" s="360"/>
      <c r="AA131" s="360"/>
      <c r="AB131" s="360"/>
      <c r="AC131" s="360"/>
      <c r="AD131" s="360"/>
      <c r="AE131" s="360"/>
      <c r="AF131" s="360"/>
      <c r="AG131" s="360"/>
      <c r="AH131" s="360"/>
      <c r="AI131" s="360"/>
      <c r="AJ131" s="360"/>
      <c r="AK131" s="360"/>
      <c r="AL131" s="360"/>
      <c r="AM131" s="360"/>
      <c r="AN131" s="360"/>
      <c r="AO131" s="360"/>
      <c r="AP131" s="360"/>
      <c r="AQ131" s="360"/>
      <c r="AR131" s="360"/>
      <c r="AS131" s="360"/>
      <c r="AT131" s="360"/>
      <c r="AU131" s="360"/>
      <c r="AV131" s="360"/>
      <c r="AW131" s="360"/>
      <c r="AX131" s="360"/>
      <c r="AY131" s="360"/>
      <c r="AZ131" s="360"/>
      <c r="BA131" s="360"/>
      <c r="BB131" s="360"/>
      <c r="BC131" s="360"/>
      <c r="BD131" s="360"/>
      <c r="BE131" s="360"/>
      <c r="BF131" s="360"/>
      <c r="BG131" s="360"/>
      <c r="BH131" s="360"/>
      <c r="BI131" s="360"/>
      <c r="BJ131" s="360"/>
      <c r="BK131" s="360"/>
      <c r="BL131" s="360"/>
      <c r="BM131" s="360"/>
      <c r="BN131" s="360"/>
      <c r="BO131" s="360"/>
      <c r="BP131" s="360"/>
      <c r="BQ131" s="360"/>
      <c r="BR131" s="360"/>
      <c r="BS131" s="360"/>
      <c r="BT131" s="360"/>
      <c r="BU131" s="360"/>
      <c r="BV131" s="360"/>
      <c r="BW131" s="360"/>
      <c r="BX131" s="360"/>
      <c r="BY131" s="360"/>
      <c r="BZ131" s="360"/>
      <c r="CA131" s="360"/>
      <c r="CB131" s="360"/>
      <c r="CC131" s="360"/>
      <c r="CD131" s="360"/>
      <c r="CE131" s="360"/>
      <c r="CF131" s="360"/>
      <c r="CG131" s="360"/>
      <c r="CH131" s="360"/>
      <c r="CI131" s="360"/>
      <c r="CJ131" s="360"/>
      <c r="CK131" s="360"/>
      <c r="CL131" s="360"/>
      <c r="CM131" s="360"/>
      <c r="CN131" s="360"/>
      <c r="CO131" s="360"/>
      <c r="CP131" s="360"/>
      <c r="CQ131" s="360"/>
      <c r="CR131" s="360"/>
      <c r="CS131" s="360"/>
      <c r="CT131" s="360"/>
      <c r="CU131" s="360"/>
      <c r="CV131" s="360"/>
      <c r="CW131" s="360"/>
      <c r="CX131" s="360"/>
      <c r="CY131" s="360"/>
      <c r="CZ131" s="360"/>
      <c r="DA131" s="360"/>
      <c r="DB131" s="360"/>
      <c r="DC131" s="360"/>
      <c r="DD131" s="360"/>
      <c r="DE131" s="360"/>
      <c r="DF131" s="360"/>
      <c r="DG131" s="360"/>
      <c r="DH131" s="360"/>
      <c r="DI131" s="360"/>
      <c r="DJ131" s="360"/>
      <c r="DK131" s="360"/>
      <c r="DL131" s="360"/>
      <c r="DM131" s="360"/>
      <c r="DN131" s="360"/>
      <c r="DO131" s="360"/>
      <c r="DP131" s="360"/>
      <c r="DQ131" s="360"/>
      <c r="DR131" s="360"/>
      <c r="DS131" s="360"/>
      <c r="DT131" s="360"/>
      <c r="DU131" s="360"/>
      <c r="DV131" s="360"/>
      <c r="DW131" s="322" t="s">
        <v>372</v>
      </c>
    </row>
    <row r="132" spans="3:127" hidden="1" outlineLevel="1" x14ac:dyDescent="0.3">
      <c r="C132" s="382" t="s">
        <v>363</v>
      </c>
      <c r="D132" s="382"/>
      <c r="E132" s="395"/>
      <c r="F132" s="458"/>
      <c r="G132" s="458"/>
      <c r="H132" s="458"/>
      <c r="I132" s="458"/>
      <c r="J132" s="458"/>
      <c r="K132" s="458"/>
      <c r="L132" s="458"/>
      <c r="M132" s="458"/>
      <c r="N132" s="458"/>
      <c r="O132" s="458"/>
      <c r="P132" s="458"/>
      <c r="Q132" s="458"/>
      <c r="R132" s="458"/>
      <c r="S132" s="458"/>
      <c r="T132" s="458"/>
      <c r="U132" s="458"/>
      <c r="V132" s="458"/>
      <c r="W132" s="458"/>
      <c r="X132" s="458"/>
      <c r="Y132" s="458"/>
      <c r="Z132" s="458"/>
      <c r="AA132" s="458"/>
      <c r="AB132" s="458"/>
      <c r="AC132" s="458"/>
      <c r="AD132" s="458"/>
      <c r="AE132" s="458"/>
      <c r="AF132" s="458"/>
      <c r="AG132" s="458"/>
      <c r="AH132" s="458"/>
      <c r="AI132" s="458"/>
      <c r="AJ132" s="458"/>
      <c r="AK132" s="458"/>
      <c r="AL132" s="458"/>
      <c r="AM132" s="458"/>
      <c r="AN132" s="458"/>
      <c r="AO132" s="458"/>
      <c r="AP132" s="458"/>
      <c r="AQ132" s="458"/>
      <c r="AR132" s="458"/>
      <c r="AS132" s="458"/>
      <c r="AT132" s="458"/>
      <c r="AU132" s="458"/>
      <c r="AV132" s="458"/>
      <c r="AW132" s="458"/>
      <c r="AX132" s="458"/>
      <c r="AY132" s="458"/>
      <c r="AZ132" s="458"/>
      <c r="BA132" s="458"/>
      <c r="BB132" s="458"/>
      <c r="BC132" s="458"/>
      <c r="BD132" s="458"/>
      <c r="BE132" s="458"/>
      <c r="BF132" s="458"/>
      <c r="BG132" s="458"/>
      <c r="BH132" s="458"/>
      <c r="BI132" s="458"/>
      <c r="BJ132" s="458"/>
      <c r="BK132" s="458"/>
      <c r="BL132" s="458"/>
      <c r="BM132" s="458"/>
      <c r="BN132" s="458"/>
      <c r="BO132" s="458"/>
      <c r="BP132" s="458"/>
      <c r="BQ132" s="458"/>
      <c r="BR132" s="458"/>
      <c r="BS132" s="458"/>
      <c r="BT132" s="458"/>
      <c r="BU132" s="458"/>
      <c r="BV132" s="458"/>
      <c r="BW132" s="458"/>
      <c r="BX132" s="458"/>
      <c r="BY132" s="458"/>
      <c r="BZ132" s="458"/>
      <c r="CA132" s="458"/>
      <c r="CB132" s="458"/>
      <c r="CC132" s="458"/>
      <c r="CD132" s="458"/>
      <c r="CE132" s="458"/>
      <c r="CF132" s="458"/>
      <c r="CG132" s="458"/>
      <c r="CH132" s="458"/>
      <c r="CI132" s="458"/>
      <c r="CJ132" s="458"/>
      <c r="CK132" s="458"/>
      <c r="CL132" s="458"/>
      <c r="CM132" s="458"/>
      <c r="CN132" s="458"/>
      <c r="CO132" s="458"/>
      <c r="CP132" s="458"/>
      <c r="CQ132" s="458"/>
      <c r="CR132" s="458"/>
      <c r="CS132" s="458"/>
      <c r="CT132" s="458"/>
      <c r="CU132" s="458"/>
      <c r="CV132" s="458"/>
      <c r="CW132" s="458"/>
      <c r="CX132" s="458"/>
      <c r="CY132" s="458"/>
      <c r="CZ132" s="458"/>
      <c r="DA132" s="458"/>
      <c r="DB132" s="458"/>
      <c r="DC132" s="458"/>
      <c r="DD132" s="458"/>
      <c r="DE132" s="458"/>
      <c r="DF132" s="458"/>
      <c r="DG132" s="458"/>
      <c r="DH132" s="458"/>
      <c r="DI132" s="458"/>
      <c r="DJ132" s="458"/>
      <c r="DK132" s="458"/>
      <c r="DL132" s="458"/>
      <c r="DM132" s="458"/>
      <c r="DN132" s="458"/>
      <c r="DO132" s="458"/>
      <c r="DP132" s="458"/>
      <c r="DQ132" s="458"/>
      <c r="DR132" s="458"/>
      <c r="DS132" s="458"/>
      <c r="DT132" s="458"/>
      <c r="DU132" s="458"/>
      <c r="DV132" s="458"/>
      <c r="DW132" s="322" t="s">
        <v>372</v>
      </c>
    </row>
    <row r="133" spans="3:127" hidden="1" outlineLevel="1" x14ac:dyDescent="0.3">
      <c r="C133" s="360"/>
      <c r="D133" s="360"/>
      <c r="E133" s="360"/>
      <c r="F133" s="360"/>
      <c r="G133" s="360"/>
      <c r="H133" s="360"/>
      <c r="I133" s="360"/>
      <c r="J133" s="360"/>
      <c r="K133" s="360"/>
      <c r="L133" s="360"/>
      <c r="M133" s="360"/>
      <c r="N133" s="360"/>
      <c r="O133" s="360"/>
      <c r="P133" s="360"/>
      <c r="Q133" s="360"/>
      <c r="R133" s="360"/>
      <c r="S133" s="360"/>
      <c r="T133" s="360"/>
      <c r="U133" s="360"/>
      <c r="V133" s="360"/>
      <c r="W133" s="360"/>
      <c r="X133" s="360"/>
      <c r="Y133" s="360"/>
      <c r="Z133" s="360"/>
      <c r="AA133" s="360"/>
      <c r="AB133" s="360"/>
      <c r="AC133" s="360"/>
      <c r="AD133" s="360"/>
      <c r="AE133" s="360"/>
      <c r="AF133" s="360"/>
      <c r="AG133" s="360"/>
      <c r="AH133" s="360"/>
      <c r="AI133" s="360"/>
      <c r="AJ133" s="360"/>
      <c r="AK133" s="360"/>
      <c r="AL133" s="360"/>
      <c r="AM133" s="360"/>
      <c r="AN133" s="360"/>
      <c r="AO133" s="360"/>
      <c r="AP133" s="360"/>
      <c r="AQ133" s="360"/>
      <c r="AR133" s="360"/>
      <c r="AS133" s="360"/>
      <c r="AT133" s="360"/>
      <c r="AU133" s="360"/>
      <c r="AV133" s="360"/>
      <c r="AW133" s="360"/>
      <c r="AX133" s="360"/>
      <c r="AY133" s="360"/>
      <c r="AZ133" s="360"/>
      <c r="BA133" s="360"/>
      <c r="BB133" s="360"/>
      <c r="BC133" s="360"/>
      <c r="BD133" s="360"/>
      <c r="BE133" s="360"/>
      <c r="BF133" s="360"/>
      <c r="BG133" s="360"/>
      <c r="BH133" s="360"/>
      <c r="BI133" s="360"/>
      <c r="BJ133" s="360"/>
      <c r="BK133" s="360"/>
      <c r="BL133" s="360"/>
      <c r="BM133" s="360"/>
      <c r="BN133" s="360"/>
      <c r="BO133" s="360"/>
      <c r="BP133" s="360"/>
      <c r="BQ133" s="360"/>
      <c r="BR133" s="360"/>
      <c r="BS133" s="360"/>
      <c r="BT133" s="360"/>
      <c r="BU133" s="360"/>
      <c r="BV133" s="360"/>
      <c r="BW133" s="360"/>
      <c r="BX133" s="360"/>
      <c r="BY133" s="360"/>
      <c r="BZ133" s="360"/>
      <c r="CA133" s="360"/>
      <c r="CB133" s="360"/>
      <c r="CC133" s="360"/>
      <c r="CD133" s="360"/>
      <c r="CE133" s="360"/>
      <c r="CF133" s="360"/>
      <c r="CG133" s="360"/>
      <c r="CH133" s="360"/>
      <c r="CI133" s="360"/>
      <c r="CJ133" s="360"/>
      <c r="CK133" s="360"/>
      <c r="CL133" s="360"/>
      <c r="CM133" s="360"/>
      <c r="CN133" s="360"/>
      <c r="CO133" s="360"/>
      <c r="CP133" s="360"/>
      <c r="CQ133" s="360"/>
      <c r="CR133" s="360"/>
      <c r="CS133" s="360"/>
      <c r="CT133" s="360"/>
      <c r="CU133" s="360"/>
      <c r="CV133" s="360"/>
      <c r="CW133" s="360"/>
      <c r="CX133" s="360"/>
      <c r="CY133" s="360"/>
      <c r="CZ133" s="360"/>
      <c r="DA133" s="360"/>
      <c r="DB133" s="360"/>
      <c r="DC133" s="360"/>
      <c r="DD133" s="360"/>
      <c r="DE133" s="360"/>
      <c r="DF133" s="360"/>
      <c r="DG133" s="360"/>
      <c r="DH133" s="360"/>
      <c r="DI133" s="360"/>
      <c r="DJ133" s="360"/>
      <c r="DK133" s="360"/>
      <c r="DL133" s="360"/>
      <c r="DM133" s="360"/>
      <c r="DN133" s="360"/>
      <c r="DO133" s="360"/>
      <c r="DP133" s="360"/>
      <c r="DQ133" s="360"/>
      <c r="DR133" s="360"/>
      <c r="DS133" s="360"/>
      <c r="DT133" s="360"/>
      <c r="DU133" s="360"/>
      <c r="DV133" s="360"/>
      <c r="DW133" s="322" t="s">
        <v>372</v>
      </c>
    </row>
    <row r="134" spans="3:127" hidden="1" outlineLevel="1" x14ac:dyDescent="0.3">
      <c r="C134" s="382" t="s">
        <v>408</v>
      </c>
      <c r="D134" s="382"/>
      <c r="E134" s="395"/>
      <c r="F134" s="458"/>
      <c r="G134" s="458"/>
      <c r="H134" s="458"/>
      <c r="I134" s="458"/>
      <c r="J134" s="458"/>
      <c r="K134" s="458"/>
      <c r="L134" s="458"/>
      <c r="M134" s="458"/>
      <c r="N134" s="458"/>
      <c r="O134" s="458"/>
      <c r="P134" s="458"/>
      <c r="Q134" s="458"/>
      <c r="R134" s="458"/>
      <c r="S134" s="458"/>
      <c r="T134" s="458"/>
      <c r="U134" s="458"/>
      <c r="V134" s="458"/>
      <c r="W134" s="458"/>
      <c r="X134" s="458"/>
      <c r="Y134" s="458"/>
      <c r="Z134" s="458"/>
      <c r="AA134" s="458"/>
      <c r="AB134" s="458"/>
      <c r="AC134" s="458"/>
      <c r="AD134" s="458"/>
      <c r="AE134" s="458"/>
      <c r="AF134" s="458"/>
      <c r="AG134" s="458"/>
      <c r="AH134" s="458"/>
      <c r="AI134" s="458"/>
      <c r="AJ134" s="458"/>
      <c r="AK134" s="458"/>
      <c r="AL134" s="458"/>
      <c r="AM134" s="458"/>
      <c r="AN134" s="458"/>
      <c r="AO134" s="458"/>
      <c r="AP134" s="458"/>
      <c r="AQ134" s="458"/>
      <c r="AR134" s="458"/>
      <c r="AS134" s="458"/>
      <c r="AT134" s="458"/>
      <c r="AU134" s="458"/>
      <c r="AV134" s="458"/>
      <c r="AW134" s="458"/>
      <c r="AX134" s="458"/>
      <c r="AY134" s="458"/>
      <c r="AZ134" s="458"/>
      <c r="BA134" s="458"/>
      <c r="BB134" s="458"/>
      <c r="BC134" s="458"/>
      <c r="BD134" s="458"/>
      <c r="BE134" s="458"/>
      <c r="BF134" s="458"/>
      <c r="BG134" s="458"/>
      <c r="BH134" s="458"/>
      <c r="BI134" s="458"/>
      <c r="BJ134" s="458"/>
      <c r="BK134" s="458"/>
      <c r="BL134" s="458"/>
      <c r="BM134" s="458"/>
      <c r="BN134" s="458"/>
      <c r="BO134" s="458"/>
      <c r="BP134" s="458"/>
      <c r="BQ134" s="458"/>
      <c r="BR134" s="458"/>
      <c r="BS134" s="458"/>
      <c r="BT134" s="458"/>
      <c r="BU134" s="458"/>
      <c r="BV134" s="458"/>
      <c r="BW134" s="458"/>
      <c r="BX134" s="458"/>
      <c r="BY134" s="458"/>
      <c r="BZ134" s="458"/>
      <c r="CA134" s="458"/>
      <c r="CB134" s="458"/>
      <c r="CC134" s="458"/>
      <c r="CD134" s="458"/>
      <c r="CE134" s="458"/>
      <c r="CF134" s="458"/>
      <c r="CG134" s="458"/>
      <c r="CH134" s="458"/>
      <c r="CI134" s="458"/>
      <c r="CJ134" s="458"/>
      <c r="CK134" s="458"/>
      <c r="CL134" s="458"/>
      <c r="CM134" s="458"/>
      <c r="CN134" s="458"/>
      <c r="CO134" s="458"/>
      <c r="CP134" s="458"/>
      <c r="CQ134" s="458"/>
      <c r="CR134" s="458"/>
      <c r="CS134" s="458"/>
      <c r="CT134" s="458"/>
      <c r="CU134" s="458"/>
      <c r="CV134" s="458"/>
      <c r="CW134" s="458"/>
      <c r="CX134" s="458"/>
      <c r="CY134" s="458"/>
      <c r="CZ134" s="458"/>
      <c r="DA134" s="458"/>
      <c r="DB134" s="458"/>
      <c r="DC134" s="458"/>
      <c r="DD134" s="458"/>
      <c r="DE134" s="458"/>
      <c r="DF134" s="458"/>
      <c r="DG134" s="458"/>
      <c r="DH134" s="458"/>
      <c r="DI134" s="458"/>
      <c r="DJ134" s="458"/>
      <c r="DK134" s="458"/>
      <c r="DL134" s="458"/>
      <c r="DM134" s="458"/>
      <c r="DN134" s="458"/>
      <c r="DO134" s="458"/>
      <c r="DP134" s="458"/>
      <c r="DQ134" s="458"/>
      <c r="DR134" s="458"/>
      <c r="DS134" s="458"/>
      <c r="DT134" s="458"/>
      <c r="DU134" s="458"/>
      <c r="DV134" s="458"/>
      <c r="DW134" s="322" t="s">
        <v>372</v>
      </c>
    </row>
    <row r="135" spans="3:127" hidden="1" outlineLevel="1" x14ac:dyDescent="0.3">
      <c r="C135" s="374" t="s">
        <v>351</v>
      </c>
      <c r="D135" s="360"/>
      <c r="E135" s="463"/>
      <c r="F135" s="465">
        <v>0</v>
      </c>
      <c r="G135" s="409">
        <f t="shared" ref="G135:BR135" si="108">F140</f>
        <v>1367250</v>
      </c>
      <c r="H135" s="409">
        <f t="shared" si="108"/>
        <v>1357594.3756250001</v>
      </c>
      <c r="I135" s="409">
        <f t="shared" si="108"/>
        <v>1347938.7512500002</v>
      </c>
      <c r="J135" s="409">
        <f t="shared" si="108"/>
        <v>1386213.2358957785</v>
      </c>
      <c r="K135" s="409">
        <f t="shared" si="108"/>
        <v>1376557.6115207786</v>
      </c>
      <c r="L135" s="409">
        <f t="shared" si="108"/>
        <v>1366901.9871457787</v>
      </c>
      <c r="M135" s="409">
        <f t="shared" si="108"/>
        <v>1405850.7679812233</v>
      </c>
      <c r="N135" s="409">
        <f t="shared" si="108"/>
        <v>1396195.1436062234</v>
      </c>
      <c r="O135" s="409">
        <f t="shared" si="108"/>
        <v>1386539.5192312235</v>
      </c>
      <c r="P135" s="409">
        <f t="shared" si="108"/>
        <v>1426186.5729317234</v>
      </c>
      <c r="Q135" s="409">
        <f t="shared" si="108"/>
        <v>1416530.9485567235</v>
      </c>
      <c r="R135" s="409">
        <f t="shared" si="108"/>
        <v>1406875.3241817236</v>
      </c>
      <c r="S135" s="409">
        <f t="shared" si="108"/>
        <v>1447245.4799871219</v>
      </c>
      <c r="T135" s="409">
        <f t="shared" si="108"/>
        <v>1436919.0462558719</v>
      </c>
      <c r="U135" s="409">
        <f t="shared" si="108"/>
        <v>1426592.6125246219</v>
      </c>
      <c r="V135" s="409">
        <f t="shared" si="108"/>
        <v>1466993.0678179166</v>
      </c>
      <c r="W135" s="409">
        <f t="shared" si="108"/>
        <v>1456666.6340866666</v>
      </c>
      <c r="X135" s="409">
        <f t="shared" si="108"/>
        <v>1446340.2003554166</v>
      </c>
      <c r="Y135" s="409">
        <f t="shared" si="108"/>
        <v>1487442.8418843616</v>
      </c>
      <c r="Z135" s="409">
        <f t="shared" si="108"/>
        <v>1477116.4081531116</v>
      </c>
      <c r="AA135" s="409">
        <f t="shared" si="108"/>
        <v>1466789.9744218616</v>
      </c>
      <c r="AB135" s="409">
        <f t="shared" si="108"/>
        <v>1508619.77057823</v>
      </c>
      <c r="AC135" s="409">
        <f t="shared" si="108"/>
        <v>1498293.33684698</v>
      </c>
      <c r="AD135" s="409">
        <f t="shared" si="108"/>
        <v>1487966.90311573</v>
      </c>
      <c r="AE135" s="409">
        <f t="shared" si="108"/>
        <v>1530549.7101192763</v>
      </c>
      <c r="AF135" s="409">
        <f t="shared" si="108"/>
        <v>1519532.3427510888</v>
      </c>
      <c r="AG135" s="409">
        <f t="shared" si="108"/>
        <v>1508514.9753829013</v>
      </c>
      <c r="AH135" s="409">
        <f t="shared" si="108"/>
        <v>1551137.498671859</v>
      </c>
      <c r="AI135" s="409">
        <f t="shared" si="108"/>
        <v>1540120.1313036715</v>
      </c>
      <c r="AJ135" s="409">
        <f t="shared" si="108"/>
        <v>1529102.763935484</v>
      </c>
      <c r="AK135" s="409">
        <f t="shared" si="108"/>
        <v>1572457.3493814997</v>
      </c>
      <c r="AL135" s="409">
        <f t="shared" si="108"/>
        <v>1561439.9820133122</v>
      </c>
      <c r="AM135" s="409">
        <f t="shared" si="108"/>
        <v>1550422.6146451246</v>
      </c>
      <c r="AN135" s="409">
        <f t="shared" si="108"/>
        <v>1594535.2929702657</v>
      </c>
      <c r="AO135" s="409">
        <f t="shared" si="108"/>
        <v>1583517.9256020782</v>
      </c>
      <c r="AP135" s="409">
        <f t="shared" si="108"/>
        <v>1572500.5582338907</v>
      </c>
      <c r="AQ135" s="409">
        <f t="shared" si="108"/>
        <v>1617398.2857626271</v>
      </c>
      <c r="AR135" s="409">
        <f t="shared" si="108"/>
        <v>1605669.2567483941</v>
      </c>
      <c r="AS135" s="409">
        <f t="shared" si="108"/>
        <v>1593940.2277341611</v>
      </c>
      <c r="AT135" s="409">
        <f t="shared" si="108"/>
        <v>1638888.6470216818</v>
      </c>
      <c r="AU135" s="409">
        <f t="shared" si="108"/>
        <v>1627159.6180074487</v>
      </c>
      <c r="AV135" s="409">
        <f t="shared" si="108"/>
        <v>1615430.5889932157</v>
      </c>
      <c r="AW135" s="409">
        <f t="shared" si="108"/>
        <v>1661143.164186995</v>
      </c>
      <c r="AX135" s="409">
        <f t="shared" si="108"/>
        <v>1649414.135172762</v>
      </c>
      <c r="AY135" s="409">
        <f t="shared" si="108"/>
        <v>1637685.1061585289</v>
      </c>
      <c r="AZ135" s="409">
        <f t="shared" si="108"/>
        <v>1684189.0091726184</v>
      </c>
      <c r="BA135" s="409">
        <f t="shared" si="108"/>
        <v>1672459.9801583854</v>
      </c>
      <c r="BB135" s="409">
        <f t="shared" si="108"/>
        <v>1660730.9511441523</v>
      </c>
      <c r="BC135" s="409">
        <f t="shared" si="108"/>
        <v>1708054.3200735978</v>
      </c>
      <c r="BD135" s="409">
        <f t="shared" si="108"/>
        <v>1701546.4615663528</v>
      </c>
      <c r="BE135" s="409">
        <f t="shared" si="108"/>
        <v>1695038.6030591077</v>
      </c>
      <c r="BF135" s="409">
        <f t="shared" si="108"/>
        <v>1748803.0566014349</v>
      </c>
      <c r="BG135" s="409">
        <f t="shared" si="108"/>
        <v>1742295.1980941899</v>
      </c>
      <c r="BH135" s="409">
        <f t="shared" si="108"/>
        <v>1735787.3395869448</v>
      </c>
      <c r="BI135" s="409">
        <f t="shared" si="108"/>
        <v>1791000.7398135534</v>
      </c>
      <c r="BJ135" s="409">
        <f t="shared" si="108"/>
        <v>1784492.8813063083</v>
      </c>
      <c r="BK135" s="409">
        <f t="shared" si="108"/>
        <v>1777985.0227990632</v>
      </c>
      <c r="BL135" s="409">
        <f t="shared" si="108"/>
        <v>1834698.891466768</v>
      </c>
      <c r="BM135" s="409">
        <f t="shared" si="108"/>
        <v>1828191.0329595229</v>
      </c>
      <c r="BN135" s="409">
        <f t="shared" si="108"/>
        <v>1821683.1744522778</v>
      </c>
      <c r="BO135" s="409">
        <f t="shared" si="108"/>
        <v>0</v>
      </c>
      <c r="BP135" s="409">
        <f t="shared" si="108"/>
        <v>0</v>
      </c>
      <c r="BQ135" s="409">
        <f t="shared" si="108"/>
        <v>0</v>
      </c>
      <c r="BR135" s="409">
        <f t="shared" si="108"/>
        <v>0</v>
      </c>
      <c r="BS135" s="409">
        <f t="shared" ref="BS135:DV135" si="109">BR140</f>
        <v>0</v>
      </c>
      <c r="BT135" s="409">
        <f t="shared" si="109"/>
        <v>0</v>
      </c>
      <c r="BU135" s="409">
        <f t="shared" si="109"/>
        <v>0</v>
      </c>
      <c r="BV135" s="409">
        <f t="shared" si="109"/>
        <v>0</v>
      </c>
      <c r="BW135" s="409">
        <f t="shared" si="109"/>
        <v>0</v>
      </c>
      <c r="BX135" s="409">
        <f t="shared" si="109"/>
        <v>0</v>
      </c>
      <c r="BY135" s="409">
        <f t="shared" si="109"/>
        <v>0</v>
      </c>
      <c r="BZ135" s="409">
        <f t="shared" si="109"/>
        <v>0</v>
      </c>
      <c r="CA135" s="409">
        <f t="shared" si="109"/>
        <v>0</v>
      </c>
      <c r="CB135" s="409">
        <f t="shared" si="109"/>
        <v>0</v>
      </c>
      <c r="CC135" s="409">
        <f t="shared" si="109"/>
        <v>0</v>
      </c>
      <c r="CD135" s="409">
        <f t="shared" si="109"/>
        <v>0</v>
      </c>
      <c r="CE135" s="409">
        <f t="shared" si="109"/>
        <v>0</v>
      </c>
      <c r="CF135" s="409">
        <f t="shared" si="109"/>
        <v>0</v>
      </c>
      <c r="CG135" s="409">
        <f t="shared" si="109"/>
        <v>0</v>
      </c>
      <c r="CH135" s="409">
        <f t="shared" si="109"/>
        <v>0</v>
      </c>
      <c r="CI135" s="409">
        <f t="shared" si="109"/>
        <v>0</v>
      </c>
      <c r="CJ135" s="409">
        <f t="shared" si="109"/>
        <v>0</v>
      </c>
      <c r="CK135" s="409">
        <f t="shared" si="109"/>
        <v>0</v>
      </c>
      <c r="CL135" s="409">
        <f t="shared" si="109"/>
        <v>0</v>
      </c>
      <c r="CM135" s="409">
        <f t="shared" si="109"/>
        <v>0</v>
      </c>
      <c r="CN135" s="409">
        <f t="shared" si="109"/>
        <v>0</v>
      </c>
      <c r="CO135" s="409">
        <f t="shared" si="109"/>
        <v>0</v>
      </c>
      <c r="CP135" s="409">
        <f t="shared" si="109"/>
        <v>0</v>
      </c>
      <c r="CQ135" s="409">
        <f t="shared" si="109"/>
        <v>0</v>
      </c>
      <c r="CR135" s="409">
        <f t="shared" si="109"/>
        <v>0</v>
      </c>
      <c r="CS135" s="409">
        <f t="shared" si="109"/>
        <v>0</v>
      </c>
      <c r="CT135" s="409">
        <f t="shared" si="109"/>
        <v>0</v>
      </c>
      <c r="CU135" s="409">
        <f t="shared" si="109"/>
        <v>0</v>
      </c>
      <c r="CV135" s="409">
        <f t="shared" si="109"/>
        <v>0</v>
      </c>
      <c r="CW135" s="409">
        <f t="shared" si="109"/>
        <v>0</v>
      </c>
      <c r="CX135" s="409">
        <f t="shared" si="109"/>
        <v>0</v>
      </c>
      <c r="CY135" s="409">
        <f t="shared" si="109"/>
        <v>0</v>
      </c>
      <c r="CZ135" s="409">
        <f t="shared" si="109"/>
        <v>0</v>
      </c>
      <c r="DA135" s="409">
        <f t="shared" si="109"/>
        <v>0</v>
      </c>
      <c r="DB135" s="409">
        <f t="shared" si="109"/>
        <v>0</v>
      </c>
      <c r="DC135" s="409">
        <f t="shared" si="109"/>
        <v>0</v>
      </c>
      <c r="DD135" s="409">
        <f t="shared" si="109"/>
        <v>0</v>
      </c>
      <c r="DE135" s="409">
        <f t="shared" si="109"/>
        <v>0</v>
      </c>
      <c r="DF135" s="409">
        <f t="shared" si="109"/>
        <v>0</v>
      </c>
      <c r="DG135" s="409">
        <f t="shared" si="109"/>
        <v>0</v>
      </c>
      <c r="DH135" s="409">
        <f t="shared" si="109"/>
        <v>0</v>
      </c>
      <c r="DI135" s="409">
        <f t="shared" si="109"/>
        <v>0</v>
      </c>
      <c r="DJ135" s="409">
        <f t="shared" si="109"/>
        <v>0</v>
      </c>
      <c r="DK135" s="409">
        <f t="shared" si="109"/>
        <v>0</v>
      </c>
      <c r="DL135" s="409">
        <f t="shared" si="109"/>
        <v>0</v>
      </c>
      <c r="DM135" s="409">
        <f t="shared" si="109"/>
        <v>0</v>
      </c>
      <c r="DN135" s="409">
        <f t="shared" si="109"/>
        <v>0</v>
      </c>
      <c r="DO135" s="409">
        <f t="shared" si="109"/>
        <v>0</v>
      </c>
      <c r="DP135" s="409">
        <f t="shared" si="109"/>
        <v>0</v>
      </c>
      <c r="DQ135" s="409">
        <f t="shared" si="109"/>
        <v>0</v>
      </c>
      <c r="DR135" s="409">
        <f t="shared" si="109"/>
        <v>0</v>
      </c>
      <c r="DS135" s="409">
        <f t="shared" si="109"/>
        <v>0</v>
      </c>
      <c r="DT135" s="409">
        <f t="shared" si="109"/>
        <v>0</v>
      </c>
      <c r="DU135" s="409">
        <f t="shared" si="109"/>
        <v>0</v>
      </c>
      <c r="DV135" s="409">
        <f t="shared" si="109"/>
        <v>0</v>
      </c>
      <c r="DW135" s="322" t="s">
        <v>372</v>
      </c>
    </row>
    <row r="136" spans="3:127" hidden="1" outlineLevel="1" x14ac:dyDescent="0.3">
      <c r="C136" s="374" t="s">
        <v>400</v>
      </c>
      <c r="D136" s="360"/>
      <c r="E136" s="463">
        <f>SUM(F136:BI136)</f>
        <v>1367250</v>
      </c>
      <c r="F136" s="468">
        <f t="shared" ref="F136:BQ136" si="110">-F78</f>
        <v>1367250</v>
      </c>
      <c r="G136" s="468">
        <f t="shared" si="110"/>
        <v>0</v>
      </c>
      <c r="H136" s="468">
        <f t="shared" si="110"/>
        <v>0</v>
      </c>
      <c r="I136" s="468">
        <f t="shared" si="110"/>
        <v>0</v>
      </c>
      <c r="J136" s="468">
        <f t="shared" si="110"/>
        <v>0</v>
      </c>
      <c r="K136" s="468">
        <f t="shared" si="110"/>
        <v>0</v>
      </c>
      <c r="L136" s="468">
        <f t="shared" si="110"/>
        <v>0</v>
      </c>
      <c r="M136" s="468">
        <f t="shared" si="110"/>
        <v>0</v>
      </c>
      <c r="N136" s="468">
        <f t="shared" si="110"/>
        <v>0</v>
      </c>
      <c r="O136" s="468">
        <f t="shared" si="110"/>
        <v>0</v>
      </c>
      <c r="P136" s="468">
        <f t="shared" si="110"/>
        <v>0</v>
      </c>
      <c r="Q136" s="468">
        <f t="shared" si="110"/>
        <v>0</v>
      </c>
      <c r="R136" s="468">
        <f t="shared" si="110"/>
        <v>0</v>
      </c>
      <c r="S136" s="468">
        <f t="shared" si="110"/>
        <v>0</v>
      </c>
      <c r="T136" s="468">
        <f t="shared" si="110"/>
        <v>0</v>
      </c>
      <c r="U136" s="468">
        <f t="shared" si="110"/>
        <v>0</v>
      </c>
      <c r="V136" s="468">
        <f t="shared" si="110"/>
        <v>0</v>
      </c>
      <c r="W136" s="468">
        <f t="shared" si="110"/>
        <v>0</v>
      </c>
      <c r="X136" s="468">
        <f t="shared" si="110"/>
        <v>0</v>
      </c>
      <c r="Y136" s="468">
        <f t="shared" si="110"/>
        <v>0</v>
      </c>
      <c r="Z136" s="468">
        <f t="shared" si="110"/>
        <v>0</v>
      </c>
      <c r="AA136" s="468">
        <f t="shared" si="110"/>
        <v>0</v>
      </c>
      <c r="AB136" s="468">
        <f t="shared" si="110"/>
        <v>0</v>
      </c>
      <c r="AC136" s="468">
        <f t="shared" si="110"/>
        <v>0</v>
      </c>
      <c r="AD136" s="468">
        <f t="shared" si="110"/>
        <v>0</v>
      </c>
      <c r="AE136" s="468">
        <f t="shared" si="110"/>
        <v>0</v>
      </c>
      <c r="AF136" s="468">
        <f t="shared" si="110"/>
        <v>0</v>
      </c>
      <c r="AG136" s="468">
        <f t="shared" si="110"/>
        <v>0</v>
      </c>
      <c r="AH136" s="468">
        <f t="shared" si="110"/>
        <v>0</v>
      </c>
      <c r="AI136" s="468">
        <f t="shared" si="110"/>
        <v>0</v>
      </c>
      <c r="AJ136" s="468">
        <f t="shared" si="110"/>
        <v>0</v>
      </c>
      <c r="AK136" s="468">
        <f t="shared" si="110"/>
        <v>0</v>
      </c>
      <c r="AL136" s="468">
        <f t="shared" si="110"/>
        <v>0</v>
      </c>
      <c r="AM136" s="468">
        <f t="shared" si="110"/>
        <v>0</v>
      </c>
      <c r="AN136" s="468">
        <f t="shared" si="110"/>
        <v>0</v>
      </c>
      <c r="AO136" s="468">
        <f t="shared" si="110"/>
        <v>0</v>
      </c>
      <c r="AP136" s="468">
        <f t="shared" si="110"/>
        <v>0</v>
      </c>
      <c r="AQ136" s="468">
        <f t="shared" si="110"/>
        <v>0</v>
      </c>
      <c r="AR136" s="468">
        <f t="shared" si="110"/>
        <v>0</v>
      </c>
      <c r="AS136" s="468">
        <f t="shared" si="110"/>
        <v>0</v>
      </c>
      <c r="AT136" s="468">
        <f t="shared" si="110"/>
        <v>0</v>
      </c>
      <c r="AU136" s="468">
        <f t="shared" si="110"/>
        <v>0</v>
      </c>
      <c r="AV136" s="468">
        <f t="shared" si="110"/>
        <v>0</v>
      </c>
      <c r="AW136" s="468">
        <f t="shared" si="110"/>
        <v>0</v>
      </c>
      <c r="AX136" s="468">
        <f t="shared" si="110"/>
        <v>0</v>
      </c>
      <c r="AY136" s="468">
        <f t="shared" si="110"/>
        <v>0</v>
      </c>
      <c r="AZ136" s="468">
        <f t="shared" si="110"/>
        <v>0</v>
      </c>
      <c r="BA136" s="468">
        <f t="shared" si="110"/>
        <v>0</v>
      </c>
      <c r="BB136" s="468">
        <f t="shared" si="110"/>
        <v>0</v>
      </c>
      <c r="BC136" s="468">
        <f t="shared" si="110"/>
        <v>0</v>
      </c>
      <c r="BD136" s="468">
        <f t="shared" si="110"/>
        <v>0</v>
      </c>
      <c r="BE136" s="468">
        <f t="shared" si="110"/>
        <v>0</v>
      </c>
      <c r="BF136" s="468">
        <f t="shared" si="110"/>
        <v>0</v>
      </c>
      <c r="BG136" s="468">
        <f t="shared" si="110"/>
        <v>0</v>
      </c>
      <c r="BH136" s="468">
        <f t="shared" si="110"/>
        <v>0</v>
      </c>
      <c r="BI136" s="468">
        <f t="shared" si="110"/>
        <v>0</v>
      </c>
      <c r="BJ136" s="468">
        <f t="shared" si="110"/>
        <v>0</v>
      </c>
      <c r="BK136" s="468">
        <f t="shared" si="110"/>
        <v>0</v>
      </c>
      <c r="BL136" s="468">
        <f t="shared" si="110"/>
        <v>0</v>
      </c>
      <c r="BM136" s="468">
        <f t="shared" si="110"/>
        <v>0</v>
      </c>
      <c r="BN136" s="468">
        <f t="shared" si="110"/>
        <v>0</v>
      </c>
      <c r="BO136" s="468">
        <f t="shared" si="110"/>
        <v>0</v>
      </c>
      <c r="BP136" s="468">
        <f t="shared" si="110"/>
        <v>0</v>
      </c>
      <c r="BQ136" s="468">
        <f t="shared" si="110"/>
        <v>0</v>
      </c>
      <c r="BR136" s="468">
        <f t="shared" ref="BR136:DV136" si="111">-BR78</f>
        <v>0</v>
      </c>
      <c r="BS136" s="468">
        <f t="shared" si="111"/>
        <v>0</v>
      </c>
      <c r="BT136" s="468">
        <f t="shared" si="111"/>
        <v>0</v>
      </c>
      <c r="BU136" s="468">
        <f t="shared" si="111"/>
        <v>0</v>
      </c>
      <c r="BV136" s="468">
        <f t="shared" si="111"/>
        <v>0</v>
      </c>
      <c r="BW136" s="468">
        <f t="shared" si="111"/>
        <v>0</v>
      </c>
      <c r="BX136" s="468">
        <f t="shared" si="111"/>
        <v>0</v>
      </c>
      <c r="BY136" s="468">
        <f t="shared" si="111"/>
        <v>0</v>
      </c>
      <c r="BZ136" s="468">
        <f t="shared" si="111"/>
        <v>0</v>
      </c>
      <c r="CA136" s="468">
        <f t="shared" si="111"/>
        <v>0</v>
      </c>
      <c r="CB136" s="468">
        <f t="shared" si="111"/>
        <v>0</v>
      </c>
      <c r="CC136" s="468">
        <f t="shared" si="111"/>
        <v>0</v>
      </c>
      <c r="CD136" s="468">
        <f t="shared" si="111"/>
        <v>0</v>
      </c>
      <c r="CE136" s="468">
        <f t="shared" si="111"/>
        <v>0</v>
      </c>
      <c r="CF136" s="468">
        <f t="shared" si="111"/>
        <v>0</v>
      </c>
      <c r="CG136" s="468">
        <f t="shared" si="111"/>
        <v>0</v>
      </c>
      <c r="CH136" s="468">
        <f t="shared" si="111"/>
        <v>0</v>
      </c>
      <c r="CI136" s="468">
        <f t="shared" si="111"/>
        <v>0</v>
      </c>
      <c r="CJ136" s="468">
        <f t="shared" si="111"/>
        <v>0</v>
      </c>
      <c r="CK136" s="468">
        <f t="shared" si="111"/>
        <v>0</v>
      </c>
      <c r="CL136" s="468">
        <f t="shared" si="111"/>
        <v>0</v>
      </c>
      <c r="CM136" s="468">
        <f t="shared" si="111"/>
        <v>0</v>
      </c>
      <c r="CN136" s="468">
        <f t="shared" si="111"/>
        <v>0</v>
      </c>
      <c r="CO136" s="468">
        <f t="shared" si="111"/>
        <v>0</v>
      </c>
      <c r="CP136" s="468">
        <f t="shared" si="111"/>
        <v>0</v>
      </c>
      <c r="CQ136" s="468">
        <f t="shared" si="111"/>
        <v>0</v>
      </c>
      <c r="CR136" s="468">
        <f t="shared" si="111"/>
        <v>0</v>
      </c>
      <c r="CS136" s="468">
        <f t="shared" si="111"/>
        <v>0</v>
      </c>
      <c r="CT136" s="468">
        <f t="shared" si="111"/>
        <v>0</v>
      </c>
      <c r="CU136" s="468">
        <f t="shared" si="111"/>
        <v>0</v>
      </c>
      <c r="CV136" s="468">
        <f t="shared" si="111"/>
        <v>0</v>
      </c>
      <c r="CW136" s="468">
        <f t="shared" si="111"/>
        <v>0</v>
      </c>
      <c r="CX136" s="468">
        <f t="shared" si="111"/>
        <v>0</v>
      </c>
      <c r="CY136" s="468">
        <f t="shared" si="111"/>
        <v>0</v>
      </c>
      <c r="CZ136" s="468">
        <f t="shared" si="111"/>
        <v>0</v>
      </c>
      <c r="DA136" s="468">
        <f t="shared" si="111"/>
        <v>0</v>
      </c>
      <c r="DB136" s="468">
        <f t="shared" si="111"/>
        <v>0</v>
      </c>
      <c r="DC136" s="468">
        <f t="shared" si="111"/>
        <v>0</v>
      </c>
      <c r="DD136" s="468">
        <f t="shared" si="111"/>
        <v>0</v>
      </c>
      <c r="DE136" s="468">
        <f t="shared" si="111"/>
        <v>0</v>
      </c>
      <c r="DF136" s="468">
        <f t="shared" si="111"/>
        <v>0</v>
      </c>
      <c r="DG136" s="468">
        <f t="shared" si="111"/>
        <v>0</v>
      </c>
      <c r="DH136" s="468">
        <f t="shared" si="111"/>
        <v>0</v>
      </c>
      <c r="DI136" s="468">
        <f t="shared" si="111"/>
        <v>0</v>
      </c>
      <c r="DJ136" s="468">
        <f t="shared" si="111"/>
        <v>0</v>
      </c>
      <c r="DK136" s="468">
        <f t="shared" si="111"/>
        <v>0</v>
      </c>
      <c r="DL136" s="468">
        <f t="shared" si="111"/>
        <v>0</v>
      </c>
      <c r="DM136" s="468">
        <f t="shared" si="111"/>
        <v>0</v>
      </c>
      <c r="DN136" s="468">
        <f t="shared" si="111"/>
        <v>0</v>
      </c>
      <c r="DO136" s="468">
        <f t="shared" si="111"/>
        <v>0</v>
      </c>
      <c r="DP136" s="468">
        <f t="shared" si="111"/>
        <v>0</v>
      </c>
      <c r="DQ136" s="468">
        <f t="shared" si="111"/>
        <v>0</v>
      </c>
      <c r="DR136" s="468">
        <f t="shared" si="111"/>
        <v>0</v>
      </c>
      <c r="DS136" s="468">
        <f t="shared" si="111"/>
        <v>0</v>
      </c>
      <c r="DT136" s="468">
        <f t="shared" si="111"/>
        <v>0</v>
      </c>
      <c r="DU136" s="468">
        <f t="shared" si="111"/>
        <v>0</v>
      </c>
      <c r="DV136" s="468">
        <f t="shared" si="111"/>
        <v>0</v>
      </c>
      <c r="DW136" s="322" t="s">
        <v>372</v>
      </c>
    </row>
    <row r="137" spans="3:127" hidden="1" outlineLevel="1" x14ac:dyDescent="0.3">
      <c r="C137" s="374" t="s">
        <v>401</v>
      </c>
      <c r="D137" s="360"/>
      <c r="E137" s="463">
        <f>SUM(F137:BI137)</f>
        <v>975539.34472106968</v>
      </c>
      <c r="F137" s="468">
        <v>0</v>
      </c>
      <c r="G137" s="468">
        <f t="shared" ref="G137:BR137" si="112">G135*(((1+$D$39)^(1/$K$38)-1)*G85)</f>
        <v>0</v>
      </c>
      <c r="H137" s="468">
        <f t="shared" si="112"/>
        <v>0</v>
      </c>
      <c r="I137" s="468">
        <f t="shared" si="112"/>
        <v>47930.109020778291</v>
      </c>
      <c r="J137" s="468">
        <f t="shared" si="112"/>
        <v>0</v>
      </c>
      <c r="K137" s="468">
        <f t="shared" si="112"/>
        <v>0</v>
      </c>
      <c r="L137" s="468">
        <f t="shared" si="112"/>
        <v>48604.405210444565</v>
      </c>
      <c r="M137" s="468">
        <f t="shared" si="112"/>
        <v>0</v>
      </c>
      <c r="N137" s="468">
        <f t="shared" si="112"/>
        <v>0</v>
      </c>
      <c r="O137" s="468">
        <f t="shared" si="112"/>
        <v>49302.678075499869</v>
      </c>
      <c r="P137" s="468">
        <f t="shared" si="112"/>
        <v>0</v>
      </c>
      <c r="Q137" s="468">
        <f t="shared" si="112"/>
        <v>0</v>
      </c>
      <c r="R137" s="468">
        <f t="shared" si="112"/>
        <v>50025.780180398091</v>
      </c>
      <c r="S137" s="468">
        <f t="shared" si="112"/>
        <v>0</v>
      </c>
      <c r="T137" s="468">
        <f t="shared" si="112"/>
        <v>0</v>
      </c>
      <c r="U137" s="468">
        <f t="shared" si="112"/>
        <v>50726.889024544638</v>
      </c>
      <c r="V137" s="468">
        <f t="shared" si="112"/>
        <v>0</v>
      </c>
      <c r="W137" s="468">
        <f t="shared" si="112"/>
        <v>0</v>
      </c>
      <c r="X137" s="468">
        <f t="shared" si="112"/>
        <v>51429.075260194928</v>
      </c>
      <c r="Y137" s="468">
        <f t="shared" si="112"/>
        <v>0</v>
      </c>
      <c r="Z137" s="468">
        <f t="shared" si="112"/>
        <v>0</v>
      </c>
      <c r="AA137" s="468">
        <f t="shared" si="112"/>
        <v>52156.229887618501</v>
      </c>
      <c r="AB137" s="468">
        <f t="shared" si="112"/>
        <v>0</v>
      </c>
      <c r="AC137" s="468">
        <f t="shared" si="112"/>
        <v>0</v>
      </c>
      <c r="AD137" s="468">
        <f t="shared" si="112"/>
        <v>52909.240734796163</v>
      </c>
      <c r="AE137" s="468">
        <f t="shared" si="112"/>
        <v>0</v>
      </c>
      <c r="AF137" s="468">
        <f t="shared" si="112"/>
        <v>0</v>
      </c>
      <c r="AG137" s="468">
        <f t="shared" si="112"/>
        <v>53639.890657145406</v>
      </c>
      <c r="AH137" s="468">
        <f t="shared" si="112"/>
        <v>0</v>
      </c>
      <c r="AI137" s="468">
        <f t="shared" si="112"/>
        <v>0</v>
      </c>
      <c r="AJ137" s="468">
        <f t="shared" si="112"/>
        <v>54371.952814203316</v>
      </c>
      <c r="AK137" s="468">
        <f t="shared" si="112"/>
        <v>0</v>
      </c>
      <c r="AL137" s="468">
        <f t="shared" si="112"/>
        <v>0</v>
      </c>
      <c r="AM137" s="468">
        <f t="shared" si="112"/>
        <v>55130.045693328706</v>
      </c>
      <c r="AN137" s="468">
        <f t="shared" si="112"/>
        <v>0</v>
      </c>
      <c r="AO137" s="468">
        <f t="shared" si="112"/>
        <v>0</v>
      </c>
      <c r="AP137" s="468">
        <f t="shared" si="112"/>
        <v>55915.094896924078</v>
      </c>
      <c r="AQ137" s="468">
        <f t="shared" si="112"/>
        <v>0</v>
      </c>
      <c r="AR137" s="468">
        <f t="shared" si="112"/>
        <v>0</v>
      </c>
      <c r="AS137" s="468">
        <f t="shared" si="112"/>
        <v>56677.448301753837</v>
      </c>
      <c r="AT137" s="468">
        <f t="shared" si="112"/>
        <v>0</v>
      </c>
      <c r="AU137" s="468">
        <f t="shared" si="112"/>
        <v>0</v>
      </c>
      <c r="AV137" s="468">
        <f t="shared" si="112"/>
        <v>57441.604208012337</v>
      </c>
      <c r="AW137" s="468">
        <f t="shared" si="112"/>
        <v>0</v>
      </c>
      <c r="AX137" s="468">
        <f t="shared" si="112"/>
        <v>0</v>
      </c>
      <c r="AY137" s="468">
        <f t="shared" si="112"/>
        <v>58232.932028322488</v>
      </c>
      <c r="AZ137" s="468">
        <f t="shared" si="112"/>
        <v>0</v>
      </c>
      <c r="BA137" s="468">
        <f t="shared" si="112"/>
        <v>0</v>
      </c>
      <c r="BB137" s="468">
        <f t="shared" si="112"/>
        <v>59052.397943678472</v>
      </c>
      <c r="BC137" s="468">
        <f t="shared" si="112"/>
        <v>0</v>
      </c>
      <c r="BD137" s="468">
        <f t="shared" si="112"/>
        <v>0</v>
      </c>
      <c r="BE137" s="468">
        <f t="shared" si="112"/>
        <v>60272.312049572254</v>
      </c>
      <c r="BF137" s="468">
        <f t="shared" si="112"/>
        <v>0</v>
      </c>
      <c r="BG137" s="468">
        <f t="shared" si="112"/>
        <v>0</v>
      </c>
      <c r="BH137" s="468">
        <f t="shared" si="112"/>
        <v>61721.258733853734</v>
      </c>
      <c r="BI137" s="468">
        <f t="shared" si="112"/>
        <v>0</v>
      </c>
      <c r="BJ137" s="468">
        <f t="shared" si="112"/>
        <v>0</v>
      </c>
      <c r="BK137" s="468">
        <f t="shared" si="112"/>
        <v>63221.727174949825</v>
      </c>
      <c r="BL137" s="468">
        <f t="shared" si="112"/>
        <v>0</v>
      </c>
      <c r="BM137" s="468">
        <f t="shared" si="112"/>
        <v>0</v>
      </c>
      <c r="BN137" s="468">
        <f t="shared" si="112"/>
        <v>64775.549387422609</v>
      </c>
      <c r="BO137" s="468">
        <f t="shared" si="112"/>
        <v>0</v>
      </c>
      <c r="BP137" s="468">
        <f t="shared" si="112"/>
        <v>0</v>
      </c>
      <c r="BQ137" s="468">
        <f t="shared" si="112"/>
        <v>0</v>
      </c>
      <c r="BR137" s="468">
        <f t="shared" si="112"/>
        <v>0</v>
      </c>
      <c r="BS137" s="468">
        <f t="shared" ref="BS137:DV137" si="113">BS135*(((1+$D$39)^(1/$K$38)-1)*BS85)</f>
        <v>0</v>
      </c>
      <c r="BT137" s="468">
        <f t="shared" si="113"/>
        <v>0</v>
      </c>
      <c r="BU137" s="468">
        <f t="shared" si="113"/>
        <v>0</v>
      </c>
      <c r="BV137" s="468">
        <f t="shared" si="113"/>
        <v>0</v>
      </c>
      <c r="BW137" s="468">
        <f t="shared" si="113"/>
        <v>0</v>
      </c>
      <c r="BX137" s="468">
        <f t="shared" si="113"/>
        <v>0</v>
      </c>
      <c r="BY137" s="468">
        <f t="shared" si="113"/>
        <v>0</v>
      </c>
      <c r="BZ137" s="468">
        <f t="shared" si="113"/>
        <v>0</v>
      </c>
      <c r="CA137" s="468">
        <f t="shared" si="113"/>
        <v>0</v>
      </c>
      <c r="CB137" s="468">
        <f t="shared" si="113"/>
        <v>0</v>
      </c>
      <c r="CC137" s="468">
        <f t="shared" si="113"/>
        <v>0</v>
      </c>
      <c r="CD137" s="468">
        <f t="shared" si="113"/>
        <v>0</v>
      </c>
      <c r="CE137" s="468">
        <f t="shared" si="113"/>
        <v>0</v>
      </c>
      <c r="CF137" s="468">
        <f t="shared" si="113"/>
        <v>0</v>
      </c>
      <c r="CG137" s="468">
        <f t="shared" si="113"/>
        <v>0</v>
      </c>
      <c r="CH137" s="468">
        <f t="shared" si="113"/>
        <v>0</v>
      </c>
      <c r="CI137" s="468">
        <f t="shared" si="113"/>
        <v>0</v>
      </c>
      <c r="CJ137" s="468">
        <f t="shared" si="113"/>
        <v>0</v>
      </c>
      <c r="CK137" s="468">
        <f t="shared" si="113"/>
        <v>0</v>
      </c>
      <c r="CL137" s="468">
        <f t="shared" si="113"/>
        <v>0</v>
      </c>
      <c r="CM137" s="468">
        <f t="shared" si="113"/>
        <v>0</v>
      </c>
      <c r="CN137" s="468">
        <f t="shared" si="113"/>
        <v>0</v>
      </c>
      <c r="CO137" s="468">
        <f t="shared" si="113"/>
        <v>0</v>
      </c>
      <c r="CP137" s="468">
        <f t="shared" si="113"/>
        <v>0</v>
      </c>
      <c r="CQ137" s="468">
        <f t="shared" si="113"/>
        <v>0</v>
      </c>
      <c r="CR137" s="468">
        <f t="shared" si="113"/>
        <v>0</v>
      </c>
      <c r="CS137" s="468">
        <f t="shared" si="113"/>
        <v>0</v>
      </c>
      <c r="CT137" s="468">
        <f t="shared" si="113"/>
        <v>0</v>
      </c>
      <c r="CU137" s="468">
        <f t="shared" si="113"/>
        <v>0</v>
      </c>
      <c r="CV137" s="468">
        <f t="shared" si="113"/>
        <v>0</v>
      </c>
      <c r="CW137" s="468">
        <f t="shared" si="113"/>
        <v>0</v>
      </c>
      <c r="CX137" s="468">
        <f t="shared" si="113"/>
        <v>0</v>
      </c>
      <c r="CY137" s="468">
        <f t="shared" si="113"/>
        <v>0</v>
      </c>
      <c r="CZ137" s="468">
        <f t="shared" si="113"/>
        <v>0</v>
      </c>
      <c r="DA137" s="468">
        <f t="shared" si="113"/>
        <v>0</v>
      </c>
      <c r="DB137" s="468">
        <f t="shared" si="113"/>
        <v>0</v>
      </c>
      <c r="DC137" s="468">
        <f t="shared" si="113"/>
        <v>0</v>
      </c>
      <c r="DD137" s="468">
        <f t="shared" si="113"/>
        <v>0</v>
      </c>
      <c r="DE137" s="468">
        <f t="shared" si="113"/>
        <v>0</v>
      </c>
      <c r="DF137" s="468">
        <f t="shared" si="113"/>
        <v>0</v>
      </c>
      <c r="DG137" s="468">
        <f t="shared" si="113"/>
        <v>0</v>
      </c>
      <c r="DH137" s="468">
        <f t="shared" si="113"/>
        <v>0</v>
      </c>
      <c r="DI137" s="468">
        <f t="shared" si="113"/>
        <v>0</v>
      </c>
      <c r="DJ137" s="468">
        <f t="shared" si="113"/>
        <v>0</v>
      </c>
      <c r="DK137" s="468">
        <f t="shared" si="113"/>
        <v>0</v>
      </c>
      <c r="DL137" s="468">
        <f t="shared" si="113"/>
        <v>0</v>
      </c>
      <c r="DM137" s="468">
        <f t="shared" si="113"/>
        <v>0</v>
      </c>
      <c r="DN137" s="468">
        <f t="shared" si="113"/>
        <v>0</v>
      </c>
      <c r="DO137" s="468">
        <f t="shared" si="113"/>
        <v>0</v>
      </c>
      <c r="DP137" s="468">
        <f t="shared" si="113"/>
        <v>0</v>
      </c>
      <c r="DQ137" s="468">
        <f t="shared" si="113"/>
        <v>0</v>
      </c>
      <c r="DR137" s="468">
        <f t="shared" si="113"/>
        <v>0</v>
      </c>
      <c r="DS137" s="468">
        <f t="shared" si="113"/>
        <v>0</v>
      </c>
      <c r="DT137" s="468">
        <f t="shared" si="113"/>
        <v>0</v>
      </c>
      <c r="DU137" s="468">
        <f t="shared" si="113"/>
        <v>0</v>
      </c>
      <c r="DV137" s="468">
        <f t="shared" si="113"/>
        <v>0</v>
      </c>
      <c r="DW137" s="322" t="s">
        <v>372</v>
      </c>
    </row>
    <row r="138" spans="3:127" hidden="1" outlineLevel="1" x14ac:dyDescent="0.3">
      <c r="C138" s="469" t="str">
        <f>TEXT(D38,"0.0%")&amp;" Accrual / "&amp;TEXT(D96,"0.0x")&amp;" MOIC Distribution"</f>
        <v>8.0% Accrual / 0.0x MOIC Distribution</v>
      </c>
      <c r="D138" s="360"/>
      <c r="E138" s="463">
        <f>SUM(F138:BI138)</f>
        <v>-558296.4634147638</v>
      </c>
      <c r="F138" s="468">
        <v>0</v>
      </c>
      <c r="G138" s="468">
        <f>G103</f>
        <v>-9655.6243749999994</v>
      </c>
      <c r="H138" s="468">
        <f t="shared" ref="H138:BS138" si="114">H103</f>
        <v>-9655.6243749999994</v>
      </c>
      <c r="I138" s="468">
        <f t="shared" si="114"/>
        <v>-9655.6243749999994</v>
      </c>
      <c r="J138" s="468">
        <f t="shared" si="114"/>
        <v>-9655.6243749999994</v>
      </c>
      <c r="K138" s="468">
        <f t="shared" si="114"/>
        <v>-9655.6243749999994</v>
      </c>
      <c r="L138" s="468">
        <f t="shared" si="114"/>
        <v>-9655.6243749999994</v>
      </c>
      <c r="M138" s="468">
        <f t="shared" si="114"/>
        <v>-9655.6243749999994</v>
      </c>
      <c r="N138" s="468">
        <f t="shared" si="114"/>
        <v>-9655.6243749999994</v>
      </c>
      <c r="O138" s="468">
        <f t="shared" si="114"/>
        <v>-9655.6243749999994</v>
      </c>
      <c r="P138" s="468">
        <f t="shared" si="114"/>
        <v>-9655.6243749999994</v>
      </c>
      <c r="Q138" s="468">
        <f t="shared" si="114"/>
        <v>-9655.6243749999994</v>
      </c>
      <c r="R138" s="468">
        <f t="shared" si="114"/>
        <v>-9655.6243749999994</v>
      </c>
      <c r="S138" s="468">
        <f t="shared" si="114"/>
        <v>-10326.433731250003</v>
      </c>
      <c r="T138" s="468">
        <f t="shared" si="114"/>
        <v>-10326.433731250003</v>
      </c>
      <c r="U138" s="468">
        <f t="shared" si="114"/>
        <v>-10326.433731250003</v>
      </c>
      <c r="V138" s="468">
        <f t="shared" si="114"/>
        <v>-10326.433731250003</v>
      </c>
      <c r="W138" s="468">
        <f t="shared" si="114"/>
        <v>-10326.433731250003</v>
      </c>
      <c r="X138" s="468">
        <f t="shared" si="114"/>
        <v>-10326.433731250003</v>
      </c>
      <c r="Y138" s="468">
        <f t="shared" si="114"/>
        <v>-10326.433731250003</v>
      </c>
      <c r="Z138" s="468">
        <f t="shared" si="114"/>
        <v>-10326.433731250003</v>
      </c>
      <c r="AA138" s="468">
        <f t="shared" si="114"/>
        <v>-10326.433731250003</v>
      </c>
      <c r="AB138" s="468">
        <f t="shared" si="114"/>
        <v>-10326.433731250003</v>
      </c>
      <c r="AC138" s="468">
        <f t="shared" si="114"/>
        <v>-10326.433731250003</v>
      </c>
      <c r="AD138" s="468">
        <f t="shared" si="114"/>
        <v>-10326.433731250003</v>
      </c>
      <c r="AE138" s="468">
        <f t="shared" si="114"/>
        <v>-11017.367368187497</v>
      </c>
      <c r="AF138" s="468">
        <f t="shared" si="114"/>
        <v>-11017.367368187497</v>
      </c>
      <c r="AG138" s="468">
        <f t="shared" si="114"/>
        <v>-11017.367368187497</v>
      </c>
      <c r="AH138" s="468">
        <f t="shared" si="114"/>
        <v>-11017.367368187497</v>
      </c>
      <c r="AI138" s="468">
        <f t="shared" si="114"/>
        <v>-11017.367368187497</v>
      </c>
      <c r="AJ138" s="468">
        <f t="shared" si="114"/>
        <v>-11017.367368187497</v>
      </c>
      <c r="AK138" s="468">
        <f t="shared" si="114"/>
        <v>-11017.367368187497</v>
      </c>
      <c r="AL138" s="468">
        <f t="shared" si="114"/>
        <v>-11017.367368187497</v>
      </c>
      <c r="AM138" s="468">
        <f t="shared" si="114"/>
        <v>-11017.367368187497</v>
      </c>
      <c r="AN138" s="468">
        <f t="shared" si="114"/>
        <v>-11017.367368187497</v>
      </c>
      <c r="AO138" s="468">
        <f t="shared" si="114"/>
        <v>-11017.367368187497</v>
      </c>
      <c r="AP138" s="468">
        <f t="shared" si="114"/>
        <v>-11017.367368187497</v>
      </c>
      <c r="AQ138" s="468">
        <f t="shared" si="114"/>
        <v>-11729.029014233121</v>
      </c>
      <c r="AR138" s="468">
        <f t="shared" si="114"/>
        <v>-11729.029014233121</v>
      </c>
      <c r="AS138" s="468">
        <f t="shared" si="114"/>
        <v>-11729.029014233121</v>
      </c>
      <c r="AT138" s="468">
        <f t="shared" si="114"/>
        <v>-11729.029014233121</v>
      </c>
      <c r="AU138" s="468">
        <f t="shared" si="114"/>
        <v>-11729.029014233121</v>
      </c>
      <c r="AV138" s="468">
        <f t="shared" si="114"/>
        <v>-11729.029014233121</v>
      </c>
      <c r="AW138" s="468">
        <f t="shared" si="114"/>
        <v>-11729.029014233121</v>
      </c>
      <c r="AX138" s="468">
        <f t="shared" si="114"/>
        <v>-11729.029014233121</v>
      </c>
      <c r="AY138" s="468">
        <f t="shared" si="114"/>
        <v>-11729.029014233121</v>
      </c>
      <c r="AZ138" s="468">
        <f t="shared" si="114"/>
        <v>-11729.029014233121</v>
      </c>
      <c r="BA138" s="468">
        <f t="shared" si="114"/>
        <v>-11729.029014233121</v>
      </c>
      <c r="BB138" s="468">
        <f t="shared" si="114"/>
        <v>-11729.029014233121</v>
      </c>
      <c r="BC138" s="468">
        <f t="shared" si="114"/>
        <v>-6507.8585072451388</v>
      </c>
      <c r="BD138" s="468">
        <f t="shared" si="114"/>
        <v>-6507.8585072451388</v>
      </c>
      <c r="BE138" s="468">
        <f t="shared" si="114"/>
        <v>-6507.8585072451388</v>
      </c>
      <c r="BF138" s="468">
        <f t="shared" si="114"/>
        <v>-6507.8585072451388</v>
      </c>
      <c r="BG138" s="468">
        <f t="shared" si="114"/>
        <v>-6507.8585072451388</v>
      </c>
      <c r="BH138" s="468">
        <f t="shared" si="114"/>
        <v>-6507.8585072451388</v>
      </c>
      <c r="BI138" s="468">
        <f t="shared" si="114"/>
        <v>-6507.8585072451388</v>
      </c>
      <c r="BJ138" s="468">
        <f t="shared" si="114"/>
        <v>-6507.8585072451388</v>
      </c>
      <c r="BK138" s="468">
        <f t="shared" si="114"/>
        <v>-6507.8585072451388</v>
      </c>
      <c r="BL138" s="468">
        <f t="shared" si="114"/>
        <v>-6507.8585072451388</v>
      </c>
      <c r="BM138" s="468">
        <f t="shared" si="114"/>
        <v>-6507.8585072451388</v>
      </c>
      <c r="BN138" s="468">
        <f t="shared" si="114"/>
        <v>-1287486.8650543864</v>
      </c>
      <c r="BO138" s="468">
        <f t="shared" si="114"/>
        <v>0</v>
      </c>
      <c r="BP138" s="468">
        <f t="shared" si="114"/>
        <v>0</v>
      </c>
      <c r="BQ138" s="468">
        <f t="shared" si="114"/>
        <v>0</v>
      </c>
      <c r="BR138" s="468">
        <f t="shared" si="114"/>
        <v>0</v>
      </c>
      <c r="BS138" s="468">
        <f t="shared" si="114"/>
        <v>0</v>
      </c>
      <c r="BT138" s="468">
        <f t="shared" ref="BT138:DV138" si="115">BT103</f>
        <v>0</v>
      </c>
      <c r="BU138" s="468">
        <f t="shared" si="115"/>
        <v>0</v>
      </c>
      <c r="BV138" s="468">
        <f t="shared" si="115"/>
        <v>0</v>
      </c>
      <c r="BW138" s="468">
        <f t="shared" si="115"/>
        <v>0</v>
      </c>
      <c r="BX138" s="468">
        <f t="shared" si="115"/>
        <v>0</v>
      </c>
      <c r="BY138" s="468">
        <f t="shared" si="115"/>
        <v>0</v>
      </c>
      <c r="BZ138" s="468">
        <f t="shared" si="115"/>
        <v>0</v>
      </c>
      <c r="CA138" s="468">
        <f t="shared" si="115"/>
        <v>0</v>
      </c>
      <c r="CB138" s="468">
        <f t="shared" si="115"/>
        <v>0</v>
      </c>
      <c r="CC138" s="468">
        <f t="shared" si="115"/>
        <v>0</v>
      </c>
      <c r="CD138" s="468">
        <f t="shared" si="115"/>
        <v>0</v>
      </c>
      <c r="CE138" s="468">
        <f t="shared" si="115"/>
        <v>0</v>
      </c>
      <c r="CF138" s="468">
        <f t="shared" si="115"/>
        <v>0</v>
      </c>
      <c r="CG138" s="468">
        <f t="shared" si="115"/>
        <v>0</v>
      </c>
      <c r="CH138" s="468">
        <f t="shared" si="115"/>
        <v>0</v>
      </c>
      <c r="CI138" s="468">
        <f t="shared" si="115"/>
        <v>0</v>
      </c>
      <c r="CJ138" s="468">
        <f t="shared" si="115"/>
        <v>0</v>
      </c>
      <c r="CK138" s="468">
        <f t="shared" si="115"/>
        <v>0</v>
      </c>
      <c r="CL138" s="468">
        <f t="shared" si="115"/>
        <v>0</v>
      </c>
      <c r="CM138" s="468">
        <f t="shared" si="115"/>
        <v>0</v>
      </c>
      <c r="CN138" s="468">
        <f t="shared" si="115"/>
        <v>0</v>
      </c>
      <c r="CO138" s="468">
        <f t="shared" si="115"/>
        <v>0</v>
      </c>
      <c r="CP138" s="468">
        <f t="shared" si="115"/>
        <v>0</v>
      </c>
      <c r="CQ138" s="468">
        <f t="shared" si="115"/>
        <v>0</v>
      </c>
      <c r="CR138" s="468">
        <f t="shared" si="115"/>
        <v>0</v>
      </c>
      <c r="CS138" s="468">
        <f t="shared" si="115"/>
        <v>0</v>
      </c>
      <c r="CT138" s="468">
        <f t="shared" si="115"/>
        <v>0</v>
      </c>
      <c r="CU138" s="468">
        <f t="shared" si="115"/>
        <v>0</v>
      </c>
      <c r="CV138" s="468">
        <f t="shared" si="115"/>
        <v>0</v>
      </c>
      <c r="CW138" s="468">
        <f t="shared" si="115"/>
        <v>0</v>
      </c>
      <c r="CX138" s="468">
        <f t="shared" si="115"/>
        <v>0</v>
      </c>
      <c r="CY138" s="468">
        <f t="shared" si="115"/>
        <v>0</v>
      </c>
      <c r="CZ138" s="468">
        <f t="shared" si="115"/>
        <v>0</v>
      </c>
      <c r="DA138" s="468">
        <f t="shared" si="115"/>
        <v>0</v>
      </c>
      <c r="DB138" s="468">
        <f t="shared" si="115"/>
        <v>0</v>
      </c>
      <c r="DC138" s="468">
        <f t="shared" si="115"/>
        <v>0</v>
      </c>
      <c r="DD138" s="468">
        <f t="shared" si="115"/>
        <v>0</v>
      </c>
      <c r="DE138" s="468">
        <f t="shared" si="115"/>
        <v>0</v>
      </c>
      <c r="DF138" s="468">
        <f t="shared" si="115"/>
        <v>0</v>
      </c>
      <c r="DG138" s="468">
        <f t="shared" si="115"/>
        <v>0</v>
      </c>
      <c r="DH138" s="468">
        <f t="shared" si="115"/>
        <v>0</v>
      </c>
      <c r="DI138" s="468">
        <f t="shared" si="115"/>
        <v>0</v>
      </c>
      <c r="DJ138" s="468">
        <f t="shared" si="115"/>
        <v>0</v>
      </c>
      <c r="DK138" s="468">
        <f t="shared" si="115"/>
        <v>0</v>
      </c>
      <c r="DL138" s="468">
        <f t="shared" si="115"/>
        <v>0</v>
      </c>
      <c r="DM138" s="468">
        <f t="shared" si="115"/>
        <v>0</v>
      </c>
      <c r="DN138" s="468">
        <f t="shared" si="115"/>
        <v>0</v>
      </c>
      <c r="DO138" s="468">
        <f t="shared" si="115"/>
        <v>0</v>
      </c>
      <c r="DP138" s="468">
        <f t="shared" si="115"/>
        <v>0</v>
      </c>
      <c r="DQ138" s="468">
        <f t="shared" si="115"/>
        <v>0</v>
      </c>
      <c r="DR138" s="468">
        <f t="shared" si="115"/>
        <v>0</v>
      </c>
      <c r="DS138" s="468">
        <f t="shared" si="115"/>
        <v>0</v>
      </c>
      <c r="DT138" s="468">
        <f t="shared" si="115"/>
        <v>0</v>
      </c>
      <c r="DU138" s="468">
        <f t="shared" si="115"/>
        <v>0</v>
      </c>
      <c r="DV138" s="468">
        <f t="shared" si="115"/>
        <v>0</v>
      </c>
      <c r="DW138" s="322" t="s">
        <v>372</v>
      </c>
    </row>
    <row r="139" spans="3:127" hidden="1" outlineLevel="1" x14ac:dyDescent="0.3">
      <c r="C139" s="469" t="str">
        <f>TEXT(D39,"0.00%")&amp;" Accrual Distribution"</f>
        <v>15.00% Accrual Distribution</v>
      </c>
      <c r="D139" s="360"/>
      <c r="E139" s="463">
        <f>SUM(F139:BI139)</f>
        <v>0</v>
      </c>
      <c r="F139" s="468">
        <v>0</v>
      </c>
      <c r="G139" s="468">
        <f t="shared" ref="G139:AL139" si="116">-MIN(G130*$D$157,SUM(G135:G138))</f>
        <v>0</v>
      </c>
      <c r="H139" s="468">
        <f t="shared" si="116"/>
        <v>0</v>
      </c>
      <c r="I139" s="468">
        <f t="shared" si="116"/>
        <v>0</v>
      </c>
      <c r="J139" s="468">
        <f t="shared" si="116"/>
        <v>0</v>
      </c>
      <c r="K139" s="468">
        <f t="shared" si="116"/>
        <v>0</v>
      </c>
      <c r="L139" s="468">
        <f t="shared" si="116"/>
        <v>0</v>
      </c>
      <c r="M139" s="468">
        <f t="shared" si="116"/>
        <v>0</v>
      </c>
      <c r="N139" s="468">
        <f t="shared" si="116"/>
        <v>0</v>
      </c>
      <c r="O139" s="468">
        <f t="shared" si="116"/>
        <v>0</v>
      </c>
      <c r="P139" s="468">
        <f t="shared" si="116"/>
        <v>0</v>
      </c>
      <c r="Q139" s="468">
        <f t="shared" si="116"/>
        <v>0</v>
      </c>
      <c r="R139" s="468">
        <f t="shared" si="116"/>
        <v>0</v>
      </c>
      <c r="S139" s="468">
        <f t="shared" si="116"/>
        <v>0</v>
      </c>
      <c r="T139" s="468">
        <f t="shared" si="116"/>
        <v>0</v>
      </c>
      <c r="U139" s="468">
        <f t="shared" si="116"/>
        <v>0</v>
      </c>
      <c r="V139" s="468">
        <f t="shared" si="116"/>
        <v>0</v>
      </c>
      <c r="W139" s="468">
        <f t="shared" si="116"/>
        <v>0</v>
      </c>
      <c r="X139" s="468">
        <f t="shared" si="116"/>
        <v>0</v>
      </c>
      <c r="Y139" s="468">
        <f t="shared" si="116"/>
        <v>0</v>
      </c>
      <c r="Z139" s="468">
        <f t="shared" si="116"/>
        <v>0</v>
      </c>
      <c r="AA139" s="468">
        <f t="shared" si="116"/>
        <v>0</v>
      </c>
      <c r="AB139" s="468">
        <f t="shared" si="116"/>
        <v>0</v>
      </c>
      <c r="AC139" s="468">
        <f t="shared" si="116"/>
        <v>0</v>
      </c>
      <c r="AD139" s="468">
        <f t="shared" si="116"/>
        <v>0</v>
      </c>
      <c r="AE139" s="468">
        <f t="shared" si="116"/>
        <v>0</v>
      </c>
      <c r="AF139" s="468">
        <f t="shared" si="116"/>
        <v>0</v>
      </c>
      <c r="AG139" s="468">
        <f t="shared" si="116"/>
        <v>0</v>
      </c>
      <c r="AH139" s="468">
        <f t="shared" si="116"/>
        <v>0</v>
      </c>
      <c r="AI139" s="468">
        <f t="shared" si="116"/>
        <v>0</v>
      </c>
      <c r="AJ139" s="468">
        <f t="shared" si="116"/>
        <v>0</v>
      </c>
      <c r="AK139" s="468">
        <f t="shared" si="116"/>
        <v>0</v>
      </c>
      <c r="AL139" s="468">
        <f t="shared" si="116"/>
        <v>0</v>
      </c>
      <c r="AM139" s="468">
        <f t="shared" ref="AM139:CX139" si="117">-MIN(AM130*$D$157,SUM(AM135:AM138))</f>
        <v>0</v>
      </c>
      <c r="AN139" s="468">
        <f t="shared" si="117"/>
        <v>0</v>
      </c>
      <c r="AO139" s="468">
        <f t="shared" si="117"/>
        <v>0</v>
      </c>
      <c r="AP139" s="468">
        <f t="shared" si="117"/>
        <v>0</v>
      </c>
      <c r="AQ139" s="468">
        <f t="shared" si="117"/>
        <v>0</v>
      </c>
      <c r="AR139" s="468">
        <f t="shared" si="117"/>
        <v>0</v>
      </c>
      <c r="AS139" s="468">
        <f t="shared" si="117"/>
        <v>0</v>
      </c>
      <c r="AT139" s="468">
        <f t="shared" si="117"/>
        <v>0</v>
      </c>
      <c r="AU139" s="468">
        <f t="shared" si="117"/>
        <v>0</v>
      </c>
      <c r="AV139" s="468">
        <f t="shared" si="117"/>
        <v>0</v>
      </c>
      <c r="AW139" s="468">
        <f t="shared" si="117"/>
        <v>0</v>
      </c>
      <c r="AX139" s="468">
        <f t="shared" si="117"/>
        <v>0</v>
      </c>
      <c r="AY139" s="468">
        <f t="shared" si="117"/>
        <v>0</v>
      </c>
      <c r="AZ139" s="468">
        <f t="shared" si="117"/>
        <v>0</v>
      </c>
      <c r="BA139" s="468">
        <f t="shared" si="117"/>
        <v>0</v>
      </c>
      <c r="BB139" s="468">
        <f t="shared" si="117"/>
        <v>0</v>
      </c>
      <c r="BC139" s="468">
        <f t="shared" si="117"/>
        <v>0</v>
      </c>
      <c r="BD139" s="468">
        <f t="shared" si="117"/>
        <v>0</v>
      </c>
      <c r="BE139" s="468">
        <f t="shared" si="117"/>
        <v>0</v>
      </c>
      <c r="BF139" s="468">
        <f t="shared" si="117"/>
        <v>0</v>
      </c>
      <c r="BG139" s="468">
        <f t="shared" si="117"/>
        <v>0</v>
      </c>
      <c r="BH139" s="468">
        <f t="shared" si="117"/>
        <v>0</v>
      </c>
      <c r="BI139" s="468">
        <f t="shared" si="117"/>
        <v>0</v>
      </c>
      <c r="BJ139" s="468">
        <f t="shared" si="117"/>
        <v>0</v>
      </c>
      <c r="BK139" s="468">
        <f t="shared" si="117"/>
        <v>0</v>
      </c>
      <c r="BL139" s="468">
        <f t="shared" si="117"/>
        <v>0</v>
      </c>
      <c r="BM139" s="468">
        <f t="shared" si="117"/>
        <v>0</v>
      </c>
      <c r="BN139" s="468">
        <f t="shared" si="117"/>
        <v>-598971.85878531402</v>
      </c>
      <c r="BO139" s="468">
        <f t="shared" si="117"/>
        <v>0</v>
      </c>
      <c r="BP139" s="468">
        <f t="shared" si="117"/>
        <v>0</v>
      </c>
      <c r="BQ139" s="468">
        <f t="shared" si="117"/>
        <v>0</v>
      </c>
      <c r="BR139" s="468">
        <f t="shared" si="117"/>
        <v>0</v>
      </c>
      <c r="BS139" s="468">
        <f t="shared" si="117"/>
        <v>0</v>
      </c>
      <c r="BT139" s="468">
        <f t="shared" si="117"/>
        <v>0</v>
      </c>
      <c r="BU139" s="468">
        <f t="shared" si="117"/>
        <v>0</v>
      </c>
      <c r="BV139" s="468">
        <f t="shared" si="117"/>
        <v>0</v>
      </c>
      <c r="BW139" s="468">
        <f t="shared" si="117"/>
        <v>0</v>
      </c>
      <c r="BX139" s="468">
        <f t="shared" si="117"/>
        <v>0</v>
      </c>
      <c r="BY139" s="468">
        <f t="shared" si="117"/>
        <v>0</v>
      </c>
      <c r="BZ139" s="468">
        <f t="shared" si="117"/>
        <v>0</v>
      </c>
      <c r="CA139" s="468">
        <f t="shared" si="117"/>
        <v>0</v>
      </c>
      <c r="CB139" s="468">
        <f t="shared" si="117"/>
        <v>0</v>
      </c>
      <c r="CC139" s="468">
        <f t="shared" si="117"/>
        <v>0</v>
      </c>
      <c r="CD139" s="468">
        <f t="shared" si="117"/>
        <v>0</v>
      </c>
      <c r="CE139" s="468">
        <f t="shared" si="117"/>
        <v>0</v>
      </c>
      <c r="CF139" s="468">
        <f t="shared" si="117"/>
        <v>0</v>
      </c>
      <c r="CG139" s="468">
        <f t="shared" si="117"/>
        <v>0</v>
      </c>
      <c r="CH139" s="468">
        <f t="shared" si="117"/>
        <v>0</v>
      </c>
      <c r="CI139" s="468">
        <f t="shared" si="117"/>
        <v>0</v>
      </c>
      <c r="CJ139" s="468">
        <f t="shared" si="117"/>
        <v>0</v>
      </c>
      <c r="CK139" s="468">
        <f t="shared" si="117"/>
        <v>0</v>
      </c>
      <c r="CL139" s="468">
        <f t="shared" si="117"/>
        <v>0</v>
      </c>
      <c r="CM139" s="468">
        <f t="shared" si="117"/>
        <v>0</v>
      </c>
      <c r="CN139" s="468">
        <f t="shared" si="117"/>
        <v>0</v>
      </c>
      <c r="CO139" s="468">
        <f t="shared" si="117"/>
        <v>0</v>
      </c>
      <c r="CP139" s="468">
        <f t="shared" si="117"/>
        <v>0</v>
      </c>
      <c r="CQ139" s="468">
        <f t="shared" si="117"/>
        <v>0</v>
      </c>
      <c r="CR139" s="468">
        <f t="shared" si="117"/>
        <v>0</v>
      </c>
      <c r="CS139" s="468">
        <f t="shared" si="117"/>
        <v>0</v>
      </c>
      <c r="CT139" s="468">
        <f t="shared" si="117"/>
        <v>0</v>
      </c>
      <c r="CU139" s="468">
        <f t="shared" si="117"/>
        <v>0</v>
      </c>
      <c r="CV139" s="468">
        <f t="shared" si="117"/>
        <v>0</v>
      </c>
      <c r="CW139" s="468">
        <f t="shared" si="117"/>
        <v>0</v>
      </c>
      <c r="CX139" s="468">
        <f t="shared" si="117"/>
        <v>0</v>
      </c>
      <c r="CY139" s="468">
        <f t="shared" ref="CY139:DV139" si="118">-MIN(CY130*$D$157,SUM(CY135:CY138))</f>
        <v>0</v>
      </c>
      <c r="CZ139" s="468">
        <f t="shared" si="118"/>
        <v>0</v>
      </c>
      <c r="DA139" s="468">
        <f t="shared" si="118"/>
        <v>0</v>
      </c>
      <c r="DB139" s="468">
        <f t="shared" si="118"/>
        <v>0</v>
      </c>
      <c r="DC139" s="468">
        <f t="shared" si="118"/>
        <v>0</v>
      </c>
      <c r="DD139" s="468">
        <f t="shared" si="118"/>
        <v>0</v>
      </c>
      <c r="DE139" s="468">
        <f t="shared" si="118"/>
        <v>0</v>
      </c>
      <c r="DF139" s="468">
        <f t="shared" si="118"/>
        <v>0</v>
      </c>
      <c r="DG139" s="468">
        <f t="shared" si="118"/>
        <v>0</v>
      </c>
      <c r="DH139" s="468">
        <f t="shared" si="118"/>
        <v>0</v>
      </c>
      <c r="DI139" s="468">
        <f t="shared" si="118"/>
        <v>0</v>
      </c>
      <c r="DJ139" s="468">
        <f t="shared" si="118"/>
        <v>0</v>
      </c>
      <c r="DK139" s="468">
        <f t="shared" si="118"/>
        <v>0</v>
      </c>
      <c r="DL139" s="468">
        <f t="shared" si="118"/>
        <v>0</v>
      </c>
      <c r="DM139" s="468">
        <f t="shared" si="118"/>
        <v>0</v>
      </c>
      <c r="DN139" s="468">
        <f t="shared" si="118"/>
        <v>0</v>
      </c>
      <c r="DO139" s="468">
        <f t="shared" si="118"/>
        <v>0</v>
      </c>
      <c r="DP139" s="468">
        <f t="shared" si="118"/>
        <v>0</v>
      </c>
      <c r="DQ139" s="468">
        <f t="shared" si="118"/>
        <v>0</v>
      </c>
      <c r="DR139" s="468">
        <f t="shared" si="118"/>
        <v>0</v>
      </c>
      <c r="DS139" s="468">
        <f t="shared" si="118"/>
        <v>0</v>
      </c>
      <c r="DT139" s="468">
        <f t="shared" si="118"/>
        <v>0</v>
      </c>
      <c r="DU139" s="468">
        <f t="shared" si="118"/>
        <v>0</v>
      </c>
      <c r="DV139" s="468">
        <f t="shared" si="118"/>
        <v>0</v>
      </c>
      <c r="DW139" s="322" t="s">
        <v>372</v>
      </c>
    </row>
    <row r="140" spans="3:127" ht="17.25" hidden="1" outlineLevel="1" thickBot="1" x14ac:dyDescent="0.35">
      <c r="C140" s="490" t="s">
        <v>352</v>
      </c>
      <c r="D140" s="360"/>
      <c r="E140" s="415">
        <f>SUM(E136:E139)</f>
        <v>1784492.8813063058</v>
      </c>
      <c r="F140" s="415">
        <f t="shared" ref="F140:BQ140" si="119">SUM(F135:F139)</f>
        <v>1367250</v>
      </c>
      <c r="G140" s="415">
        <f t="shared" si="119"/>
        <v>1357594.3756250001</v>
      </c>
      <c r="H140" s="415">
        <f t="shared" si="119"/>
        <v>1347938.7512500002</v>
      </c>
      <c r="I140" s="415">
        <f t="shared" si="119"/>
        <v>1386213.2358957785</v>
      </c>
      <c r="J140" s="415">
        <f t="shared" si="119"/>
        <v>1376557.6115207786</v>
      </c>
      <c r="K140" s="415">
        <f t="shared" si="119"/>
        <v>1366901.9871457787</v>
      </c>
      <c r="L140" s="415">
        <f t="shared" si="119"/>
        <v>1405850.7679812233</v>
      </c>
      <c r="M140" s="415">
        <f t="shared" si="119"/>
        <v>1396195.1436062234</v>
      </c>
      <c r="N140" s="415">
        <f t="shared" si="119"/>
        <v>1386539.5192312235</v>
      </c>
      <c r="O140" s="415">
        <f t="shared" si="119"/>
        <v>1426186.5729317234</v>
      </c>
      <c r="P140" s="415">
        <f t="shared" si="119"/>
        <v>1416530.9485567235</v>
      </c>
      <c r="Q140" s="415">
        <f t="shared" si="119"/>
        <v>1406875.3241817236</v>
      </c>
      <c r="R140" s="415">
        <f t="shared" si="119"/>
        <v>1447245.4799871219</v>
      </c>
      <c r="S140" s="415">
        <f t="shared" si="119"/>
        <v>1436919.0462558719</v>
      </c>
      <c r="T140" s="415">
        <f t="shared" si="119"/>
        <v>1426592.6125246219</v>
      </c>
      <c r="U140" s="415">
        <f t="shared" si="119"/>
        <v>1466993.0678179166</v>
      </c>
      <c r="V140" s="415">
        <f t="shared" si="119"/>
        <v>1456666.6340866666</v>
      </c>
      <c r="W140" s="415">
        <f t="shared" si="119"/>
        <v>1446340.2003554166</v>
      </c>
      <c r="X140" s="415">
        <f t="shared" si="119"/>
        <v>1487442.8418843616</v>
      </c>
      <c r="Y140" s="415">
        <f t="shared" si="119"/>
        <v>1477116.4081531116</v>
      </c>
      <c r="Z140" s="415">
        <f t="shared" si="119"/>
        <v>1466789.9744218616</v>
      </c>
      <c r="AA140" s="415">
        <f t="shared" si="119"/>
        <v>1508619.77057823</v>
      </c>
      <c r="AB140" s="415">
        <f t="shared" si="119"/>
        <v>1498293.33684698</v>
      </c>
      <c r="AC140" s="415">
        <f t="shared" si="119"/>
        <v>1487966.90311573</v>
      </c>
      <c r="AD140" s="415">
        <f t="shared" si="119"/>
        <v>1530549.7101192763</v>
      </c>
      <c r="AE140" s="415">
        <f t="shared" si="119"/>
        <v>1519532.3427510888</v>
      </c>
      <c r="AF140" s="415">
        <f t="shared" si="119"/>
        <v>1508514.9753829013</v>
      </c>
      <c r="AG140" s="415">
        <f t="shared" si="119"/>
        <v>1551137.498671859</v>
      </c>
      <c r="AH140" s="415">
        <f t="shared" si="119"/>
        <v>1540120.1313036715</v>
      </c>
      <c r="AI140" s="415">
        <f t="shared" si="119"/>
        <v>1529102.763935484</v>
      </c>
      <c r="AJ140" s="415">
        <f t="shared" si="119"/>
        <v>1572457.3493814997</v>
      </c>
      <c r="AK140" s="415">
        <f t="shared" si="119"/>
        <v>1561439.9820133122</v>
      </c>
      <c r="AL140" s="415">
        <f t="shared" si="119"/>
        <v>1550422.6146451246</v>
      </c>
      <c r="AM140" s="415">
        <f t="shared" si="119"/>
        <v>1594535.2929702657</v>
      </c>
      <c r="AN140" s="415">
        <f t="shared" si="119"/>
        <v>1583517.9256020782</v>
      </c>
      <c r="AO140" s="415">
        <f t="shared" si="119"/>
        <v>1572500.5582338907</v>
      </c>
      <c r="AP140" s="415">
        <f t="shared" si="119"/>
        <v>1617398.2857626271</v>
      </c>
      <c r="AQ140" s="415">
        <f t="shared" si="119"/>
        <v>1605669.2567483941</v>
      </c>
      <c r="AR140" s="415">
        <f t="shared" si="119"/>
        <v>1593940.2277341611</v>
      </c>
      <c r="AS140" s="415">
        <f t="shared" si="119"/>
        <v>1638888.6470216818</v>
      </c>
      <c r="AT140" s="415">
        <f t="shared" si="119"/>
        <v>1627159.6180074487</v>
      </c>
      <c r="AU140" s="415">
        <f t="shared" si="119"/>
        <v>1615430.5889932157</v>
      </c>
      <c r="AV140" s="415">
        <f t="shared" si="119"/>
        <v>1661143.164186995</v>
      </c>
      <c r="AW140" s="415">
        <f t="shared" si="119"/>
        <v>1649414.135172762</v>
      </c>
      <c r="AX140" s="415">
        <f t="shared" si="119"/>
        <v>1637685.1061585289</v>
      </c>
      <c r="AY140" s="415">
        <f t="shared" si="119"/>
        <v>1684189.0091726184</v>
      </c>
      <c r="AZ140" s="415">
        <f t="shared" si="119"/>
        <v>1672459.9801583854</v>
      </c>
      <c r="BA140" s="415">
        <f t="shared" si="119"/>
        <v>1660730.9511441523</v>
      </c>
      <c r="BB140" s="415">
        <f t="shared" si="119"/>
        <v>1708054.3200735978</v>
      </c>
      <c r="BC140" s="415">
        <f t="shared" si="119"/>
        <v>1701546.4615663528</v>
      </c>
      <c r="BD140" s="415">
        <f t="shared" si="119"/>
        <v>1695038.6030591077</v>
      </c>
      <c r="BE140" s="415">
        <f t="shared" si="119"/>
        <v>1748803.0566014349</v>
      </c>
      <c r="BF140" s="415">
        <f t="shared" si="119"/>
        <v>1742295.1980941899</v>
      </c>
      <c r="BG140" s="415">
        <f t="shared" si="119"/>
        <v>1735787.3395869448</v>
      </c>
      <c r="BH140" s="415">
        <f t="shared" si="119"/>
        <v>1791000.7398135534</v>
      </c>
      <c r="BI140" s="415">
        <f t="shared" si="119"/>
        <v>1784492.8813063083</v>
      </c>
      <c r="BJ140" s="415">
        <f t="shared" si="119"/>
        <v>1777985.0227990632</v>
      </c>
      <c r="BK140" s="415">
        <f t="shared" si="119"/>
        <v>1834698.891466768</v>
      </c>
      <c r="BL140" s="415">
        <f t="shared" si="119"/>
        <v>1828191.0329595229</v>
      </c>
      <c r="BM140" s="415">
        <f t="shared" si="119"/>
        <v>1821683.1744522778</v>
      </c>
      <c r="BN140" s="415">
        <f t="shared" si="119"/>
        <v>0</v>
      </c>
      <c r="BO140" s="415">
        <f t="shared" si="119"/>
        <v>0</v>
      </c>
      <c r="BP140" s="415">
        <f t="shared" si="119"/>
        <v>0</v>
      </c>
      <c r="BQ140" s="415">
        <f t="shared" si="119"/>
        <v>0</v>
      </c>
      <c r="BR140" s="415">
        <f t="shared" ref="BR140:DV140" si="120">SUM(BR135:BR139)</f>
        <v>0</v>
      </c>
      <c r="BS140" s="415">
        <f t="shared" si="120"/>
        <v>0</v>
      </c>
      <c r="BT140" s="415">
        <f t="shared" si="120"/>
        <v>0</v>
      </c>
      <c r="BU140" s="415">
        <f t="shared" si="120"/>
        <v>0</v>
      </c>
      <c r="BV140" s="415">
        <f t="shared" si="120"/>
        <v>0</v>
      </c>
      <c r="BW140" s="415">
        <f t="shared" si="120"/>
        <v>0</v>
      </c>
      <c r="BX140" s="415">
        <f t="shared" si="120"/>
        <v>0</v>
      </c>
      <c r="BY140" s="415">
        <f t="shared" si="120"/>
        <v>0</v>
      </c>
      <c r="BZ140" s="415">
        <f t="shared" si="120"/>
        <v>0</v>
      </c>
      <c r="CA140" s="415">
        <f t="shared" si="120"/>
        <v>0</v>
      </c>
      <c r="CB140" s="415">
        <f t="shared" si="120"/>
        <v>0</v>
      </c>
      <c r="CC140" s="415">
        <f t="shared" si="120"/>
        <v>0</v>
      </c>
      <c r="CD140" s="415">
        <f t="shared" si="120"/>
        <v>0</v>
      </c>
      <c r="CE140" s="415">
        <f t="shared" si="120"/>
        <v>0</v>
      </c>
      <c r="CF140" s="415">
        <f t="shared" si="120"/>
        <v>0</v>
      </c>
      <c r="CG140" s="415">
        <f t="shared" si="120"/>
        <v>0</v>
      </c>
      <c r="CH140" s="415">
        <f t="shared" si="120"/>
        <v>0</v>
      </c>
      <c r="CI140" s="415">
        <f t="shared" si="120"/>
        <v>0</v>
      </c>
      <c r="CJ140" s="415">
        <f t="shared" si="120"/>
        <v>0</v>
      </c>
      <c r="CK140" s="415">
        <f t="shared" si="120"/>
        <v>0</v>
      </c>
      <c r="CL140" s="415">
        <f t="shared" si="120"/>
        <v>0</v>
      </c>
      <c r="CM140" s="415">
        <f t="shared" si="120"/>
        <v>0</v>
      </c>
      <c r="CN140" s="415">
        <f t="shared" si="120"/>
        <v>0</v>
      </c>
      <c r="CO140" s="415">
        <f t="shared" si="120"/>
        <v>0</v>
      </c>
      <c r="CP140" s="415">
        <f t="shared" si="120"/>
        <v>0</v>
      </c>
      <c r="CQ140" s="415">
        <f t="shared" si="120"/>
        <v>0</v>
      </c>
      <c r="CR140" s="415">
        <f t="shared" si="120"/>
        <v>0</v>
      </c>
      <c r="CS140" s="415">
        <f t="shared" si="120"/>
        <v>0</v>
      </c>
      <c r="CT140" s="415">
        <f t="shared" si="120"/>
        <v>0</v>
      </c>
      <c r="CU140" s="415">
        <f t="shared" si="120"/>
        <v>0</v>
      </c>
      <c r="CV140" s="415">
        <f t="shared" si="120"/>
        <v>0</v>
      </c>
      <c r="CW140" s="415">
        <f t="shared" si="120"/>
        <v>0</v>
      </c>
      <c r="CX140" s="415">
        <f t="shared" si="120"/>
        <v>0</v>
      </c>
      <c r="CY140" s="415">
        <f t="shared" si="120"/>
        <v>0</v>
      </c>
      <c r="CZ140" s="415">
        <f t="shared" si="120"/>
        <v>0</v>
      </c>
      <c r="DA140" s="415">
        <f t="shared" si="120"/>
        <v>0</v>
      </c>
      <c r="DB140" s="415">
        <f t="shared" si="120"/>
        <v>0</v>
      </c>
      <c r="DC140" s="415">
        <f t="shared" si="120"/>
        <v>0</v>
      </c>
      <c r="DD140" s="415">
        <f t="shared" si="120"/>
        <v>0</v>
      </c>
      <c r="DE140" s="415">
        <f t="shared" si="120"/>
        <v>0</v>
      </c>
      <c r="DF140" s="415">
        <f t="shared" si="120"/>
        <v>0</v>
      </c>
      <c r="DG140" s="415">
        <f t="shared" si="120"/>
        <v>0</v>
      </c>
      <c r="DH140" s="415">
        <f t="shared" si="120"/>
        <v>0</v>
      </c>
      <c r="DI140" s="415">
        <f t="shared" si="120"/>
        <v>0</v>
      </c>
      <c r="DJ140" s="415">
        <f t="shared" si="120"/>
        <v>0</v>
      </c>
      <c r="DK140" s="415">
        <f t="shared" si="120"/>
        <v>0</v>
      </c>
      <c r="DL140" s="415">
        <f t="shared" si="120"/>
        <v>0</v>
      </c>
      <c r="DM140" s="415">
        <f t="shared" si="120"/>
        <v>0</v>
      </c>
      <c r="DN140" s="415">
        <f t="shared" si="120"/>
        <v>0</v>
      </c>
      <c r="DO140" s="415">
        <f t="shared" si="120"/>
        <v>0</v>
      </c>
      <c r="DP140" s="415">
        <f t="shared" si="120"/>
        <v>0</v>
      </c>
      <c r="DQ140" s="415">
        <f t="shared" si="120"/>
        <v>0</v>
      </c>
      <c r="DR140" s="415">
        <f t="shared" si="120"/>
        <v>0</v>
      </c>
      <c r="DS140" s="415">
        <f t="shared" si="120"/>
        <v>0</v>
      </c>
      <c r="DT140" s="415">
        <f t="shared" si="120"/>
        <v>0</v>
      </c>
      <c r="DU140" s="415">
        <f t="shared" si="120"/>
        <v>0</v>
      </c>
      <c r="DV140" s="415">
        <f t="shared" si="120"/>
        <v>0</v>
      </c>
      <c r="DW140" s="322" t="s">
        <v>372</v>
      </c>
    </row>
    <row r="141" spans="3:127" ht="17.25" hidden="1" outlineLevel="1" thickTop="1" x14ac:dyDescent="0.3"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0"/>
      <c r="P141" s="360"/>
      <c r="Q141" s="360"/>
      <c r="R141" s="360"/>
      <c r="S141" s="360"/>
      <c r="T141" s="360"/>
      <c r="U141" s="360"/>
      <c r="V141" s="360"/>
      <c r="W141" s="360"/>
      <c r="X141" s="360"/>
      <c r="Y141" s="360"/>
      <c r="Z141" s="360"/>
      <c r="AA141" s="360"/>
      <c r="AB141" s="360"/>
      <c r="AC141" s="360"/>
      <c r="AD141" s="360"/>
      <c r="AE141" s="360"/>
      <c r="AF141" s="360"/>
      <c r="AG141" s="360"/>
      <c r="AH141" s="360"/>
      <c r="AI141" s="360"/>
      <c r="AJ141" s="360"/>
      <c r="AK141" s="360"/>
      <c r="AL141" s="360"/>
      <c r="AM141" s="360"/>
      <c r="AN141" s="360"/>
      <c r="AO141" s="360"/>
      <c r="AP141" s="360"/>
      <c r="AQ141" s="360"/>
      <c r="AR141" s="360"/>
      <c r="AS141" s="360"/>
      <c r="AT141" s="360"/>
      <c r="AU141" s="360"/>
      <c r="AV141" s="360"/>
      <c r="AW141" s="360"/>
      <c r="AX141" s="360"/>
      <c r="AY141" s="360"/>
      <c r="AZ141" s="360"/>
      <c r="BA141" s="360"/>
      <c r="BB141" s="360"/>
      <c r="BC141" s="360"/>
      <c r="BD141" s="360"/>
      <c r="BE141" s="360"/>
      <c r="BF141" s="360"/>
      <c r="BG141" s="360"/>
      <c r="BH141" s="360"/>
      <c r="BI141" s="360"/>
      <c r="BJ141" s="360"/>
      <c r="BK141" s="360"/>
      <c r="BL141" s="360"/>
      <c r="BM141" s="360"/>
      <c r="BN141" s="360"/>
      <c r="BO141" s="360"/>
      <c r="BP141" s="360"/>
      <c r="BQ141" s="360"/>
      <c r="BR141" s="360"/>
      <c r="BS141" s="360"/>
      <c r="BT141" s="360"/>
      <c r="BU141" s="360"/>
      <c r="BV141" s="360"/>
      <c r="BW141" s="360"/>
      <c r="BX141" s="360"/>
      <c r="BY141" s="360"/>
      <c r="BZ141" s="360"/>
      <c r="CA141" s="360"/>
      <c r="CB141" s="360"/>
      <c r="CC141" s="360"/>
      <c r="CD141" s="360"/>
      <c r="CE141" s="360"/>
      <c r="CF141" s="360"/>
      <c r="CG141" s="360"/>
      <c r="CH141" s="360"/>
      <c r="CI141" s="360"/>
      <c r="CJ141" s="360"/>
      <c r="CK141" s="360"/>
      <c r="CL141" s="360"/>
      <c r="CM141" s="360"/>
      <c r="CN141" s="360"/>
      <c r="CO141" s="360"/>
      <c r="CP141" s="360"/>
      <c r="CQ141" s="360"/>
      <c r="CR141" s="360"/>
      <c r="CS141" s="360"/>
      <c r="CT141" s="360"/>
      <c r="CU141" s="360"/>
      <c r="CV141" s="360"/>
      <c r="CW141" s="360"/>
      <c r="CX141" s="360"/>
      <c r="CY141" s="360"/>
      <c r="CZ141" s="360"/>
      <c r="DA141" s="360"/>
      <c r="DB141" s="360"/>
      <c r="DC141" s="360"/>
      <c r="DD141" s="360"/>
      <c r="DE141" s="360"/>
      <c r="DF141" s="360"/>
      <c r="DG141" s="360"/>
      <c r="DH141" s="360"/>
      <c r="DI141" s="360"/>
      <c r="DJ141" s="360"/>
      <c r="DK141" s="360"/>
      <c r="DL141" s="360"/>
      <c r="DM141" s="360"/>
      <c r="DN141" s="360"/>
      <c r="DO141" s="360"/>
      <c r="DP141" s="360"/>
      <c r="DQ141" s="360"/>
      <c r="DR141" s="360"/>
      <c r="DS141" s="360"/>
      <c r="DT141" s="360"/>
      <c r="DU141" s="360"/>
      <c r="DV141" s="360"/>
      <c r="DW141" s="322" t="s">
        <v>372</v>
      </c>
    </row>
    <row r="142" spans="3:127" hidden="1" outlineLevel="1" x14ac:dyDescent="0.3">
      <c r="C142" s="360"/>
      <c r="D142" s="360"/>
      <c r="E142" s="360"/>
      <c r="F142" s="360"/>
      <c r="G142" s="360"/>
      <c r="H142" s="360"/>
      <c r="I142" s="360"/>
      <c r="J142" s="360"/>
      <c r="K142" s="360"/>
      <c r="L142" s="360"/>
      <c r="M142" s="360"/>
      <c r="N142" s="360"/>
      <c r="O142" s="360"/>
      <c r="P142" s="360"/>
      <c r="Q142" s="360"/>
      <c r="R142" s="360"/>
      <c r="S142" s="360"/>
      <c r="T142" s="360"/>
      <c r="U142" s="360"/>
      <c r="V142" s="360"/>
      <c r="W142" s="360"/>
      <c r="X142" s="360"/>
      <c r="Y142" s="360"/>
      <c r="Z142" s="360"/>
      <c r="AA142" s="360"/>
      <c r="AB142" s="360"/>
      <c r="AC142" s="360"/>
      <c r="AD142" s="360"/>
      <c r="AE142" s="360"/>
      <c r="AF142" s="360"/>
      <c r="AG142" s="360"/>
      <c r="AH142" s="360"/>
      <c r="AI142" s="360"/>
      <c r="AJ142" s="360"/>
      <c r="AK142" s="360"/>
      <c r="AL142" s="360"/>
      <c r="AM142" s="360"/>
      <c r="AN142" s="360"/>
      <c r="AO142" s="360"/>
      <c r="AP142" s="360"/>
      <c r="AQ142" s="360"/>
      <c r="AR142" s="360"/>
      <c r="AS142" s="360"/>
      <c r="AT142" s="360"/>
      <c r="AU142" s="360"/>
      <c r="AV142" s="360"/>
      <c r="AW142" s="360"/>
      <c r="AX142" s="360"/>
      <c r="AY142" s="360"/>
      <c r="AZ142" s="360"/>
      <c r="BA142" s="360"/>
      <c r="BB142" s="360"/>
      <c r="BC142" s="360"/>
      <c r="BD142" s="360"/>
      <c r="BE142" s="360"/>
      <c r="BF142" s="360"/>
      <c r="BG142" s="360"/>
      <c r="BH142" s="360"/>
      <c r="BI142" s="360"/>
      <c r="BJ142" s="360"/>
      <c r="BK142" s="360"/>
      <c r="BL142" s="360"/>
      <c r="BM142" s="360"/>
      <c r="BN142" s="360"/>
      <c r="BO142" s="360"/>
      <c r="BP142" s="360"/>
      <c r="BQ142" s="360"/>
      <c r="BR142" s="360"/>
      <c r="BS142" s="360"/>
      <c r="BT142" s="360"/>
      <c r="BU142" s="360"/>
      <c r="BV142" s="360"/>
      <c r="BW142" s="360"/>
      <c r="BX142" s="360"/>
      <c r="BY142" s="360"/>
      <c r="BZ142" s="360"/>
      <c r="CA142" s="360"/>
      <c r="CB142" s="360"/>
      <c r="CC142" s="360"/>
      <c r="CD142" s="360"/>
      <c r="CE142" s="360"/>
      <c r="CF142" s="360"/>
      <c r="CG142" s="360"/>
      <c r="CH142" s="360"/>
      <c r="CI142" s="360"/>
      <c r="CJ142" s="360"/>
      <c r="CK142" s="360"/>
      <c r="CL142" s="360"/>
      <c r="CM142" s="360"/>
      <c r="CN142" s="360"/>
      <c r="CO142" s="360"/>
      <c r="CP142" s="360"/>
      <c r="CQ142" s="360"/>
      <c r="CR142" s="360"/>
      <c r="CS142" s="360"/>
      <c r="CT142" s="360"/>
      <c r="CU142" s="360"/>
      <c r="CV142" s="360"/>
      <c r="CW142" s="360"/>
      <c r="CX142" s="360"/>
      <c r="CY142" s="360"/>
      <c r="CZ142" s="360"/>
      <c r="DA142" s="360"/>
      <c r="DB142" s="360"/>
      <c r="DC142" s="360"/>
      <c r="DD142" s="360"/>
      <c r="DE142" s="360"/>
      <c r="DF142" s="360"/>
      <c r="DG142" s="360"/>
      <c r="DH142" s="360"/>
      <c r="DI142" s="360"/>
      <c r="DJ142" s="360"/>
      <c r="DK142" s="360"/>
      <c r="DL142" s="360"/>
      <c r="DM142" s="360"/>
      <c r="DN142" s="360"/>
      <c r="DO142" s="360"/>
      <c r="DP142" s="360"/>
      <c r="DQ142" s="360"/>
      <c r="DR142" s="360"/>
      <c r="DS142" s="360"/>
      <c r="DT142" s="360"/>
      <c r="DU142" s="360"/>
      <c r="DV142" s="360"/>
      <c r="DW142" s="322" t="s">
        <v>372</v>
      </c>
    </row>
    <row r="143" spans="3:127" hidden="1" outlineLevel="1" x14ac:dyDescent="0.3">
      <c r="C143" s="382" t="s">
        <v>409</v>
      </c>
      <c r="D143" s="395"/>
      <c r="E143" s="471"/>
      <c r="F143" s="463"/>
      <c r="G143" s="463"/>
      <c r="H143" s="463"/>
      <c r="I143" s="463"/>
      <c r="J143" s="463"/>
      <c r="K143" s="463"/>
      <c r="L143" s="463"/>
      <c r="M143" s="463"/>
      <c r="N143" s="463"/>
      <c r="O143" s="463"/>
      <c r="P143" s="463"/>
      <c r="Q143" s="463"/>
      <c r="R143" s="463"/>
      <c r="S143" s="463"/>
      <c r="T143" s="463"/>
      <c r="U143" s="463"/>
      <c r="V143" s="463"/>
      <c r="W143" s="463"/>
      <c r="X143" s="463"/>
      <c r="Y143" s="463"/>
      <c r="Z143" s="463"/>
      <c r="AA143" s="463"/>
      <c r="AB143" s="463"/>
      <c r="AC143" s="463"/>
      <c r="AD143" s="463"/>
      <c r="AE143" s="463"/>
      <c r="AF143" s="463"/>
      <c r="AG143" s="463"/>
      <c r="AH143" s="463"/>
      <c r="AI143" s="463"/>
      <c r="AJ143" s="463"/>
      <c r="AK143" s="463"/>
      <c r="AL143" s="463"/>
      <c r="AM143" s="374"/>
      <c r="AN143" s="374"/>
      <c r="AO143" s="374"/>
      <c r="AP143" s="472"/>
      <c r="AQ143" s="472"/>
      <c r="AR143" s="472"/>
      <c r="AS143" s="472"/>
      <c r="AT143" s="472"/>
      <c r="AU143" s="472"/>
      <c r="AV143" s="473" t="s">
        <v>372</v>
      </c>
      <c r="AW143" s="360"/>
      <c r="AX143" s="360"/>
      <c r="AY143" s="360"/>
      <c r="AZ143" s="360"/>
      <c r="BA143" s="360"/>
      <c r="BB143" s="360"/>
      <c r="BC143" s="360"/>
      <c r="BD143" s="360"/>
      <c r="BE143" s="360"/>
      <c r="BF143" s="360"/>
      <c r="BG143" s="360"/>
      <c r="BH143" s="360"/>
      <c r="BI143" s="360"/>
      <c r="BJ143" s="360"/>
      <c r="BK143" s="360"/>
      <c r="BL143" s="360"/>
      <c r="BM143" s="360"/>
      <c r="BN143" s="360"/>
      <c r="BO143" s="360"/>
      <c r="BP143" s="360"/>
      <c r="BQ143" s="360"/>
      <c r="BR143" s="360"/>
      <c r="BS143" s="360"/>
      <c r="BT143" s="360"/>
      <c r="BU143" s="360"/>
      <c r="BV143" s="360"/>
      <c r="BW143" s="360"/>
      <c r="BX143" s="360"/>
      <c r="BY143" s="360"/>
      <c r="BZ143" s="360"/>
      <c r="CA143" s="360"/>
      <c r="CB143" s="360"/>
      <c r="CC143" s="360"/>
      <c r="CD143" s="360"/>
      <c r="CE143" s="360"/>
      <c r="CF143" s="360"/>
      <c r="CG143" s="360"/>
      <c r="CH143" s="360"/>
      <c r="CI143" s="360"/>
      <c r="CJ143" s="360"/>
      <c r="CK143" s="360"/>
      <c r="CL143" s="360"/>
      <c r="CM143" s="360"/>
      <c r="CN143" s="360"/>
      <c r="CO143" s="360"/>
      <c r="CP143" s="360"/>
      <c r="CQ143" s="360"/>
      <c r="CR143" s="360"/>
      <c r="CS143" s="360"/>
      <c r="CT143" s="360"/>
      <c r="CU143" s="360"/>
      <c r="CV143" s="360"/>
      <c r="CW143" s="360"/>
      <c r="CX143" s="360"/>
      <c r="CY143" s="360"/>
      <c r="CZ143" s="360"/>
      <c r="DA143" s="360"/>
      <c r="DB143" s="360"/>
      <c r="DC143" s="360"/>
      <c r="DD143" s="360"/>
      <c r="DE143" s="360"/>
      <c r="DF143" s="360"/>
      <c r="DG143" s="360"/>
      <c r="DH143" s="360"/>
      <c r="DI143" s="360"/>
      <c r="DJ143" s="360"/>
      <c r="DK143" s="360"/>
      <c r="DL143" s="360"/>
      <c r="DM143" s="360"/>
      <c r="DN143" s="360"/>
      <c r="DO143" s="360"/>
      <c r="DP143" s="360"/>
      <c r="DQ143" s="360"/>
      <c r="DR143" s="360"/>
      <c r="DS143" s="360"/>
      <c r="DT143" s="360"/>
      <c r="DU143" s="360"/>
      <c r="DV143" s="360"/>
      <c r="DW143" s="322" t="s">
        <v>372</v>
      </c>
    </row>
    <row r="144" spans="3:127" hidden="1" outlineLevel="1" x14ac:dyDescent="0.3">
      <c r="C144" s="374" t="s">
        <v>400</v>
      </c>
      <c r="D144" s="474"/>
      <c r="E144" s="467">
        <f>SUM(F144:BN144)</f>
        <v>1367250</v>
      </c>
      <c r="F144" s="466">
        <f t="shared" ref="F144:BQ144" si="121">F136</f>
        <v>1367250</v>
      </c>
      <c r="G144" s="466">
        <f t="shared" si="121"/>
        <v>0</v>
      </c>
      <c r="H144" s="466">
        <f t="shared" si="121"/>
        <v>0</v>
      </c>
      <c r="I144" s="466">
        <f t="shared" si="121"/>
        <v>0</v>
      </c>
      <c r="J144" s="466">
        <f t="shared" si="121"/>
        <v>0</v>
      </c>
      <c r="K144" s="466">
        <f t="shared" si="121"/>
        <v>0</v>
      </c>
      <c r="L144" s="466">
        <f t="shared" si="121"/>
        <v>0</v>
      </c>
      <c r="M144" s="466">
        <f t="shared" si="121"/>
        <v>0</v>
      </c>
      <c r="N144" s="466">
        <f t="shared" si="121"/>
        <v>0</v>
      </c>
      <c r="O144" s="466">
        <f t="shared" si="121"/>
        <v>0</v>
      </c>
      <c r="P144" s="466">
        <f t="shared" si="121"/>
        <v>0</v>
      </c>
      <c r="Q144" s="466">
        <f t="shared" si="121"/>
        <v>0</v>
      </c>
      <c r="R144" s="466">
        <f t="shared" si="121"/>
        <v>0</v>
      </c>
      <c r="S144" s="466">
        <f t="shared" si="121"/>
        <v>0</v>
      </c>
      <c r="T144" s="466">
        <f t="shared" si="121"/>
        <v>0</v>
      </c>
      <c r="U144" s="466">
        <f t="shared" si="121"/>
        <v>0</v>
      </c>
      <c r="V144" s="466">
        <f t="shared" si="121"/>
        <v>0</v>
      </c>
      <c r="W144" s="466">
        <f t="shared" si="121"/>
        <v>0</v>
      </c>
      <c r="X144" s="466">
        <f t="shared" si="121"/>
        <v>0</v>
      </c>
      <c r="Y144" s="466">
        <f t="shared" si="121"/>
        <v>0</v>
      </c>
      <c r="Z144" s="466">
        <f t="shared" si="121"/>
        <v>0</v>
      </c>
      <c r="AA144" s="466">
        <f t="shared" si="121"/>
        <v>0</v>
      </c>
      <c r="AB144" s="466">
        <f t="shared" si="121"/>
        <v>0</v>
      </c>
      <c r="AC144" s="466">
        <f t="shared" si="121"/>
        <v>0</v>
      </c>
      <c r="AD144" s="466">
        <f t="shared" si="121"/>
        <v>0</v>
      </c>
      <c r="AE144" s="466">
        <f t="shared" si="121"/>
        <v>0</v>
      </c>
      <c r="AF144" s="466">
        <f t="shared" si="121"/>
        <v>0</v>
      </c>
      <c r="AG144" s="466">
        <f t="shared" si="121"/>
        <v>0</v>
      </c>
      <c r="AH144" s="466">
        <f t="shared" si="121"/>
        <v>0</v>
      </c>
      <c r="AI144" s="466">
        <f t="shared" si="121"/>
        <v>0</v>
      </c>
      <c r="AJ144" s="466">
        <f t="shared" si="121"/>
        <v>0</v>
      </c>
      <c r="AK144" s="466">
        <f t="shared" si="121"/>
        <v>0</v>
      </c>
      <c r="AL144" s="466">
        <f t="shared" si="121"/>
        <v>0</v>
      </c>
      <c r="AM144" s="466">
        <f t="shared" si="121"/>
        <v>0</v>
      </c>
      <c r="AN144" s="466">
        <f t="shared" si="121"/>
        <v>0</v>
      </c>
      <c r="AO144" s="466">
        <f t="shared" si="121"/>
        <v>0</v>
      </c>
      <c r="AP144" s="466">
        <f t="shared" si="121"/>
        <v>0</v>
      </c>
      <c r="AQ144" s="466">
        <f t="shared" si="121"/>
        <v>0</v>
      </c>
      <c r="AR144" s="466">
        <f t="shared" si="121"/>
        <v>0</v>
      </c>
      <c r="AS144" s="466">
        <f t="shared" si="121"/>
        <v>0</v>
      </c>
      <c r="AT144" s="466">
        <f t="shared" si="121"/>
        <v>0</v>
      </c>
      <c r="AU144" s="466">
        <f t="shared" si="121"/>
        <v>0</v>
      </c>
      <c r="AV144" s="466">
        <f t="shared" si="121"/>
        <v>0</v>
      </c>
      <c r="AW144" s="466">
        <f t="shared" si="121"/>
        <v>0</v>
      </c>
      <c r="AX144" s="466">
        <f t="shared" si="121"/>
        <v>0</v>
      </c>
      <c r="AY144" s="466">
        <f t="shared" si="121"/>
        <v>0</v>
      </c>
      <c r="AZ144" s="466">
        <f t="shared" si="121"/>
        <v>0</v>
      </c>
      <c r="BA144" s="466">
        <f t="shared" si="121"/>
        <v>0</v>
      </c>
      <c r="BB144" s="466">
        <f t="shared" si="121"/>
        <v>0</v>
      </c>
      <c r="BC144" s="466">
        <f t="shared" si="121"/>
        <v>0</v>
      </c>
      <c r="BD144" s="466">
        <f t="shared" si="121"/>
        <v>0</v>
      </c>
      <c r="BE144" s="466">
        <f t="shared" si="121"/>
        <v>0</v>
      </c>
      <c r="BF144" s="466">
        <f t="shared" si="121"/>
        <v>0</v>
      </c>
      <c r="BG144" s="466">
        <f t="shared" si="121"/>
        <v>0</v>
      </c>
      <c r="BH144" s="466">
        <f t="shared" si="121"/>
        <v>0</v>
      </c>
      <c r="BI144" s="466">
        <f t="shared" si="121"/>
        <v>0</v>
      </c>
      <c r="BJ144" s="466">
        <f t="shared" si="121"/>
        <v>0</v>
      </c>
      <c r="BK144" s="466">
        <f t="shared" si="121"/>
        <v>0</v>
      </c>
      <c r="BL144" s="466">
        <f t="shared" si="121"/>
        <v>0</v>
      </c>
      <c r="BM144" s="466">
        <f t="shared" si="121"/>
        <v>0</v>
      </c>
      <c r="BN144" s="466">
        <f t="shared" si="121"/>
        <v>0</v>
      </c>
      <c r="BO144" s="466">
        <f t="shared" si="121"/>
        <v>0</v>
      </c>
      <c r="BP144" s="466">
        <f t="shared" si="121"/>
        <v>0</v>
      </c>
      <c r="BQ144" s="466">
        <f t="shared" si="121"/>
        <v>0</v>
      </c>
      <c r="BR144" s="466">
        <f t="shared" ref="BR144:DV144" si="122">BR136</f>
        <v>0</v>
      </c>
      <c r="BS144" s="466">
        <f t="shared" si="122"/>
        <v>0</v>
      </c>
      <c r="BT144" s="466">
        <f t="shared" si="122"/>
        <v>0</v>
      </c>
      <c r="BU144" s="466">
        <f t="shared" si="122"/>
        <v>0</v>
      </c>
      <c r="BV144" s="466">
        <f t="shared" si="122"/>
        <v>0</v>
      </c>
      <c r="BW144" s="466">
        <f t="shared" si="122"/>
        <v>0</v>
      </c>
      <c r="BX144" s="466">
        <f t="shared" si="122"/>
        <v>0</v>
      </c>
      <c r="BY144" s="466">
        <f t="shared" si="122"/>
        <v>0</v>
      </c>
      <c r="BZ144" s="466">
        <f t="shared" si="122"/>
        <v>0</v>
      </c>
      <c r="CA144" s="466">
        <f t="shared" si="122"/>
        <v>0</v>
      </c>
      <c r="CB144" s="466">
        <f t="shared" si="122"/>
        <v>0</v>
      </c>
      <c r="CC144" s="466">
        <f t="shared" si="122"/>
        <v>0</v>
      </c>
      <c r="CD144" s="466">
        <f t="shared" si="122"/>
        <v>0</v>
      </c>
      <c r="CE144" s="466">
        <f t="shared" si="122"/>
        <v>0</v>
      </c>
      <c r="CF144" s="466">
        <f t="shared" si="122"/>
        <v>0</v>
      </c>
      <c r="CG144" s="466">
        <f t="shared" si="122"/>
        <v>0</v>
      </c>
      <c r="CH144" s="466">
        <f t="shared" si="122"/>
        <v>0</v>
      </c>
      <c r="CI144" s="466">
        <f t="shared" si="122"/>
        <v>0</v>
      </c>
      <c r="CJ144" s="466">
        <f t="shared" si="122"/>
        <v>0</v>
      </c>
      <c r="CK144" s="466">
        <f t="shared" si="122"/>
        <v>0</v>
      </c>
      <c r="CL144" s="466">
        <f t="shared" si="122"/>
        <v>0</v>
      </c>
      <c r="CM144" s="466">
        <f t="shared" si="122"/>
        <v>0</v>
      </c>
      <c r="CN144" s="466">
        <f t="shared" si="122"/>
        <v>0</v>
      </c>
      <c r="CO144" s="466">
        <f t="shared" si="122"/>
        <v>0</v>
      </c>
      <c r="CP144" s="466">
        <f t="shared" si="122"/>
        <v>0</v>
      </c>
      <c r="CQ144" s="466">
        <f t="shared" si="122"/>
        <v>0</v>
      </c>
      <c r="CR144" s="466">
        <f t="shared" si="122"/>
        <v>0</v>
      </c>
      <c r="CS144" s="466">
        <f t="shared" si="122"/>
        <v>0</v>
      </c>
      <c r="CT144" s="466">
        <f t="shared" si="122"/>
        <v>0</v>
      </c>
      <c r="CU144" s="466">
        <f t="shared" si="122"/>
        <v>0</v>
      </c>
      <c r="CV144" s="466">
        <f t="shared" si="122"/>
        <v>0</v>
      </c>
      <c r="CW144" s="466">
        <f t="shared" si="122"/>
        <v>0</v>
      </c>
      <c r="CX144" s="466">
        <f t="shared" si="122"/>
        <v>0</v>
      </c>
      <c r="CY144" s="466">
        <f t="shared" si="122"/>
        <v>0</v>
      </c>
      <c r="CZ144" s="466">
        <f t="shared" si="122"/>
        <v>0</v>
      </c>
      <c r="DA144" s="466">
        <f t="shared" si="122"/>
        <v>0</v>
      </c>
      <c r="DB144" s="466">
        <f t="shared" si="122"/>
        <v>0</v>
      </c>
      <c r="DC144" s="466">
        <f t="shared" si="122"/>
        <v>0</v>
      </c>
      <c r="DD144" s="466">
        <f t="shared" si="122"/>
        <v>0</v>
      </c>
      <c r="DE144" s="466">
        <f t="shared" si="122"/>
        <v>0</v>
      </c>
      <c r="DF144" s="466">
        <f t="shared" si="122"/>
        <v>0</v>
      </c>
      <c r="DG144" s="466">
        <f t="shared" si="122"/>
        <v>0</v>
      </c>
      <c r="DH144" s="466">
        <f t="shared" si="122"/>
        <v>0</v>
      </c>
      <c r="DI144" s="466">
        <f t="shared" si="122"/>
        <v>0</v>
      </c>
      <c r="DJ144" s="466">
        <f t="shared" si="122"/>
        <v>0</v>
      </c>
      <c r="DK144" s="466">
        <f t="shared" si="122"/>
        <v>0</v>
      </c>
      <c r="DL144" s="466">
        <f t="shared" si="122"/>
        <v>0</v>
      </c>
      <c r="DM144" s="466">
        <f t="shared" si="122"/>
        <v>0</v>
      </c>
      <c r="DN144" s="466">
        <f t="shared" si="122"/>
        <v>0</v>
      </c>
      <c r="DO144" s="466">
        <f t="shared" si="122"/>
        <v>0</v>
      </c>
      <c r="DP144" s="466">
        <f t="shared" si="122"/>
        <v>0</v>
      </c>
      <c r="DQ144" s="466">
        <f t="shared" si="122"/>
        <v>0</v>
      </c>
      <c r="DR144" s="466">
        <f t="shared" si="122"/>
        <v>0</v>
      </c>
      <c r="DS144" s="466">
        <f t="shared" si="122"/>
        <v>0</v>
      </c>
      <c r="DT144" s="466">
        <f t="shared" si="122"/>
        <v>0</v>
      </c>
      <c r="DU144" s="466">
        <f t="shared" si="122"/>
        <v>0</v>
      </c>
      <c r="DV144" s="466">
        <f t="shared" si="122"/>
        <v>0</v>
      </c>
      <c r="DW144" s="322" t="s">
        <v>372</v>
      </c>
    </row>
    <row r="145" spans="3:127" hidden="1" outlineLevel="1" x14ac:dyDescent="0.3">
      <c r="C145" s="374" t="s">
        <v>351</v>
      </c>
      <c r="D145" s="470"/>
      <c r="E145" s="463">
        <f>SUM(F145:BN145)</f>
        <v>121325262.35028192</v>
      </c>
      <c r="F145" s="475">
        <v>0</v>
      </c>
      <c r="G145" s="467">
        <f t="shared" ref="G145:BR145" si="123">F149</f>
        <v>2324325</v>
      </c>
      <c r="H145" s="467">
        <f t="shared" si="123"/>
        <v>2314669.3756249999</v>
      </c>
      <c r="I145" s="467">
        <f t="shared" si="123"/>
        <v>2305013.7512499997</v>
      </c>
      <c r="J145" s="467">
        <f t="shared" si="123"/>
        <v>2295358.1268749996</v>
      </c>
      <c r="K145" s="467">
        <f t="shared" si="123"/>
        <v>2285702.5024999995</v>
      </c>
      <c r="L145" s="467">
        <f t="shared" si="123"/>
        <v>2276046.8781249993</v>
      </c>
      <c r="M145" s="467">
        <f t="shared" si="123"/>
        <v>2266391.2537499992</v>
      </c>
      <c r="N145" s="467">
        <f t="shared" si="123"/>
        <v>2256735.6293749991</v>
      </c>
      <c r="O145" s="467">
        <f t="shared" si="123"/>
        <v>2247080.004999999</v>
      </c>
      <c r="P145" s="467">
        <f t="shared" si="123"/>
        <v>2237424.3806249988</v>
      </c>
      <c r="Q145" s="467">
        <f t="shared" si="123"/>
        <v>2227768.7562499987</v>
      </c>
      <c r="R145" s="467">
        <f t="shared" si="123"/>
        <v>2218113.1318749986</v>
      </c>
      <c r="S145" s="467">
        <f t="shared" si="123"/>
        <v>2208457.5074999984</v>
      </c>
      <c r="T145" s="467">
        <f t="shared" si="123"/>
        <v>2198131.0737687484</v>
      </c>
      <c r="U145" s="467">
        <f t="shared" si="123"/>
        <v>2187804.6400374984</v>
      </c>
      <c r="V145" s="467">
        <f t="shared" si="123"/>
        <v>2177478.2063062484</v>
      </c>
      <c r="W145" s="467">
        <f t="shared" si="123"/>
        <v>2167151.7725749984</v>
      </c>
      <c r="X145" s="467">
        <f t="shared" si="123"/>
        <v>2156825.3388437484</v>
      </c>
      <c r="Y145" s="467">
        <f t="shared" si="123"/>
        <v>2146498.9051124984</v>
      </c>
      <c r="Z145" s="467">
        <f t="shared" si="123"/>
        <v>2136172.4713812484</v>
      </c>
      <c r="AA145" s="467">
        <f t="shared" si="123"/>
        <v>2125846.0376499984</v>
      </c>
      <c r="AB145" s="467">
        <f t="shared" si="123"/>
        <v>2115519.6039187484</v>
      </c>
      <c r="AC145" s="467">
        <f t="shared" si="123"/>
        <v>2105193.1701874984</v>
      </c>
      <c r="AD145" s="467">
        <f t="shared" si="123"/>
        <v>2094866.7364562484</v>
      </c>
      <c r="AE145" s="467">
        <f t="shared" si="123"/>
        <v>2084540.3027249984</v>
      </c>
      <c r="AF145" s="467">
        <f t="shared" si="123"/>
        <v>2073522.9353568109</v>
      </c>
      <c r="AG145" s="467">
        <f t="shared" si="123"/>
        <v>2062505.5679886234</v>
      </c>
      <c r="AH145" s="467">
        <f t="shared" si="123"/>
        <v>2051488.2006204359</v>
      </c>
      <c r="AI145" s="467">
        <f t="shared" si="123"/>
        <v>2040470.8332522484</v>
      </c>
      <c r="AJ145" s="467">
        <f t="shared" si="123"/>
        <v>2029453.4658840608</v>
      </c>
      <c r="AK145" s="467">
        <f t="shared" si="123"/>
        <v>2018436.0985158733</v>
      </c>
      <c r="AL145" s="467">
        <f t="shared" si="123"/>
        <v>2007418.7311476858</v>
      </c>
      <c r="AM145" s="467">
        <f t="shared" si="123"/>
        <v>1996401.3637794983</v>
      </c>
      <c r="AN145" s="467">
        <f t="shared" si="123"/>
        <v>1985383.9964113107</v>
      </c>
      <c r="AO145" s="467">
        <f t="shared" si="123"/>
        <v>1974366.6290431232</v>
      </c>
      <c r="AP145" s="467">
        <f t="shared" si="123"/>
        <v>1963349.2616749357</v>
      </c>
      <c r="AQ145" s="467">
        <f t="shared" si="123"/>
        <v>1952331.8943067482</v>
      </c>
      <c r="AR145" s="467">
        <f t="shared" si="123"/>
        <v>1940602.8652925151</v>
      </c>
      <c r="AS145" s="467">
        <f t="shared" si="123"/>
        <v>1928873.8362782821</v>
      </c>
      <c r="AT145" s="467">
        <f t="shared" si="123"/>
        <v>1917144.8072640491</v>
      </c>
      <c r="AU145" s="467">
        <f t="shared" si="123"/>
        <v>1905415.778249816</v>
      </c>
      <c r="AV145" s="467">
        <f t="shared" si="123"/>
        <v>1893686.749235583</v>
      </c>
      <c r="AW145" s="467">
        <f t="shared" si="123"/>
        <v>1881957.72022135</v>
      </c>
      <c r="AX145" s="467">
        <f t="shared" si="123"/>
        <v>1870228.6912071169</v>
      </c>
      <c r="AY145" s="467">
        <f t="shared" si="123"/>
        <v>1858499.6621928839</v>
      </c>
      <c r="AZ145" s="467">
        <f t="shared" si="123"/>
        <v>1846770.6331786509</v>
      </c>
      <c r="BA145" s="467">
        <f t="shared" si="123"/>
        <v>1835041.6041644178</v>
      </c>
      <c r="BB145" s="467">
        <f t="shared" si="123"/>
        <v>1823312.5751501848</v>
      </c>
      <c r="BC145" s="467">
        <f t="shared" si="123"/>
        <v>1811583.5461359518</v>
      </c>
      <c r="BD145" s="467">
        <f t="shared" si="123"/>
        <v>1805075.6876287067</v>
      </c>
      <c r="BE145" s="467">
        <f t="shared" si="123"/>
        <v>1798567.8291214616</v>
      </c>
      <c r="BF145" s="467">
        <f t="shared" si="123"/>
        <v>1792059.9706142165</v>
      </c>
      <c r="BG145" s="467">
        <f t="shared" si="123"/>
        <v>1785552.1121069714</v>
      </c>
      <c r="BH145" s="467">
        <f t="shared" si="123"/>
        <v>1779044.2535997264</v>
      </c>
      <c r="BI145" s="467">
        <f t="shared" si="123"/>
        <v>1772536.3950924813</v>
      </c>
      <c r="BJ145" s="467">
        <f t="shared" si="123"/>
        <v>1766028.5365852362</v>
      </c>
      <c r="BK145" s="467">
        <f t="shared" si="123"/>
        <v>1759520.6780779911</v>
      </c>
      <c r="BL145" s="467">
        <f t="shared" si="123"/>
        <v>1753012.819570746</v>
      </c>
      <c r="BM145" s="467">
        <f t="shared" si="123"/>
        <v>1746504.961063501</v>
      </c>
      <c r="BN145" s="467">
        <f t="shared" si="123"/>
        <v>1739997.1025562559</v>
      </c>
      <c r="BO145" s="467">
        <f t="shared" si="123"/>
        <v>1284415.5969259166</v>
      </c>
      <c r="BP145" s="467">
        <f t="shared" si="123"/>
        <v>1284415.5969259166</v>
      </c>
      <c r="BQ145" s="467">
        <f t="shared" si="123"/>
        <v>1284415.5969259166</v>
      </c>
      <c r="BR145" s="467">
        <f t="shared" si="123"/>
        <v>1284415.5969259166</v>
      </c>
      <c r="BS145" s="467">
        <f t="shared" ref="BS145:DV145" si="124">BR149</f>
        <v>1284415.5969259166</v>
      </c>
      <c r="BT145" s="467">
        <f t="shared" si="124"/>
        <v>1284415.5969259166</v>
      </c>
      <c r="BU145" s="467">
        <f t="shared" si="124"/>
        <v>1284415.5969259166</v>
      </c>
      <c r="BV145" s="467">
        <f t="shared" si="124"/>
        <v>1284415.5969259166</v>
      </c>
      <c r="BW145" s="467">
        <f t="shared" si="124"/>
        <v>1284415.5969259166</v>
      </c>
      <c r="BX145" s="467">
        <f t="shared" si="124"/>
        <v>1284415.5969259166</v>
      </c>
      <c r="BY145" s="467">
        <f t="shared" si="124"/>
        <v>1284415.5969259166</v>
      </c>
      <c r="BZ145" s="467">
        <f t="shared" si="124"/>
        <v>1284415.5969259166</v>
      </c>
      <c r="CA145" s="467">
        <f t="shared" si="124"/>
        <v>1284415.5969259166</v>
      </c>
      <c r="CB145" s="467">
        <f t="shared" si="124"/>
        <v>1284415.5969259166</v>
      </c>
      <c r="CC145" s="467">
        <f t="shared" si="124"/>
        <v>1284415.5969259166</v>
      </c>
      <c r="CD145" s="467">
        <f t="shared" si="124"/>
        <v>1284415.5969259166</v>
      </c>
      <c r="CE145" s="467">
        <f t="shared" si="124"/>
        <v>1284415.5969259166</v>
      </c>
      <c r="CF145" s="467">
        <f t="shared" si="124"/>
        <v>1284415.5969259166</v>
      </c>
      <c r="CG145" s="467">
        <f t="shared" si="124"/>
        <v>1284415.5969259166</v>
      </c>
      <c r="CH145" s="467">
        <f t="shared" si="124"/>
        <v>1284415.5969259166</v>
      </c>
      <c r="CI145" s="467">
        <f t="shared" si="124"/>
        <v>1284415.5969259166</v>
      </c>
      <c r="CJ145" s="467">
        <f t="shared" si="124"/>
        <v>1284415.5969259166</v>
      </c>
      <c r="CK145" s="467">
        <f t="shared" si="124"/>
        <v>1284415.5969259166</v>
      </c>
      <c r="CL145" s="467">
        <f t="shared" si="124"/>
        <v>1284415.5969259166</v>
      </c>
      <c r="CM145" s="467">
        <f t="shared" si="124"/>
        <v>1284415.5969259166</v>
      </c>
      <c r="CN145" s="467">
        <f t="shared" si="124"/>
        <v>1284415.5969259166</v>
      </c>
      <c r="CO145" s="467">
        <f t="shared" si="124"/>
        <v>1284415.5969259166</v>
      </c>
      <c r="CP145" s="467">
        <f t="shared" si="124"/>
        <v>1284415.5969259166</v>
      </c>
      <c r="CQ145" s="467">
        <f t="shared" si="124"/>
        <v>1284415.5969259166</v>
      </c>
      <c r="CR145" s="467">
        <f t="shared" si="124"/>
        <v>1284415.5969259166</v>
      </c>
      <c r="CS145" s="467">
        <f t="shared" si="124"/>
        <v>1284415.5969259166</v>
      </c>
      <c r="CT145" s="467">
        <f t="shared" si="124"/>
        <v>1284415.5969259166</v>
      </c>
      <c r="CU145" s="467">
        <f t="shared" si="124"/>
        <v>1284415.5969259166</v>
      </c>
      <c r="CV145" s="467">
        <f t="shared" si="124"/>
        <v>1284415.5969259166</v>
      </c>
      <c r="CW145" s="467">
        <f t="shared" si="124"/>
        <v>1284415.5969259166</v>
      </c>
      <c r="CX145" s="467">
        <f t="shared" si="124"/>
        <v>1284415.5969259166</v>
      </c>
      <c r="CY145" s="467">
        <f t="shared" si="124"/>
        <v>1284415.5969259166</v>
      </c>
      <c r="CZ145" s="467">
        <f t="shared" si="124"/>
        <v>1284415.5969259166</v>
      </c>
      <c r="DA145" s="467">
        <f t="shared" si="124"/>
        <v>1284415.5969259166</v>
      </c>
      <c r="DB145" s="467">
        <f t="shared" si="124"/>
        <v>1284415.5969259166</v>
      </c>
      <c r="DC145" s="467">
        <f t="shared" si="124"/>
        <v>1284415.5969259166</v>
      </c>
      <c r="DD145" s="467">
        <f t="shared" si="124"/>
        <v>1284415.5969259166</v>
      </c>
      <c r="DE145" s="467">
        <f t="shared" si="124"/>
        <v>1284415.5969259166</v>
      </c>
      <c r="DF145" s="467">
        <f t="shared" si="124"/>
        <v>1284415.5969259166</v>
      </c>
      <c r="DG145" s="467">
        <f t="shared" si="124"/>
        <v>1284415.5969259166</v>
      </c>
      <c r="DH145" s="467">
        <f t="shared" si="124"/>
        <v>1284415.5969259166</v>
      </c>
      <c r="DI145" s="467">
        <f t="shared" si="124"/>
        <v>1284415.5969259166</v>
      </c>
      <c r="DJ145" s="467">
        <f t="shared" si="124"/>
        <v>1284415.5969259166</v>
      </c>
      <c r="DK145" s="467">
        <f t="shared" si="124"/>
        <v>1284415.5969259166</v>
      </c>
      <c r="DL145" s="467">
        <f t="shared" si="124"/>
        <v>1284415.5969259166</v>
      </c>
      <c r="DM145" s="467">
        <f t="shared" si="124"/>
        <v>1284415.5969259166</v>
      </c>
      <c r="DN145" s="467">
        <f t="shared" si="124"/>
        <v>1284415.5969259166</v>
      </c>
      <c r="DO145" s="467">
        <f t="shared" si="124"/>
        <v>1284415.5969259166</v>
      </c>
      <c r="DP145" s="467">
        <f t="shared" si="124"/>
        <v>1284415.5969259166</v>
      </c>
      <c r="DQ145" s="467">
        <f t="shared" si="124"/>
        <v>1284415.5969259166</v>
      </c>
      <c r="DR145" s="467">
        <f t="shared" si="124"/>
        <v>1284415.5969259166</v>
      </c>
      <c r="DS145" s="467">
        <f t="shared" si="124"/>
        <v>1284415.5969259166</v>
      </c>
      <c r="DT145" s="467">
        <f t="shared" si="124"/>
        <v>1284415.5969259166</v>
      </c>
      <c r="DU145" s="467">
        <f t="shared" si="124"/>
        <v>1284415.5969259166</v>
      </c>
      <c r="DV145" s="467">
        <f t="shared" si="124"/>
        <v>1284415.5969259166</v>
      </c>
      <c r="DW145" s="322" t="s">
        <v>372</v>
      </c>
    </row>
    <row r="146" spans="3:127" hidden="1" outlineLevel="1" x14ac:dyDescent="0.3">
      <c r="C146" s="476" t="s">
        <v>403</v>
      </c>
      <c r="D146" s="477">
        <f>F39</f>
        <v>1.7</v>
      </c>
      <c r="E146" s="463">
        <f>SUM(F146:BN146)</f>
        <v>2324325</v>
      </c>
      <c r="F146" s="468">
        <f t="shared" ref="F146:BQ146" si="125">F144*$D$146</f>
        <v>2324325</v>
      </c>
      <c r="G146" s="468">
        <f t="shared" si="125"/>
        <v>0</v>
      </c>
      <c r="H146" s="468">
        <f t="shared" si="125"/>
        <v>0</v>
      </c>
      <c r="I146" s="468">
        <f t="shared" si="125"/>
        <v>0</v>
      </c>
      <c r="J146" s="468">
        <f t="shared" si="125"/>
        <v>0</v>
      </c>
      <c r="K146" s="468">
        <f t="shared" si="125"/>
        <v>0</v>
      </c>
      <c r="L146" s="468">
        <f t="shared" si="125"/>
        <v>0</v>
      </c>
      <c r="M146" s="468">
        <f t="shared" si="125"/>
        <v>0</v>
      </c>
      <c r="N146" s="468">
        <f t="shared" si="125"/>
        <v>0</v>
      </c>
      <c r="O146" s="468">
        <f t="shared" si="125"/>
        <v>0</v>
      </c>
      <c r="P146" s="468">
        <f t="shared" si="125"/>
        <v>0</v>
      </c>
      <c r="Q146" s="468">
        <f t="shared" si="125"/>
        <v>0</v>
      </c>
      <c r="R146" s="468">
        <f t="shared" si="125"/>
        <v>0</v>
      </c>
      <c r="S146" s="468">
        <f t="shared" si="125"/>
        <v>0</v>
      </c>
      <c r="T146" s="468">
        <f t="shared" si="125"/>
        <v>0</v>
      </c>
      <c r="U146" s="468">
        <f t="shared" si="125"/>
        <v>0</v>
      </c>
      <c r="V146" s="468">
        <f t="shared" si="125"/>
        <v>0</v>
      </c>
      <c r="W146" s="468">
        <f t="shared" si="125"/>
        <v>0</v>
      </c>
      <c r="X146" s="468">
        <f t="shared" si="125"/>
        <v>0</v>
      </c>
      <c r="Y146" s="468">
        <f t="shared" si="125"/>
        <v>0</v>
      </c>
      <c r="Z146" s="468">
        <f t="shared" si="125"/>
        <v>0</v>
      </c>
      <c r="AA146" s="468">
        <f t="shared" si="125"/>
        <v>0</v>
      </c>
      <c r="AB146" s="468">
        <f t="shared" si="125"/>
        <v>0</v>
      </c>
      <c r="AC146" s="468">
        <f t="shared" si="125"/>
        <v>0</v>
      </c>
      <c r="AD146" s="468">
        <f t="shared" si="125"/>
        <v>0</v>
      </c>
      <c r="AE146" s="468">
        <f t="shared" si="125"/>
        <v>0</v>
      </c>
      <c r="AF146" s="468">
        <f t="shared" si="125"/>
        <v>0</v>
      </c>
      <c r="AG146" s="468">
        <f t="shared" si="125"/>
        <v>0</v>
      </c>
      <c r="AH146" s="468">
        <f t="shared" si="125"/>
        <v>0</v>
      </c>
      <c r="AI146" s="468">
        <f t="shared" si="125"/>
        <v>0</v>
      </c>
      <c r="AJ146" s="468">
        <f t="shared" si="125"/>
        <v>0</v>
      </c>
      <c r="AK146" s="468">
        <f t="shared" si="125"/>
        <v>0</v>
      </c>
      <c r="AL146" s="468">
        <f t="shared" si="125"/>
        <v>0</v>
      </c>
      <c r="AM146" s="468">
        <f t="shared" si="125"/>
        <v>0</v>
      </c>
      <c r="AN146" s="468">
        <f t="shared" si="125"/>
        <v>0</v>
      </c>
      <c r="AO146" s="468">
        <f t="shared" si="125"/>
        <v>0</v>
      </c>
      <c r="AP146" s="468">
        <f t="shared" si="125"/>
        <v>0</v>
      </c>
      <c r="AQ146" s="468">
        <f t="shared" si="125"/>
        <v>0</v>
      </c>
      <c r="AR146" s="468">
        <f t="shared" si="125"/>
        <v>0</v>
      </c>
      <c r="AS146" s="468">
        <f t="shared" si="125"/>
        <v>0</v>
      </c>
      <c r="AT146" s="468">
        <f t="shared" si="125"/>
        <v>0</v>
      </c>
      <c r="AU146" s="468">
        <f t="shared" si="125"/>
        <v>0</v>
      </c>
      <c r="AV146" s="468">
        <f t="shared" si="125"/>
        <v>0</v>
      </c>
      <c r="AW146" s="468">
        <f t="shared" si="125"/>
        <v>0</v>
      </c>
      <c r="AX146" s="468">
        <f t="shared" si="125"/>
        <v>0</v>
      </c>
      <c r="AY146" s="468">
        <f t="shared" si="125"/>
        <v>0</v>
      </c>
      <c r="AZ146" s="468">
        <f t="shared" si="125"/>
        <v>0</v>
      </c>
      <c r="BA146" s="468">
        <f t="shared" si="125"/>
        <v>0</v>
      </c>
      <c r="BB146" s="468">
        <f t="shared" si="125"/>
        <v>0</v>
      </c>
      <c r="BC146" s="468">
        <f t="shared" si="125"/>
        <v>0</v>
      </c>
      <c r="BD146" s="468">
        <f t="shared" si="125"/>
        <v>0</v>
      </c>
      <c r="BE146" s="468">
        <f t="shared" si="125"/>
        <v>0</v>
      </c>
      <c r="BF146" s="468">
        <f t="shared" si="125"/>
        <v>0</v>
      </c>
      <c r="BG146" s="468">
        <f t="shared" si="125"/>
        <v>0</v>
      </c>
      <c r="BH146" s="468">
        <f t="shared" si="125"/>
        <v>0</v>
      </c>
      <c r="BI146" s="468">
        <f t="shared" si="125"/>
        <v>0</v>
      </c>
      <c r="BJ146" s="468">
        <f t="shared" si="125"/>
        <v>0</v>
      </c>
      <c r="BK146" s="468">
        <f t="shared" si="125"/>
        <v>0</v>
      </c>
      <c r="BL146" s="468">
        <f t="shared" si="125"/>
        <v>0</v>
      </c>
      <c r="BM146" s="468">
        <f t="shared" si="125"/>
        <v>0</v>
      </c>
      <c r="BN146" s="468">
        <f t="shared" si="125"/>
        <v>0</v>
      </c>
      <c r="BO146" s="468">
        <f t="shared" si="125"/>
        <v>0</v>
      </c>
      <c r="BP146" s="468">
        <f t="shared" si="125"/>
        <v>0</v>
      </c>
      <c r="BQ146" s="468">
        <f t="shared" si="125"/>
        <v>0</v>
      </c>
      <c r="BR146" s="468">
        <f t="shared" ref="BR146:DV146" si="126">BR144*$D$146</f>
        <v>0</v>
      </c>
      <c r="BS146" s="468">
        <f t="shared" si="126"/>
        <v>0</v>
      </c>
      <c r="BT146" s="468">
        <f t="shared" si="126"/>
        <v>0</v>
      </c>
      <c r="BU146" s="468">
        <f t="shared" si="126"/>
        <v>0</v>
      </c>
      <c r="BV146" s="468">
        <f t="shared" si="126"/>
        <v>0</v>
      </c>
      <c r="BW146" s="468">
        <f t="shared" si="126"/>
        <v>0</v>
      </c>
      <c r="BX146" s="468">
        <f t="shared" si="126"/>
        <v>0</v>
      </c>
      <c r="BY146" s="468">
        <f t="shared" si="126"/>
        <v>0</v>
      </c>
      <c r="BZ146" s="468">
        <f t="shared" si="126"/>
        <v>0</v>
      </c>
      <c r="CA146" s="468">
        <f t="shared" si="126"/>
        <v>0</v>
      </c>
      <c r="CB146" s="468">
        <f t="shared" si="126"/>
        <v>0</v>
      </c>
      <c r="CC146" s="468">
        <f t="shared" si="126"/>
        <v>0</v>
      </c>
      <c r="CD146" s="468">
        <f t="shared" si="126"/>
        <v>0</v>
      </c>
      <c r="CE146" s="468">
        <f t="shared" si="126"/>
        <v>0</v>
      </c>
      <c r="CF146" s="468">
        <f t="shared" si="126"/>
        <v>0</v>
      </c>
      <c r="CG146" s="468">
        <f t="shared" si="126"/>
        <v>0</v>
      </c>
      <c r="CH146" s="468">
        <f t="shared" si="126"/>
        <v>0</v>
      </c>
      <c r="CI146" s="468">
        <f t="shared" si="126"/>
        <v>0</v>
      </c>
      <c r="CJ146" s="468">
        <f t="shared" si="126"/>
        <v>0</v>
      </c>
      <c r="CK146" s="468">
        <f t="shared" si="126"/>
        <v>0</v>
      </c>
      <c r="CL146" s="468">
        <f t="shared" si="126"/>
        <v>0</v>
      </c>
      <c r="CM146" s="468">
        <f t="shared" si="126"/>
        <v>0</v>
      </c>
      <c r="CN146" s="468">
        <f t="shared" si="126"/>
        <v>0</v>
      </c>
      <c r="CO146" s="468">
        <f t="shared" si="126"/>
        <v>0</v>
      </c>
      <c r="CP146" s="468">
        <f t="shared" si="126"/>
        <v>0</v>
      </c>
      <c r="CQ146" s="468">
        <f t="shared" si="126"/>
        <v>0</v>
      </c>
      <c r="CR146" s="468">
        <f t="shared" si="126"/>
        <v>0</v>
      </c>
      <c r="CS146" s="468">
        <f t="shared" si="126"/>
        <v>0</v>
      </c>
      <c r="CT146" s="468">
        <f t="shared" si="126"/>
        <v>0</v>
      </c>
      <c r="CU146" s="468">
        <f t="shared" si="126"/>
        <v>0</v>
      </c>
      <c r="CV146" s="468">
        <f t="shared" si="126"/>
        <v>0</v>
      </c>
      <c r="CW146" s="468">
        <f t="shared" si="126"/>
        <v>0</v>
      </c>
      <c r="CX146" s="468">
        <f t="shared" si="126"/>
        <v>0</v>
      </c>
      <c r="CY146" s="468">
        <f t="shared" si="126"/>
        <v>0</v>
      </c>
      <c r="CZ146" s="468">
        <f t="shared" si="126"/>
        <v>0</v>
      </c>
      <c r="DA146" s="468">
        <f t="shared" si="126"/>
        <v>0</v>
      </c>
      <c r="DB146" s="468">
        <f t="shared" si="126"/>
        <v>0</v>
      </c>
      <c r="DC146" s="468">
        <f t="shared" si="126"/>
        <v>0</v>
      </c>
      <c r="DD146" s="468">
        <f t="shared" si="126"/>
        <v>0</v>
      </c>
      <c r="DE146" s="468">
        <f t="shared" si="126"/>
        <v>0</v>
      </c>
      <c r="DF146" s="468">
        <f t="shared" si="126"/>
        <v>0</v>
      </c>
      <c r="DG146" s="468">
        <f t="shared" si="126"/>
        <v>0</v>
      </c>
      <c r="DH146" s="468">
        <f t="shared" si="126"/>
        <v>0</v>
      </c>
      <c r="DI146" s="468">
        <f t="shared" si="126"/>
        <v>0</v>
      </c>
      <c r="DJ146" s="468">
        <f t="shared" si="126"/>
        <v>0</v>
      </c>
      <c r="DK146" s="468">
        <f t="shared" si="126"/>
        <v>0</v>
      </c>
      <c r="DL146" s="468">
        <f t="shared" si="126"/>
        <v>0</v>
      </c>
      <c r="DM146" s="468">
        <f t="shared" si="126"/>
        <v>0</v>
      </c>
      <c r="DN146" s="468">
        <f t="shared" si="126"/>
        <v>0</v>
      </c>
      <c r="DO146" s="468">
        <f t="shared" si="126"/>
        <v>0</v>
      </c>
      <c r="DP146" s="468">
        <f t="shared" si="126"/>
        <v>0</v>
      </c>
      <c r="DQ146" s="468">
        <f t="shared" si="126"/>
        <v>0</v>
      </c>
      <c r="DR146" s="468">
        <f t="shared" si="126"/>
        <v>0</v>
      </c>
      <c r="DS146" s="468">
        <f t="shared" si="126"/>
        <v>0</v>
      </c>
      <c r="DT146" s="468">
        <f t="shared" si="126"/>
        <v>0</v>
      </c>
      <c r="DU146" s="468">
        <f t="shared" si="126"/>
        <v>0</v>
      </c>
      <c r="DV146" s="468">
        <f t="shared" si="126"/>
        <v>0</v>
      </c>
      <c r="DW146" s="322" t="s">
        <v>372</v>
      </c>
    </row>
    <row r="147" spans="3:127" hidden="1" outlineLevel="1" x14ac:dyDescent="0.3">
      <c r="C147" s="469" t="str">
        <f>C138</f>
        <v>8.0% Accrual / 0.0x MOIC Distribution</v>
      </c>
      <c r="D147" s="478"/>
      <c r="E147" s="463">
        <f>SUM(F147:BN147)</f>
        <v>-1871814.7624981306</v>
      </c>
      <c r="F147" s="468">
        <f t="shared" ref="F147:BQ147" si="127">F138</f>
        <v>0</v>
      </c>
      <c r="G147" s="468">
        <f t="shared" si="127"/>
        <v>-9655.6243749999994</v>
      </c>
      <c r="H147" s="468">
        <f t="shared" si="127"/>
        <v>-9655.6243749999994</v>
      </c>
      <c r="I147" s="468">
        <f t="shared" si="127"/>
        <v>-9655.6243749999994</v>
      </c>
      <c r="J147" s="468">
        <f t="shared" si="127"/>
        <v>-9655.6243749999994</v>
      </c>
      <c r="K147" s="468">
        <f t="shared" si="127"/>
        <v>-9655.6243749999994</v>
      </c>
      <c r="L147" s="468">
        <f t="shared" si="127"/>
        <v>-9655.6243749999994</v>
      </c>
      <c r="M147" s="468">
        <f t="shared" si="127"/>
        <v>-9655.6243749999994</v>
      </c>
      <c r="N147" s="468">
        <f t="shared" si="127"/>
        <v>-9655.6243749999994</v>
      </c>
      <c r="O147" s="468">
        <f t="shared" si="127"/>
        <v>-9655.6243749999994</v>
      </c>
      <c r="P147" s="468">
        <f t="shared" si="127"/>
        <v>-9655.6243749999994</v>
      </c>
      <c r="Q147" s="468">
        <f t="shared" si="127"/>
        <v>-9655.6243749999994</v>
      </c>
      <c r="R147" s="468">
        <f t="shared" si="127"/>
        <v>-9655.6243749999994</v>
      </c>
      <c r="S147" s="468">
        <f t="shared" si="127"/>
        <v>-10326.433731250003</v>
      </c>
      <c r="T147" s="468">
        <f t="shared" si="127"/>
        <v>-10326.433731250003</v>
      </c>
      <c r="U147" s="468">
        <f t="shared" si="127"/>
        <v>-10326.433731250003</v>
      </c>
      <c r="V147" s="468">
        <f t="shared" si="127"/>
        <v>-10326.433731250003</v>
      </c>
      <c r="W147" s="468">
        <f t="shared" si="127"/>
        <v>-10326.433731250003</v>
      </c>
      <c r="X147" s="468">
        <f t="shared" si="127"/>
        <v>-10326.433731250003</v>
      </c>
      <c r="Y147" s="468">
        <f t="shared" si="127"/>
        <v>-10326.433731250003</v>
      </c>
      <c r="Z147" s="468">
        <f t="shared" si="127"/>
        <v>-10326.433731250003</v>
      </c>
      <c r="AA147" s="468">
        <f t="shared" si="127"/>
        <v>-10326.433731250003</v>
      </c>
      <c r="AB147" s="468">
        <f t="shared" si="127"/>
        <v>-10326.433731250003</v>
      </c>
      <c r="AC147" s="468">
        <f t="shared" si="127"/>
        <v>-10326.433731250003</v>
      </c>
      <c r="AD147" s="468">
        <f t="shared" si="127"/>
        <v>-10326.433731250003</v>
      </c>
      <c r="AE147" s="468">
        <f t="shared" si="127"/>
        <v>-11017.367368187497</v>
      </c>
      <c r="AF147" s="468">
        <f t="shared" si="127"/>
        <v>-11017.367368187497</v>
      </c>
      <c r="AG147" s="468">
        <f t="shared" si="127"/>
        <v>-11017.367368187497</v>
      </c>
      <c r="AH147" s="468">
        <f t="shared" si="127"/>
        <v>-11017.367368187497</v>
      </c>
      <c r="AI147" s="468">
        <f t="shared" si="127"/>
        <v>-11017.367368187497</v>
      </c>
      <c r="AJ147" s="468">
        <f t="shared" si="127"/>
        <v>-11017.367368187497</v>
      </c>
      <c r="AK147" s="468">
        <f t="shared" si="127"/>
        <v>-11017.367368187497</v>
      </c>
      <c r="AL147" s="468">
        <f t="shared" si="127"/>
        <v>-11017.367368187497</v>
      </c>
      <c r="AM147" s="468">
        <f t="shared" si="127"/>
        <v>-11017.367368187497</v>
      </c>
      <c r="AN147" s="468">
        <f t="shared" si="127"/>
        <v>-11017.367368187497</v>
      </c>
      <c r="AO147" s="468">
        <f t="shared" si="127"/>
        <v>-11017.367368187497</v>
      </c>
      <c r="AP147" s="468">
        <f t="shared" si="127"/>
        <v>-11017.367368187497</v>
      </c>
      <c r="AQ147" s="468">
        <f t="shared" si="127"/>
        <v>-11729.029014233121</v>
      </c>
      <c r="AR147" s="468">
        <f t="shared" si="127"/>
        <v>-11729.029014233121</v>
      </c>
      <c r="AS147" s="468">
        <f t="shared" si="127"/>
        <v>-11729.029014233121</v>
      </c>
      <c r="AT147" s="468">
        <f t="shared" si="127"/>
        <v>-11729.029014233121</v>
      </c>
      <c r="AU147" s="468">
        <f t="shared" si="127"/>
        <v>-11729.029014233121</v>
      </c>
      <c r="AV147" s="468">
        <f t="shared" si="127"/>
        <v>-11729.029014233121</v>
      </c>
      <c r="AW147" s="468">
        <f t="shared" si="127"/>
        <v>-11729.029014233121</v>
      </c>
      <c r="AX147" s="468">
        <f t="shared" si="127"/>
        <v>-11729.029014233121</v>
      </c>
      <c r="AY147" s="468">
        <f t="shared" si="127"/>
        <v>-11729.029014233121</v>
      </c>
      <c r="AZ147" s="468">
        <f t="shared" si="127"/>
        <v>-11729.029014233121</v>
      </c>
      <c r="BA147" s="468">
        <f t="shared" si="127"/>
        <v>-11729.029014233121</v>
      </c>
      <c r="BB147" s="468">
        <f t="shared" si="127"/>
        <v>-11729.029014233121</v>
      </c>
      <c r="BC147" s="468">
        <f t="shared" si="127"/>
        <v>-6507.8585072451388</v>
      </c>
      <c r="BD147" s="468">
        <f t="shared" si="127"/>
        <v>-6507.8585072451388</v>
      </c>
      <c r="BE147" s="468">
        <f t="shared" si="127"/>
        <v>-6507.8585072451388</v>
      </c>
      <c r="BF147" s="468">
        <f t="shared" si="127"/>
        <v>-6507.8585072451388</v>
      </c>
      <c r="BG147" s="468">
        <f t="shared" si="127"/>
        <v>-6507.8585072451388</v>
      </c>
      <c r="BH147" s="468">
        <f t="shared" si="127"/>
        <v>-6507.8585072451388</v>
      </c>
      <c r="BI147" s="468">
        <f t="shared" si="127"/>
        <v>-6507.8585072451388</v>
      </c>
      <c r="BJ147" s="468">
        <f t="shared" si="127"/>
        <v>-6507.8585072451388</v>
      </c>
      <c r="BK147" s="468">
        <f t="shared" si="127"/>
        <v>-6507.8585072451388</v>
      </c>
      <c r="BL147" s="468">
        <f t="shared" si="127"/>
        <v>-6507.8585072451388</v>
      </c>
      <c r="BM147" s="468">
        <f t="shared" si="127"/>
        <v>-6507.8585072451388</v>
      </c>
      <c r="BN147" s="468">
        <f t="shared" si="127"/>
        <v>-1287486.8650543864</v>
      </c>
      <c r="BO147" s="468">
        <f t="shared" si="127"/>
        <v>0</v>
      </c>
      <c r="BP147" s="468">
        <f t="shared" si="127"/>
        <v>0</v>
      </c>
      <c r="BQ147" s="468">
        <f t="shared" si="127"/>
        <v>0</v>
      </c>
      <c r="BR147" s="468">
        <f t="shared" ref="BR147:DV147" si="128">BR138</f>
        <v>0</v>
      </c>
      <c r="BS147" s="468">
        <f t="shared" si="128"/>
        <v>0</v>
      </c>
      <c r="BT147" s="468">
        <f t="shared" si="128"/>
        <v>0</v>
      </c>
      <c r="BU147" s="468">
        <f t="shared" si="128"/>
        <v>0</v>
      </c>
      <c r="BV147" s="468">
        <f t="shared" si="128"/>
        <v>0</v>
      </c>
      <c r="BW147" s="468">
        <f t="shared" si="128"/>
        <v>0</v>
      </c>
      <c r="BX147" s="468">
        <f t="shared" si="128"/>
        <v>0</v>
      </c>
      <c r="BY147" s="468">
        <f t="shared" si="128"/>
        <v>0</v>
      </c>
      <c r="BZ147" s="468">
        <f t="shared" si="128"/>
        <v>0</v>
      </c>
      <c r="CA147" s="468">
        <f t="shared" si="128"/>
        <v>0</v>
      </c>
      <c r="CB147" s="468">
        <f t="shared" si="128"/>
        <v>0</v>
      </c>
      <c r="CC147" s="468">
        <f t="shared" si="128"/>
        <v>0</v>
      </c>
      <c r="CD147" s="468">
        <f t="shared" si="128"/>
        <v>0</v>
      </c>
      <c r="CE147" s="468">
        <f t="shared" si="128"/>
        <v>0</v>
      </c>
      <c r="CF147" s="468">
        <f t="shared" si="128"/>
        <v>0</v>
      </c>
      <c r="CG147" s="468">
        <f t="shared" si="128"/>
        <v>0</v>
      </c>
      <c r="CH147" s="468">
        <f t="shared" si="128"/>
        <v>0</v>
      </c>
      <c r="CI147" s="468">
        <f t="shared" si="128"/>
        <v>0</v>
      </c>
      <c r="CJ147" s="468">
        <f t="shared" si="128"/>
        <v>0</v>
      </c>
      <c r="CK147" s="468">
        <f t="shared" si="128"/>
        <v>0</v>
      </c>
      <c r="CL147" s="468">
        <f t="shared" si="128"/>
        <v>0</v>
      </c>
      <c r="CM147" s="468">
        <f t="shared" si="128"/>
        <v>0</v>
      </c>
      <c r="CN147" s="468">
        <f t="shared" si="128"/>
        <v>0</v>
      </c>
      <c r="CO147" s="468">
        <f t="shared" si="128"/>
        <v>0</v>
      </c>
      <c r="CP147" s="468">
        <f t="shared" si="128"/>
        <v>0</v>
      </c>
      <c r="CQ147" s="468">
        <f t="shared" si="128"/>
        <v>0</v>
      </c>
      <c r="CR147" s="468">
        <f t="shared" si="128"/>
        <v>0</v>
      </c>
      <c r="CS147" s="468">
        <f t="shared" si="128"/>
        <v>0</v>
      </c>
      <c r="CT147" s="468">
        <f t="shared" si="128"/>
        <v>0</v>
      </c>
      <c r="CU147" s="468">
        <f t="shared" si="128"/>
        <v>0</v>
      </c>
      <c r="CV147" s="468">
        <f t="shared" si="128"/>
        <v>0</v>
      </c>
      <c r="CW147" s="468">
        <f t="shared" si="128"/>
        <v>0</v>
      </c>
      <c r="CX147" s="468">
        <f t="shared" si="128"/>
        <v>0</v>
      </c>
      <c r="CY147" s="468">
        <f t="shared" si="128"/>
        <v>0</v>
      </c>
      <c r="CZ147" s="468">
        <f t="shared" si="128"/>
        <v>0</v>
      </c>
      <c r="DA147" s="468">
        <f t="shared" si="128"/>
        <v>0</v>
      </c>
      <c r="DB147" s="468">
        <f t="shared" si="128"/>
        <v>0</v>
      </c>
      <c r="DC147" s="468">
        <f t="shared" si="128"/>
        <v>0</v>
      </c>
      <c r="DD147" s="468">
        <f t="shared" si="128"/>
        <v>0</v>
      </c>
      <c r="DE147" s="468">
        <f t="shared" si="128"/>
        <v>0</v>
      </c>
      <c r="DF147" s="468">
        <f t="shared" si="128"/>
        <v>0</v>
      </c>
      <c r="DG147" s="468">
        <f t="shared" si="128"/>
        <v>0</v>
      </c>
      <c r="DH147" s="468">
        <f t="shared" si="128"/>
        <v>0</v>
      </c>
      <c r="DI147" s="468">
        <f t="shared" si="128"/>
        <v>0</v>
      </c>
      <c r="DJ147" s="468">
        <f t="shared" si="128"/>
        <v>0</v>
      </c>
      <c r="DK147" s="468">
        <f t="shared" si="128"/>
        <v>0</v>
      </c>
      <c r="DL147" s="468">
        <f t="shared" si="128"/>
        <v>0</v>
      </c>
      <c r="DM147" s="468">
        <f t="shared" si="128"/>
        <v>0</v>
      </c>
      <c r="DN147" s="468">
        <f t="shared" si="128"/>
        <v>0</v>
      </c>
      <c r="DO147" s="468">
        <f t="shared" si="128"/>
        <v>0</v>
      </c>
      <c r="DP147" s="468">
        <f t="shared" si="128"/>
        <v>0</v>
      </c>
      <c r="DQ147" s="468">
        <f t="shared" si="128"/>
        <v>0</v>
      </c>
      <c r="DR147" s="468">
        <f t="shared" si="128"/>
        <v>0</v>
      </c>
      <c r="DS147" s="468">
        <f t="shared" si="128"/>
        <v>0</v>
      </c>
      <c r="DT147" s="468">
        <f t="shared" si="128"/>
        <v>0</v>
      </c>
      <c r="DU147" s="468">
        <f t="shared" si="128"/>
        <v>0</v>
      </c>
      <c r="DV147" s="468">
        <f t="shared" si="128"/>
        <v>0</v>
      </c>
      <c r="DW147" s="322" t="s">
        <v>372</v>
      </c>
    </row>
    <row r="148" spans="3:127" hidden="1" outlineLevel="1" x14ac:dyDescent="0.3">
      <c r="C148" s="476" t="str">
        <f>TEXT(D146,"0.0x")&amp;" Accrual Distribution"</f>
        <v>1.7x Accrual Distribution</v>
      </c>
      <c r="D148" s="484"/>
      <c r="E148" s="463">
        <f>SUM(F148:BN148)</f>
        <v>831905.35942404706</v>
      </c>
      <c r="F148" s="468">
        <f t="shared" ref="F148:AK148" si="129">-MIN(SUM(F145:F147),-F160)</f>
        <v>0</v>
      </c>
      <c r="G148" s="468">
        <f t="shared" si="129"/>
        <v>0</v>
      </c>
      <c r="H148" s="468">
        <f t="shared" si="129"/>
        <v>0</v>
      </c>
      <c r="I148" s="468">
        <f t="shared" si="129"/>
        <v>0</v>
      </c>
      <c r="J148" s="468">
        <f t="shared" si="129"/>
        <v>0</v>
      </c>
      <c r="K148" s="468">
        <f t="shared" si="129"/>
        <v>0</v>
      </c>
      <c r="L148" s="468">
        <f t="shared" si="129"/>
        <v>0</v>
      </c>
      <c r="M148" s="468">
        <f t="shared" si="129"/>
        <v>0</v>
      </c>
      <c r="N148" s="468">
        <f t="shared" si="129"/>
        <v>0</v>
      </c>
      <c r="O148" s="468">
        <f t="shared" si="129"/>
        <v>0</v>
      </c>
      <c r="P148" s="468">
        <f t="shared" si="129"/>
        <v>0</v>
      </c>
      <c r="Q148" s="468">
        <f t="shared" si="129"/>
        <v>0</v>
      </c>
      <c r="R148" s="468">
        <f t="shared" si="129"/>
        <v>0</v>
      </c>
      <c r="S148" s="468">
        <f t="shared" si="129"/>
        <v>0</v>
      </c>
      <c r="T148" s="468">
        <f t="shared" si="129"/>
        <v>0</v>
      </c>
      <c r="U148" s="468">
        <f t="shared" si="129"/>
        <v>0</v>
      </c>
      <c r="V148" s="468">
        <f t="shared" si="129"/>
        <v>0</v>
      </c>
      <c r="W148" s="468">
        <f t="shared" si="129"/>
        <v>0</v>
      </c>
      <c r="X148" s="468">
        <f t="shared" si="129"/>
        <v>0</v>
      </c>
      <c r="Y148" s="468">
        <f t="shared" si="129"/>
        <v>0</v>
      </c>
      <c r="Z148" s="468">
        <f t="shared" si="129"/>
        <v>0</v>
      </c>
      <c r="AA148" s="468">
        <f t="shared" si="129"/>
        <v>0</v>
      </c>
      <c r="AB148" s="468">
        <f t="shared" si="129"/>
        <v>0</v>
      </c>
      <c r="AC148" s="468">
        <f t="shared" si="129"/>
        <v>0</v>
      </c>
      <c r="AD148" s="468">
        <f t="shared" si="129"/>
        <v>0</v>
      </c>
      <c r="AE148" s="468">
        <f t="shared" si="129"/>
        <v>0</v>
      </c>
      <c r="AF148" s="468">
        <f t="shared" si="129"/>
        <v>0</v>
      </c>
      <c r="AG148" s="468">
        <f t="shared" si="129"/>
        <v>0</v>
      </c>
      <c r="AH148" s="468">
        <f t="shared" si="129"/>
        <v>0</v>
      </c>
      <c r="AI148" s="468">
        <f t="shared" si="129"/>
        <v>0</v>
      </c>
      <c r="AJ148" s="468">
        <f t="shared" si="129"/>
        <v>0</v>
      </c>
      <c r="AK148" s="468">
        <f t="shared" si="129"/>
        <v>0</v>
      </c>
      <c r="AL148" s="468">
        <f t="shared" ref="AL148:CW148" si="130">-MIN(SUM(AL145:AL147),-AL160)</f>
        <v>0</v>
      </c>
      <c r="AM148" s="468">
        <f t="shared" si="130"/>
        <v>0</v>
      </c>
      <c r="AN148" s="468">
        <f t="shared" si="130"/>
        <v>0</v>
      </c>
      <c r="AO148" s="468">
        <f t="shared" si="130"/>
        <v>0</v>
      </c>
      <c r="AP148" s="468">
        <f t="shared" si="130"/>
        <v>0</v>
      </c>
      <c r="AQ148" s="468">
        <f t="shared" si="130"/>
        <v>0</v>
      </c>
      <c r="AR148" s="468">
        <f t="shared" si="130"/>
        <v>0</v>
      </c>
      <c r="AS148" s="468">
        <f t="shared" si="130"/>
        <v>0</v>
      </c>
      <c r="AT148" s="468">
        <f t="shared" si="130"/>
        <v>0</v>
      </c>
      <c r="AU148" s="468">
        <f t="shared" si="130"/>
        <v>0</v>
      </c>
      <c r="AV148" s="468">
        <f t="shared" si="130"/>
        <v>0</v>
      </c>
      <c r="AW148" s="468">
        <f t="shared" si="130"/>
        <v>0</v>
      </c>
      <c r="AX148" s="468">
        <f t="shared" si="130"/>
        <v>0</v>
      </c>
      <c r="AY148" s="468">
        <f t="shared" si="130"/>
        <v>0</v>
      </c>
      <c r="AZ148" s="468">
        <f t="shared" si="130"/>
        <v>0</v>
      </c>
      <c r="BA148" s="468">
        <f t="shared" si="130"/>
        <v>0</v>
      </c>
      <c r="BB148" s="468">
        <f t="shared" si="130"/>
        <v>0</v>
      </c>
      <c r="BC148" s="468">
        <f t="shared" si="130"/>
        <v>0</v>
      </c>
      <c r="BD148" s="468">
        <f t="shared" si="130"/>
        <v>0</v>
      </c>
      <c r="BE148" s="468">
        <f t="shared" si="130"/>
        <v>0</v>
      </c>
      <c r="BF148" s="468">
        <f t="shared" si="130"/>
        <v>0</v>
      </c>
      <c r="BG148" s="468">
        <f t="shared" si="130"/>
        <v>0</v>
      </c>
      <c r="BH148" s="468">
        <f t="shared" si="130"/>
        <v>0</v>
      </c>
      <c r="BI148" s="468">
        <f t="shared" si="130"/>
        <v>0</v>
      </c>
      <c r="BJ148" s="468">
        <f t="shared" si="130"/>
        <v>0</v>
      </c>
      <c r="BK148" s="468">
        <f t="shared" si="130"/>
        <v>0</v>
      </c>
      <c r="BL148" s="468">
        <f t="shared" si="130"/>
        <v>0</v>
      </c>
      <c r="BM148" s="468">
        <f t="shared" si="130"/>
        <v>0</v>
      </c>
      <c r="BN148" s="468">
        <f t="shared" si="130"/>
        <v>831905.35942404706</v>
      </c>
      <c r="BO148" s="468">
        <f t="shared" si="130"/>
        <v>0</v>
      </c>
      <c r="BP148" s="468">
        <f t="shared" si="130"/>
        <v>0</v>
      </c>
      <c r="BQ148" s="468">
        <f t="shared" si="130"/>
        <v>0</v>
      </c>
      <c r="BR148" s="468">
        <f t="shared" si="130"/>
        <v>0</v>
      </c>
      <c r="BS148" s="468">
        <f t="shared" si="130"/>
        <v>0</v>
      </c>
      <c r="BT148" s="468">
        <f t="shared" si="130"/>
        <v>0</v>
      </c>
      <c r="BU148" s="468">
        <f t="shared" si="130"/>
        <v>0</v>
      </c>
      <c r="BV148" s="468">
        <f t="shared" si="130"/>
        <v>0</v>
      </c>
      <c r="BW148" s="468">
        <f t="shared" si="130"/>
        <v>0</v>
      </c>
      <c r="BX148" s="468">
        <f t="shared" si="130"/>
        <v>0</v>
      </c>
      <c r="BY148" s="468">
        <f t="shared" si="130"/>
        <v>0</v>
      </c>
      <c r="BZ148" s="468">
        <f t="shared" si="130"/>
        <v>0</v>
      </c>
      <c r="CA148" s="468">
        <f t="shared" si="130"/>
        <v>0</v>
      </c>
      <c r="CB148" s="468">
        <f t="shared" si="130"/>
        <v>0</v>
      </c>
      <c r="CC148" s="468">
        <f t="shared" si="130"/>
        <v>0</v>
      </c>
      <c r="CD148" s="468">
        <f t="shared" si="130"/>
        <v>0</v>
      </c>
      <c r="CE148" s="468">
        <f t="shared" si="130"/>
        <v>0</v>
      </c>
      <c r="CF148" s="468">
        <f t="shared" si="130"/>
        <v>0</v>
      </c>
      <c r="CG148" s="468">
        <f t="shared" si="130"/>
        <v>0</v>
      </c>
      <c r="CH148" s="468">
        <f t="shared" si="130"/>
        <v>0</v>
      </c>
      <c r="CI148" s="468">
        <f t="shared" si="130"/>
        <v>0</v>
      </c>
      <c r="CJ148" s="468">
        <f t="shared" si="130"/>
        <v>0</v>
      </c>
      <c r="CK148" s="468">
        <f t="shared" si="130"/>
        <v>0</v>
      </c>
      <c r="CL148" s="468">
        <f t="shared" si="130"/>
        <v>0</v>
      </c>
      <c r="CM148" s="468">
        <f t="shared" si="130"/>
        <v>0</v>
      </c>
      <c r="CN148" s="468">
        <f t="shared" si="130"/>
        <v>0</v>
      </c>
      <c r="CO148" s="468">
        <f t="shared" si="130"/>
        <v>0</v>
      </c>
      <c r="CP148" s="468">
        <f t="shared" si="130"/>
        <v>0</v>
      </c>
      <c r="CQ148" s="468">
        <f t="shared" si="130"/>
        <v>0</v>
      </c>
      <c r="CR148" s="468">
        <f t="shared" si="130"/>
        <v>0</v>
      </c>
      <c r="CS148" s="468">
        <f t="shared" si="130"/>
        <v>0</v>
      </c>
      <c r="CT148" s="468">
        <f t="shared" si="130"/>
        <v>0</v>
      </c>
      <c r="CU148" s="468">
        <f t="shared" si="130"/>
        <v>0</v>
      </c>
      <c r="CV148" s="468">
        <f t="shared" si="130"/>
        <v>0</v>
      </c>
      <c r="CW148" s="468">
        <f t="shared" si="130"/>
        <v>0</v>
      </c>
      <c r="CX148" s="468">
        <f t="shared" ref="CX148:DV148" si="131">-MIN(SUM(CX145:CX147),-CX160)</f>
        <v>0</v>
      </c>
      <c r="CY148" s="468">
        <f t="shared" si="131"/>
        <v>0</v>
      </c>
      <c r="CZ148" s="468">
        <f t="shared" si="131"/>
        <v>0</v>
      </c>
      <c r="DA148" s="468">
        <f t="shared" si="131"/>
        <v>0</v>
      </c>
      <c r="DB148" s="468">
        <f t="shared" si="131"/>
        <v>0</v>
      </c>
      <c r="DC148" s="468">
        <f t="shared" si="131"/>
        <v>0</v>
      </c>
      <c r="DD148" s="468">
        <f t="shared" si="131"/>
        <v>0</v>
      </c>
      <c r="DE148" s="468">
        <f t="shared" si="131"/>
        <v>0</v>
      </c>
      <c r="DF148" s="468">
        <f t="shared" si="131"/>
        <v>0</v>
      </c>
      <c r="DG148" s="468">
        <f t="shared" si="131"/>
        <v>0</v>
      </c>
      <c r="DH148" s="468">
        <f t="shared" si="131"/>
        <v>0</v>
      </c>
      <c r="DI148" s="468">
        <f t="shared" si="131"/>
        <v>0</v>
      </c>
      <c r="DJ148" s="468">
        <f t="shared" si="131"/>
        <v>0</v>
      </c>
      <c r="DK148" s="468">
        <f t="shared" si="131"/>
        <v>0</v>
      </c>
      <c r="DL148" s="468">
        <f t="shared" si="131"/>
        <v>0</v>
      </c>
      <c r="DM148" s="468">
        <f t="shared" si="131"/>
        <v>0</v>
      </c>
      <c r="DN148" s="468">
        <f t="shared" si="131"/>
        <v>0</v>
      </c>
      <c r="DO148" s="468">
        <f t="shared" si="131"/>
        <v>0</v>
      </c>
      <c r="DP148" s="468">
        <f t="shared" si="131"/>
        <v>0</v>
      </c>
      <c r="DQ148" s="468">
        <f t="shared" si="131"/>
        <v>0</v>
      </c>
      <c r="DR148" s="468">
        <f t="shared" si="131"/>
        <v>0</v>
      </c>
      <c r="DS148" s="468">
        <f t="shared" si="131"/>
        <v>0</v>
      </c>
      <c r="DT148" s="468">
        <f t="shared" si="131"/>
        <v>0</v>
      </c>
      <c r="DU148" s="468">
        <f t="shared" si="131"/>
        <v>0</v>
      </c>
      <c r="DV148" s="468">
        <f t="shared" si="131"/>
        <v>0</v>
      </c>
      <c r="DW148" s="322" t="s">
        <v>372</v>
      </c>
    </row>
    <row r="149" spans="3:127" ht="17.25" hidden="1" outlineLevel="1" thickBot="1" x14ac:dyDescent="0.35">
      <c r="C149" s="365" t="s">
        <v>352</v>
      </c>
      <c r="D149" s="470"/>
      <c r="E149" s="414">
        <v>0</v>
      </c>
      <c r="F149" s="414">
        <f t="shared" ref="F149:AK149" si="132">SUM(F145:F148)</f>
        <v>2324325</v>
      </c>
      <c r="G149" s="414">
        <f t="shared" si="132"/>
        <v>2314669.3756249999</v>
      </c>
      <c r="H149" s="414">
        <f t="shared" si="132"/>
        <v>2305013.7512499997</v>
      </c>
      <c r="I149" s="414">
        <f t="shared" si="132"/>
        <v>2295358.1268749996</v>
      </c>
      <c r="J149" s="414">
        <f t="shared" si="132"/>
        <v>2285702.5024999995</v>
      </c>
      <c r="K149" s="414">
        <f t="shared" si="132"/>
        <v>2276046.8781249993</v>
      </c>
      <c r="L149" s="414">
        <f t="shared" si="132"/>
        <v>2266391.2537499992</v>
      </c>
      <c r="M149" s="414">
        <f t="shared" si="132"/>
        <v>2256735.6293749991</v>
      </c>
      <c r="N149" s="414">
        <f t="shared" si="132"/>
        <v>2247080.004999999</v>
      </c>
      <c r="O149" s="414">
        <f t="shared" si="132"/>
        <v>2237424.3806249988</v>
      </c>
      <c r="P149" s="414">
        <f t="shared" si="132"/>
        <v>2227768.7562499987</v>
      </c>
      <c r="Q149" s="414">
        <f t="shared" si="132"/>
        <v>2218113.1318749986</v>
      </c>
      <c r="R149" s="414">
        <f t="shared" si="132"/>
        <v>2208457.5074999984</v>
      </c>
      <c r="S149" s="414">
        <f t="shared" si="132"/>
        <v>2198131.0737687484</v>
      </c>
      <c r="T149" s="414">
        <f t="shared" si="132"/>
        <v>2187804.6400374984</v>
      </c>
      <c r="U149" s="414">
        <f t="shared" si="132"/>
        <v>2177478.2063062484</v>
      </c>
      <c r="V149" s="414">
        <f t="shared" si="132"/>
        <v>2167151.7725749984</v>
      </c>
      <c r="W149" s="414">
        <f t="shared" si="132"/>
        <v>2156825.3388437484</v>
      </c>
      <c r="X149" s="414">
        <f t="shared" si="132"/>
        <v>2146498.9051124984</v>
      </c>
      <c r="Y149" s="414">
        <f t="shared" si="132"/>
        <v>2136172.4713812484</v>
      </c>
      <c r="Z149" s="414">
        <f t="shared" si="132"/>
        <v>2125846.0376499984</v>
      </c>
      <c r="AA149" s="414">
        <f t="shared" si="132"/>
        <v>2115519.6039187484</v>
      </c>
      <c r="AB149" s="414">
        <f t="shared" si="132"/>
        <v>2105193.1701874984</v>
      </c>
      <c r="AC149" s="414">
        <f t="shared" si="132"/>
        <v>2094866.7364562484</v>
      </c>
      <c r="AD149" s="414">
        <f t="shared" si="132"/>
        <v>2084540.3027249984</v>
      </c>
      <c r="AE149" s="414">
        <f t="shared" si="132"/>
        <v>2073522.9353568109</v>
      </c>
      <c r="AF149" s="414">
        <f t="shared" si="132"/>
        <v>2062505.5679886234</v>
      </c>
      <c r="AG149" s="414">
        <f t="shared" si="132"/>
        <v>2051488.2006204359</v>
      </c>
      <c r="AH149" s="414">
        <f t="shared" si="132"/>
        <v>2040470.8332522484</v>
      </c>
      <c r="AI149" s="414">
        <f t="shared" si="132"/>
        <v>2029453.4658840608</v>
      </c>
      <c r="AJ149" s="414">
        <f t="shared" si="132"/>
        <v>2018436.0985158733</v>
      </c>
      <c r="AK149" s="414">
        <f t="shared" si="132"/>
        <v>2007418.7311476858</v>
      </c>
      <c r="AL149" s="414">
        <f t="shared" ref="AL149:CW149" si="133">SUM(AL145:AL148)</f>
        <v>1996401.3637794983</v>
      </c>
      <c r="AM149" s="414">
        <f t="shared" si="133"/>
        <v>1985383.9964113107</v>
      </c>
      <c r="AN149" s="414">
        <f t="shared" si="133"/>
        <v>1974366.6290431232</v>
      </c>
      <c r="AO149" s="414">
        <f t="shared" si="133"/>
        <v>1963349.2616749357</v>
      </c>
      <c r="AP149" s="414">
        <f t="shared" si="133"/>
        <v>1952331.8943067482</v>
      </c>
      <c r="AQ149" s="414">
        <f t="shared" si="133"/>
        <v>1940602.8652925151</v>
      </c>
      <c r="AR149" s="414">
        <f t="shared" si="133"/>
        <v>1928873.8362782821</v>
      </c>
      <c r="AS149" s="414">
        <f t="shared" si="133"/>
        <v>1917144.8072640491</v>
      </c>
      <c r="AT149" s="414">
        <f t="shared" si="133"/>
        <v>1905415.778249816</v>
      </c>
      <c r="AU149" s="414">
        <f t="shared" si="133"/>
        <v>1893686.749235583</v>
      </c>
      <c r="AV149" s="414">
        <f t="shared" si="133"/>
        <v>1881957.72022135</v>
      </c>
      <c r="AW149" s="414">
        <f t="shared" si="133"/>
        <v>1870228.6912071169</v>
      </c>
      <c r="AX149" s="414">
        <f t="shared" si="133"/>
        <v>1858499.6621928839</v>
      </c>
      <c r="AY149" s="414">
        <f t="shared" si="133"/>
        <v>1846770.6331786509</v>
      </c>
      <c r="AZ149" s="414">
        <f t="shared" si="133"/>
        <v>1835041.6041644178</v>
      </c>
      <c r="BA149" s="414">
        <f t="shared" si="133"/>
        <v>1823312.5751501848</v>
      </c>
      <c r="BB149" s="414">
        <f t="shared" si="133"/>
        <v>1811583.5461359518</v>
      </c>
      <c r="BC149" s="414">
        <f t="shared" si="133"/>
        <v>1805075.6876287067</v>
      </c>
      <c r="BD149" s="414">
        <f t="shared" si="133"/>
        <v>1798567.8291214616</v>
      </c>
      <c r="BE149" s="414">
        <f t="shared" si="133"/>
        <v>1792059.9706142165</v>
      </c>
      <c r="BF149" s="414">
        <f t="shared" si="133"/>
        <v>1785552.1121069714</v>
      </c>
      <c r="BG149" s="414">
        <f t="shared" si="133"/>
        <v>1779044.2535997264</v>
      </c>
      <c r="BH149" s="414">
        <f t="shared" si="133"/>
        <v>1772536.3950924813</v>
      </c>
      <c r="BI149" s="414">
        <f t="shared" si="133"/>
        <v>1766028.5365852362</v>
      </c>
      <c r="BJ149" s="414">
        <f t="shared" si="133"/>
        <v>1759520.6780779911</v>
      </c>
      <c r="BK149" s="414">
        <f t="shared" si="133"/>
        <v>1753012.819570746</v>
      </c>
      <c r="BL149" s="414">
        <f t="shared" si="133"/>
        <v>1746504.961063501</v>
      </c>
      <c r="BM149" s="414">
        <f t="shared" si="133"/>
        <v>1739997.1025562559</v>
      </c>
      <c r="BN149" s="414">
        <f t="shared" si="133"/>
        <v>1284415.5969259166</v>
      </c>
      <c r="BO149" s="414">
        <f t="shared" si="133"/>
        <v>1284415.5969259166</v>
      </c>
      <c r="BP149" s="414">
        <f t="shared" si="133"/>
        <v>1284415.5969259166</v>
      </c>
      <c r="BQ149" s="414">
        <f t="shared" si="133"/>
        <v>1284415.5969259166</v>
      </c>
      <c r="BR149" s="414">
        <f t="shared" si="133"/>
        <v>1284415.5969259166</v>
      </c>
      <c r="BS149" s="414">
        <f t="shared" si="133"/>
        <v>1284415.5969259166</v>
      </c>
      <c r="BT149" s="414">
        <f t="shared" si="133"/>
        <v>1284415.5969259166</v>
      </c>
      <c r="BU149" s="414">
        <f t="shared" si="133"/>
        <v>1284415.5969259166</v>
      </c>
      <c r="BV149" s="414">
        <f t="shared" si="133"/>
        <v>1284415.5969259166</v>
      </c>
      <c r="BW149" s="414">
        <f t="shared" si="133"/>
        <v>1284415.5969259166</v>
      </c>
      <c r="BX149" s="414">
        <f t="shared" si="133"/>
        <v>1284415.5969259166</v>
      </c>
      <c r="BY149" s="414">
        <f t="shared" si="133"/>
        <v>1284415.5969259166</v>
      </c>
      <c r="BZ149" s="414">
        <f t="shared" si="133"/>
        <v>1284415.5969259166</v>
      </c>
      <c r="CA149" s="414">
        <f t="shared" si="133"/>
        <v>1284415.5969259166</v>
      </c>
      <c r="CB149" s="414">
        <f t="shared" si="133"/>
        <v>1284415.5969259166</v>
      </c>
      <c r="CC149" s="414">
        <f t="shared" si="133"/>
        <v>1284415.5969259166</v>
      </c>
      <c r="CD149" s="414">
        <f t="shared" si="133"/>
        <v>1284415.5969259166</v>
      </c>
      <c r="CE149" s="414">
        <f t="shared" si="133"/>
        <v>1284415.5969259166</v>
      </c>
      <c r="CF149" s="414">
        <f t="shared" si="133"/>
        <v>1284415.5969259166</v>
      </c>
      <c r="CG149" s="414">
        <f t="shared" si="133"/>
        <v>1284415.5969259166</v>
      </c>
      <c r="CH149" s="414">
        <f t="shared" si="133"/>
        <v>1284415.5969259166</v>
      </c>
      <c r="CI149" s="414">
        <f t="shared" si="133"/>
        <v>1284415.5969259166</v>
      </c>
      <c r="CJ149" s="414">
        <f t="shared" si="133"/>
        <v>1284415.5969259166</v>
      </c>
      <c r="CK149" s="414">
        <f t="shared" si="133"/>
        <v>1284415.5969259166</v>
      </c>
      <c r="CL149" s="414">
        <f t="shared" si="133"/>
        <v>1284415.5969259166</v>
      </c>
      <c r="CM149" s="414">
        <f t="shared" si="133"/>
        <v>1284415.5969259166</v>
      </c>
      <c r="CN149" s="414">
        <f t="shared" si="133"/>
        <v>1284415.5969259166</v>
      </c>
      <c r="CO149" s="414">
        <f t="shared" si="133"/>
        <v>1284415.5969259166</v>
      </c>
      <c r="CP149" s="414">
        <f t="shared" si="133"/>
        <v>1284415.5969259166</v>
      </c>
      <c r="CQ149" s="414">
        <f t="shared" si="133"/>
        <v>1284415.5969259166</v>
      </c>
      <c r="CR149" s="414">
        <f t="shared" si="133"/>
        <v>1284415.5969259166</v>
      </c>
      <c r="CS149" s="414">
        <f t="shared" si="133"/>
        <v>1284415.5969259166</v>
      </c>
      <c r="CT149" s="414">
        <f t="shared" si="133"/>
        <v>1284415.5969259166</v>
      </c>
      <c r="CU149" s="414">
        <f t="shared" si="133"/>
        <v>1284415.5969259166</v>
      </c>
      <c r="CV149" s="414">
        <f t="shared" si="133"/>
        <v>1284415.5969259166</v>
      </c>
      <c r="CW149" s="414">
        <f t="shared" si="133"/>
        <v>1284415.5969259166</v>
      </c>
      <c r="CX149" s="414">
        <f t="shared" ref="CX149:DV149" si="134">SUM(CX145:CX148)</f>
        <v>1284415.5969259166</v>
      </c>
      <c r="CY149" s="414">
        <f t="shared" si="134"/>
        <v>1284415.5969259166</v>
      </c>
      <c r="CZ149" s="414">
        <f t="shared" si="134"/>
        <v>1284415.5969259166</v>
      </c>
      <c r="DA149" s="414">
        <f t="shared" si="134"/>
        <v>1284415.5969259166</v>
      </c>
      <c r="DB149" s="414">
        <f t="shared" si="134"/>
        <v>1284415.5969259166</v>
      </c>
      <c r="DC149" s="414">
        <f t="shared" si="134"/>
        <v>1284415.5969259166</v>
      </c>
      <c r="DD149" s="414">
        <f t="shared" si="134"/>
        <v>1284415.5969259166</v>
      </c>
      <c r="DE149" s="414">
        <f t="shared" si="134"/>
        <v>1284415.5969259166</v>
      </c>
      <c r="DF149" s="414">
        <f t="shared" si="134"/>
        <v>1284415.5969259166</v>
      </c>
      <c r="DG149" s="414">
        <f t="shared" si="134"/>
        <v>1284415.5969259166</v>
      </c>
      <c r="DH149" s="414">
        <f t="shared" si="134"/>
        <v>1284415.5969259166</v>
      </c>
      <c r="DI149" s="414">
        <f t="shared" si="134"/>
        <v>1284415.5969259166</v>
      </c>
      <c r="DJ149" s="414">
        <f t="shared" si="134"/>
        <v>1284415.5969259166</v>
      </c>
      <c r="DK149" s="414">
        <f t="shared" si="134"/>
        <v>1284415.5969259166</v>
      </c>
      <c r="DL149" s="414">
        <f t="shared" si="134"/>
        <v>1284415.5969259166</v>
      </c>
      <c r="DM149" s="414">
        <f t="shared" si="134"/>
        <v>1284415.5969259166</v>
      </c>
      <c r="DN149" s="414">
        <f t="shared" si="134"/>
        <v>1284415.5969259166</v>
      </c>
      <c r="DO149" s="414">
        <f t="shared" si="134"/>
        <v>1284415.5969259166</v>
      </c>
      <c r="DP149" s="414">
        <f t="shared" si="134"/>
        <v>1284415.5969259166</v>
      </c>
      <c r="DQ149" s="414">
        <f t="shared" si="134"/>
        <v>1284415.5969259166</v>
      </c>
      <c r="DR149" s="414">
        <f t="shared" si="134"/>
        <v>1284415.5969259166</v>
      </c>
      <c r="DS149" s="414">
        <f t="shared" si="134"/>
        <v>1284415.5969259166</v>
      </c>
      <c r="DT149" s="414">
        <f t="shared" si="134"/>
        <v>1284415.5969259166</v>
      </c>
      <c r="DU149" s="414">
        <f t="shared" si="134"/>
        <v>1284415.5969259166</v>
      </c>
      <c r="DV149" s="414">
        <f t="shared" si="134"/>
        <v>1284415.5969259166</v>
      </c>
      <c r="DW149" s="322" t="s">
        <v>372</v>
      </c>
    </row>
    <row r="150" spans="3:127" ht="17.25" hidden="1" outlineLevel="1" thickTop="1" x14ac:dyDescent="0.3">
      <c r="C150" s="365"/>
      <c r="D150" s="470"/>
      <c r="E150" s="408"/>
      <c r="F150" s="408"/>
      <c r="G150" s="408"/>
      <c r="H150" s="408"/>
      <c r="I150" s="408"/>
      <c r="J150" s="408"/>
      <c r="K150" s="408"/>
      <c r="L150" s="408"/>
      <c r="M150" s="408"/>
      <c r="N150" s="408"/>
      <c r="O150" s="408"/>
      <c r="P150" s="408"/>
      <c r="Q150" s="408"/>
      <c r="R150" s="408"/>
      <c r="S150" s="408"/>
      <c r="T150" s="408"/>
      <c r="U150" s="408"/>
      <c r="V150" s="408"/>
      <c r="W150" s="408"/>
      <c r="X150" s="408"/>
      <c r="Y150" s="408"/>
      <c r="Z150" s="408"/>
      <c r="AA150" s="408"/>
      <c r="AB150" s="408"/>
      <c r="AC150" s="408"/>
      <c r="AD150" s="408"/>
      <c r="AE150" s="408"/>
      <c r="AF150" s="408"/>
      <c r="AG150" s="408"/>
      <c r="AH150" s="408"/>
      <c r="AI150" s="408"/>
      <c r="AJ150" s="408"/>
      <c r="AK150" s="408"/>
      <c r="AL150" s="408"/>
      <c r="AM150" s="374"/>
      <c r="AN150" s="374"/>
      <c r="AO150" s="374"/>
      <c r="AP150" s="472"/>
      <c r="AQ150" s="472"/>
      <c r="AR150" s="472"/>
      <c r="AS150" s="472"/>
      <c r="AT150" s="472"/>
      <c r="AU150" s="472"/>
      <c r="AV150" s="473"/>
      <c r="AW150" s="360"/>
      <c r="AX150" s="360"/>
      <c r="AY150" s="360"/>
      <c r="AZ150" s="360"/>
      <c r="BA150" s="360"/>
      <c r="BB150" s="360"/>
      <c r="BC150" s="360"/>
      <c r="BD150" s="360"/>
      <c r="BE150" s="360"/>
      <c r="BF150" s="360"/>
      <c r="BG150" s="360"/>
      <c r="BH150" s="360"/>
      <c r="BI150" s="360"/>
      <c r="BJ150" s="360"/>
      <c r="BK150" s="360"/>
      <c r="BL150" s="360"/>
      <c r="BM150" s="360"/>
      <c r="BN150" s="360"/>
      <c r="BO150" s="360"/>
      <c r="BP150" s="360"/>
      <c r="BQ150" s="360"/>
      <c r="BR150" s="360"/>
      <c r="BS150" s="360"/>
      <c r="BT150" s="360"/>
      <c r="BU150" s="360"/>
      <c r="BV150" s="360"/>
      <c r="BW150" s="360"/>
      <c r="BX150" s="360"/>
      <c r="BY150" s="360"/>
      <c r="BZ150" s="360"/>
      <c r="CA150" s="360"/>
      <c r="CB150" s="360"/>
      <c r="CC150" s="360"/>
      <c r="CD150" s="360"/>
      <c r="CE150" s="360"/>
      <c r="CF150" s="360"/>
      <c r="CG150" s="360"/>
      <c r="CH150" s="360"/>
      <c r="CI150" s="360"/>
      <c r="CJ150" s="360"/>
      <c r="CK150" s="360"/>
      <c r="CL150" s="360"/>
      <c r="CM150" s="360"/>
      <c r="CN150" s="360"/>
      <c r="CO150" s="360"/>
      <c r="CP150" s="360"/>
      <c r="CQ150" s="360"/>
      <c r="CR150" s="360"/>
      <c r="CS150" s="360"/>
      <c r="CT150" s="360"/>
      <c r="CU150" s="360"/>
      <c r="CV150" s="360"/>
      <c r="CW150" s="360"/>
      <c r="CX150" s="360"/>
      <c r="CY150" s="360"/>
      <c r="CZ150" s="360"/>
      <c r="DA150" s="360"/>
      <c r="DB150" s="360"/>
      <c r="DC150" s="360"/>
      <c r="DD150" s="360"/>
      <c r="DE150" s="360"/>
      <c r="DF150" s="360"/>
      <c r="DG150" s="360"/>
      <c r="DH150" s="360"/>
      <c r="DI150" s="360"/>
      <c r="DJ150" s="360"/>
      <c r="DK150" s="360"/>
      <c r="DL150" s="360"/>
      <c r="DM150" s="360"/>
      <c r="DN150" s="360"/>
      <c r="DO150" s="360"/>
      <c r="DP150" s="360"/>
      <c r="DQ150" s="360"/>
      <c r="DR150" s="360"/>
      <c r="DS150" s="360"/>
      <c r="DT150" s="360"/>
      <c r="DU150" s="360"/>
      <c r="DV150" s="360"/>
      <c r="DW150" s="322" t="s">
        <v>372</v>
      </c>
    </row>
    <row r="151" spans="3:127" hidden="1" outlineLevel="1" x14ac:dyDescent="0.3">
      <c r="C151" s="479" t="s">
        <v>404</v>
      </c>
      <c r="D151" s="480"/>
      <c r="E151" s="481"/>
      <c r="F151" s="481"/>
      <c r="G151" s="481"/>
      <c r="H151" s="481"/>
      <c r="I151" s="481"/>
      <c r="J151" s="481"/>
      <c r="K151" s="481"/>
      <c r="L151" s="481"/>
      <c r="M151" s="481"/>
      <c r="N151" s="481"/>
      <c r="O151" s="481"/>
      <c r="P151" s="481"/>
      <c r="Q151" s="481"/>
      <c r="R151" s="481"/>
      <c r="S151" s="481"/>
      <c r="T151" s="481"/>
      <c r="U151" s="481"/>
      <c r="V151" s="481"/>
      <c r="W151" s="481"/>
      <c r="X151" s="481"/>
      <c r="Y151" s="481"/>
      <c r="Z151" s="481"/>
      <c r="AA151" s="481"/>
      <c r="AB151" s="481"/>
      <c r="AC151" s="481"/>
      <c r="AD151" s="481"/>
      <c r="AE151" s="481"/>
      <c r="AF151" s="481"/>
      <c r="AG151" s="481"/>
      <c r="AH151" s="481"/>
      <c r="AI151" s="481"/>
      <c r="AJ151" s="481"/>
      <c r="AK151" s="481"/>
      <c r="AL151" s="481"/>
      <c r="AM151" s="481"/>
      <c r="AN151" s="481"/>
      <c r="AO151" s="481"/>
      <c r="AP151" s="481"/>
      <c r="AQ151" s="481"/>
      <c r="AR151" s="481"/>
      <c r="AS151" s="481"/>
      <c r="AT151" s="481"/>
      <c r="AU151" s="481"/>
      <c r="AV151" s="481"/>
      <c r="AW151" s="481"/>
      <c r="AX151" s="481"/>
      <c r="AY151" s="481"/>
      <c r="AZ151" s="481"/>
      <c r="BA151" s="481"/>
      <c r="BB151" s="481"/>
      <c r="BC151" s="481"/>
      <c r="BD151" s="481"/>
      <c r="BE151" s="481"/>
      <c r="BF151" s="481"/>
      <c r="BG151" s="481"/>
      <c r="BH151" s="481"/>
      <c r="BI151" s="481"/>
      <c r="BJ151" s="481"/>
      <c r="BK151" s="481"/>
      <c r="BL151" s="481"/>
      <c r="BM151" s="481"/>
      <c r="BN151" s="481"/>
      <c r="BO151" s="481"/>
      <c r="BP151" s="481"/>
      <c r="BQ151" s="481"/>
      <c r="BR151" s="481"/>
      <c r="BS151" s="481"/>
      <c r="BT151" s="481"/>
      <c r="BU151" s="481"/>
      <c r="BV151" s="481"/>
      <c r="BW151" s="481"/>
      <c r="BX151" s="481"/>
      <c r="BY151" s="481"/>
      <c r="BZ151" s="481"/>
      <c r="CA151" s="481"/>
      <c r="CB151" s="481"/>
      <c r="CC151" s="481"/>
      <c r="CD151" s="481"/>
      <c r="CE151" s="481"/>
      <c r="CF151" s="481"/>
      <c r="CG151" s="481"/>
      <c r="CH151" s="481"/>
      <c r="CI151" s="481"/>
      <c r="CJ151" s="481"/>
      <c r="CK151" s="481"/>
      <c r="CL151" s="481"/>
      <c r="CM151" s="481"/>
      <c r="CN151" s="481"/>
      <c r="CO151" s="481"/>
      <c r="CP151" s="481"/>
      <c r="CQ151" s="481"/>
      <c r="CR151" s="481"/>
      <c r="CS151" s="481"/>
      <c r="CT151" s="481"/>
      <c r="CU151" s="481"/>
      <c r="CV151" s="481"/>
      <c r="CW151" s="481"/>
      <c r="CX151" s="481"/>
      <c r="CY151" s="481"/>
      <c r="CZ151" s="481"/>
      <c r="DA151" s="481"/>
      <c r="DB151" s="481"/>
      <c r="DC151" s="481"/>
      <c r="DD151" s="481"/>
      <c r="DE151" s="481"/>
      <c r="DF151" s="481"/>
      <c r="DG151" s="481"/>
      <c r="DH151" s="481"/>
      <c r="DI151" s="481"/>
      <c r="DJ151" s="481"/>
      <c r="DK151" s="481"/>
      <c r="DL151" s="481"/>
      <c r="DM151" s="481"/>
      <c r="DN151" s="481"/>
      <c r="DO151" s="481"/>
      <c r="DP151" s="481"/>
      <c r="DQ151" s="481"/>
      <c r="DR151" s="481"/>
      <c r="DS151" s="481"/>
      <c r="DT151" s="481"/>
      <c r="DU151" s="481"/>
      <c r="DV151" s="481"/>
      <c r="DW151" s="322" t="s">
        <v>372</v>
      </c>
    </row>
    <row r="152" spans="3:127" hidden="1" outlineLevel="1" x14ac:dyDescent="0.3">
      <c r="C152" s="479" t="str">
        <f>"IRR and Equity Multiple Test for "&amp;C86</f>
        <v>IRR and Equity Multiple Test for LP</v>
      </c>
      <c r="D152" s="480"/>
      <c r="E152" s="481"/>
      <c r="F152" s="481">
        <f t="shared" ref="F152:AK152" si="135">MAX(SUM(F135:F138),SUM(F145:F147))</f>
        <v>2324325</v>
      </c>
      <c r="G152" s="481">
        <f t="shared" si="135"/>
        <v>2314669.3756249999</v>
      </c>
      <c r="H152" s="481">
        <f t="shared" si="135"/>
        <v>2305013.7512499997</v>
      </c>
      <c r="I152" s="481">
        <f t="shared" si="135"/>
        <v>2295358.1268749996</v>
      </c>
      <c r="J152" s="481">
        <f t="shared" si="135"/>
        <v>2285702.5024999995</v>
      </c>
      <c r="K152" s="481">
        <f t="shared" si="135"/>
        <v>2276046.8781249993</v>
      </c>
      <c r="L152" s="481">
        <f t="shared" si="135"/>
        <v>2266391.2537499992</v>
      </c>
      <c r="M152" s="481">
        <f t="shared" si="135"/>
        <v>2256735.6293749991</v>
      </c>
      <c r="N152" s="481">
        <f t="shared" si="135"/>
        <v>2247080.004999999</v>
      </c>
      <c r="O152" s="481">
        <f t="shared" si="135"/>
        <v>2237424.3806249988</v>
      </c>
      <c r="P152" s="481">
        <f t="shared" si="135"/>
        <v>2227768.7562499987</v>
      </c>
      <c r="Q152" s="481">
        <f t="shared" si="135"/>
        <v>2218113.1318749986</v>
      </c>
      <c r="R152" s="481">
        <f t="shared" si="135"/>
        <v>2208457.5074999984</v>
      </c>
      <c r="S152" s="481">
        <f t="shared" si="135"/>
        <v>2198131.0737687484</v>
      </c>
      <c r="T152" s="481">
        <f t="shared" si="135"/>
        <v>2187804.6400374984</v>
      </c>
      <c r="U152" s="481">
        <f t="shared" si="135"/>
        <v>2177478.2063062484</v>
      </c>
      <c r="V152" s="481">
        <f t="shared" si="135"/>
        <v>2167151.7725749984</v>
      </c>
      <c r="W152" s="481">
        <f t="shared" si="135"/>
        <v>2156825.3388437484</v>
      </c>
      <c r="X152" s="481">
        <f t="shared" si="135"/>
        <v>2146498.9051124984</v>
      </c>
      <c r="Y152" s="481">
        <f t="shared" si="135"/>
        <v>2136172.4713812484</v>
      </c>
      <c r="Z152" s="481">
        <f t="shared" si="135"/>
        <v>2125846.0376499984</v>
      </c>
      <c r="AA152" s="481">
        <f t="shared" si="135"/>
        <v>2115519.6039187484</v>
      </c>
      <c r="AB152" s="481">
        <f t="shared" si="135"/>
        <v>2105193.1701874984</v>
      </c>
      <c r="AC152" s="481">
        <f t="shared" si="135"/>
        <v>2094866.7364562484</v>
      </c>
      <c r="AD152" s="481">
        <f t="shared" si="135"/>
        <v>2084540.3027249984</v>
      </c>
      <c r="AE152" s="481">
        <f t="shared" si="135"/>
        <v>2073522.9353568109</v>
      </c>
      <c r="AF152" s="481">
        <f t="shared" si="135"/>
        <v>2062505.5679886234</v>
      </c>
      <c r="AG152" s="481">
        <f t="shared" si="135"/>
        <v>2051488.2006204359</v>
      </c>
      <c r="AH152" s="481">
        <f t="shared" si="135"/>
        <v>2040470.8332522484</v>
      </c>
      <c r="AI152" s="481">
        <f t="shared" si="135"/>
        <v>2029453.4658840608</v>
      </c>
      <c r="AJ152" s="481">
        <f t="shared" si="135"/>
        <v>2018436.0985158733</v>
      </c>
      <c r="AK152" s="481">
        <f t="shared" si="135"/>
        <v>2007418.7311476858</v>
      </c>
      <c r="AL152" s="481">
        <f t="shared" ref="AL152:CW152" si="136">MAX(SUM(AL135:AL138),SUM(AL145:AL147))</f>
        <v>1996401.3637794983</v>
      </c>
      <c r="AM152" s="481">
        <f t="shared" si="136"/>
        <v>1985383.9964113107</v>
      </c>
      <c r="AN152" s="481">
        <f t="shared" si="136"/>
        <v>1974366.6290431232</v>
      </c>
      <c r="AO152" s="481">
        <f t="shared" si="136"/>
        <v>1963349.2616749357</v>
      </c>
      <c r="AP152" s="481">
        <f t="shared" si="136"/>
        <v>1952331.8943067482</v>
      </c>
      <c r="AQ152" s="481">
        <f t="shared" si="136"/>
        <v>1940602.8652925151</v>
      </c>
      <c r="AR152" s="481">
        <f t="shared" si="136"/>
        <v>1928873.8362782821</v>
      </c>
      <c r="AS152" s="481">
        <f t="shared" si="136"/>
        <v>1917144.8072640491</v>
      </c>
      <c r="AT152" s="481">
        <f t="shared" si="136"/>
        <v>1905415.778249816</v>
      </c>
      <c r="AU152" s="481">
        <f t="shared" si="136"/>
        <v>1893686.749235583</v>
      </c>
      <c r="AV152" s="481">
        <f t="shared" si="136"/>
        <v>1881957.72022135</v>
      </c>
      <c r="AW152" s="481">
        <f t="shared" si="136"/>
        <v>1870228.6912071169</v>
      </c>
      <c r="AX152" s="481">
        <f t="shared" si="136"/>
        <v>1858499.6621928839</v>
      </c>
      <c r="AY152" s="481">
        <f t="shared" si="136"/>
        <v>1846770.6331786509</v>
      </c>
      <c r="AZ152" s="481">
        <f t="shared" si="136"/>
        <v>1835041.6041644178</v>
      </c>
      <c r="BA152" s="481">
        <f t="shared" si="136"/>
        <v>1823312.5751501848</v>
      </c>
      <c r="BB152" s="481">
        <f t="shared" si="136"/>
        <v>1811583.5461359518</v>
      </c>
      <c r="BC152" s="481">
        <f t="shared" si="136"/>
        <v>1805075.6876287067</v>
      </c>
      <c r="BD152" s="481">
        <f t="shared" si="136"/>
        <v>1798567.8291214616</v>
      </c>
      <c r="BE152" s="481">
        <f t="shared" si="136"/>
        <v>1792059.9706142165</v>
      </c>
      <c r="BF152" s="481">
        <f t="shared" si="136"/>
        <v>1785552.1121069714</v>
      </c>
      <c r="BG152" s="481">
        <f t="shared" si="136"/>
        <v>1779044.2535997264</v>
      </c>
      <c r="BH152" s="481">
        <f t="shared" si="136"/>
        <v>1791000.7398135534</v>
      </c>
      <c r="BI152" s="481">
        <f t="shared" si="136"/>
        <v>1784492.8813063083</v>
      </c>
      <c r="BJ152" s="481">
        <f t="shared" si="136"/>
        <v>1777985.0227990632</v>
      </c>
      <c r="BK152" s="481">
        <f t="shared" si="136"/>
        <v>1834698.891466768</v>
      </c>
      <c r="BL152" s="481">
        <f t="shared" si="136"/>
        <v>1828191.0329595229</v>
      </c>
      <c r="BM152" s="481">
        <f t="shared" si="136"/>
        <v>1821683.1744522778</v>
      </c>
      <c r="BN152" s="481">
        <f t="shared" si="136"/>
        <v>598971.85878531402</v>
      </c>
      <c r="BO152" s="481">
        <f t="shared" si="136"/>
        <v>1284415.5969259166</v>
      </c>
      <c r="BP152" s="481">
        <f t="shared" si="136"/>
        <v>1284415.5969259166</v>
      </c>
      <c r="BQ152" s="481">
        <f t="shared" si="136"/>
        <v>1284415.5969259166</v>
      </c>
      <c r="BR152" s="481">
        <f t="shared" si="136"/>
        <v>1284415.5969259166</v>
      </c>
      <c r="BS152" s="481">
        <f t="shared" si="136"/>
        <v>1284415.5969259166</v>
      </c>
      <c r="BT152" s="481">
        <f t="shared" si="136"/>
        <v>1284415.5969259166</v>
      </c>
      <c r="BU152" s="481">
        <f t="shared" si="136"/>
        <v>1284415.5969259166</v>
      </c>
      <c r="BV152" s="481">
        <f t="shared" si="136"/>
        <v>1284415.5969259166</v>
      </c>
      <c r="BW152" s="481">
        <f t="shared" si="136"/>
        <v>1284415.5969259166</v>
      </c>
      <c r="BX152" s="481">
        <f t="shared" si="136"/>
        <v>1284415.5969259166</v>
      </c>
      <c r="BY152" s="481">
        <f t="shared" si="136"/>
        <v>1284415.5969259166</v>
      </c>
      <c r="BZ152" s="481">
        <f t="shared" si="136"/>
        <v>1284415.5969259166</v>
      </c>
      <c r="CA152" s="481">
        <f t="shared" si="136"/>
        <v>1284415.5969259166</v>
      </c>
      <c r="CB152" s="481">
        <f t="shared" si="136"/>
        <v>1284415.5969259166</v>
      </c>
      <c r="CC152" s="481">
        <f t="shared" si="136"/>
        <v>1284415.5969259166</v>
      </c>
      <c r="CD152" s="481">
        <f t="shared" si="136"/>
        <v>1284415.5969259166</v>
      </c>
      <c r="CE152" s="481">
        <f t="shared" si="136"/>
        <v>1284415.5969259166</v>
      </c>
      <c r="CF152" s="481">
        <f t="shared" si="136"/>
        <v>1284415.5969259166</v>
      </c>
      <c r="CG152" s="481">
        <f t="shared" si="136"/>
        <v>1284415.5969259166</v>
      </c>
      <c r="CH152" s="481">
        <f t="shared" si="136"/>
        <v>1284415.5969259166</v>
      </c>
      <c r="CI152" s="481">
        <f t="shared" si="136"/>
        <v>1284415.5969259166</v>
      </c>
      <c r="CJ152" s="481">
        <f t="shared" si="136"/>
        <v>1284415.5969259166</v>
      </c>
      <c r="CK152" s="481">
        <f t="shared" si="136"/>
        <v>1284415.5969259166</v>
      </c>
      <c r="CL152" s="481">
        <f t="shared" si="136"/>
        <v>1284415.5969259166</v>
      </c>
      <c r="CM152" s="481">
        <f t="shared" si="136"/>
        <v>1284415.5969259166</v>
      </c>
      <c r="CN152" s="481">
        <f t="shared" si="136"/>
        <v>1284415.5969259166</v>
      </c>
      <c r="CO152" s="481">
        <f t="shared" si="136"/>
        <v>1284415.5969259166</v>
      </c>
      <c r="CP152" s="481">
        <f t="shared" si="136"/>
        <v>1284415.5969259166</v>
      </c>
      <c r="CQ152" s="481">
        <f t="shared" si="136"/>
        <v>1284415.5969259166</v>
      </c>
      <c r="CR152" s="481">
        <f t="shared" si="136"/>
        <v>1284415.5969259166</v>
      </c>
      <c r="CS152" s="481">
        <f t="shared" si="136"/>
        <v>1284415.5969259166</v>
      </c>
      <c r="CT152" s="481">
        <f t="shared" si="136"/>
        <v>1284415.5969259166</v>
      </c>
      <c r="CU152" s="481">
        <f t="shared" si="136"/>
        <v>1284415.5969259166</v>
      </c>
      <c r="CV152" s="481">
        <f t="shared" si="136"/>
        <v>1284415.5969259166</v>
      </c>
      <c r="CW152" s="481">
        <f t="shared" si="136"/>
        <v>1284415.5969259166</v>
      </c>
      <c r="CX152" s="481">
        <f t="shared" ref="CX152:DV152" si="137">MAX(SUM(CX135:CX138),SUM(CX145:CX147))</f>
        <v>1284415.5969259166</v>
      </c>
      <c r="CY152" s="481">
        <f t="shared" si="137"/>
        <v>1284415.5969259166</v>
      </c>
      <c r="CZ152" s="481">
        <f t="shared" si="137"/>
        <v>1284415.5969259166</v>
      </c>
      <c r="DA152" s="481">
        <f t="shared" si="137"/>
        <v>1284415.5969259166</v>
      </c>
      <c r="DB152" s="481">
        <f t="shared" si="137"/>
        <v>1284415.5969259166</v>
      </c>
      <c r="DC152" s="481">
        <f t="shared" si="137"/>
        <v>1284415.5969259166</v>
      </c>
      <c r="DD152" s="481">
        <f t="shared" si="137"/>
        <v>1284415.5969259166</v>
      </c>
      <c r="DE152" s="481">
        <f t="shared" si="137"/>
        <v>1284415.5969259166</v>
      </c>
      <c r="DF152" s="481">
        <f t="shared" si="137"/>
        <v>1284415.5969259166</v>
      </c>
      <c r="DG152" s="481">
        <f t="shared" si="137"/>
        <v>1284415.5969259166</v>
      </c>
      <c r="DH152" s="481">
        <f t="shared" si="137"/>
        <v>1284415.5969259166</v>
      </c>
      <c r="DI152" s="481">
        <f t="shared" si="137"/>
        <v>1284415.5969259166</v>
      </c>
      <c r="DJ152" s="481">
        <f t="shared" si="137"/>
        <v>1284415.5969259166</v>
      </c>
      <c r="DK152" s="481">
        <f t="shared" si="137"/>
        <v>1284415.5969259166</v>
      </c>
      <c r="DL152" s="481">
        <f t="shared" si="137"/>
        <v>1284415.5969259166</v>
      </c>
      <c r="DM152" s="481">
        <f t="shared" si="137"/>
        <v>1284415.5969259166</v>
      </c>
      <c r="DN152" s="481">
        <f t="shared" si="137"/>
        <v>1284415.5969259166</v>
      </c>
      <c r="DO152" s="481">
        <f t="shared" si="137"/>
        <v>1284415.5969259166</v>
      </c>
      <c r="DP152" s="481">
        <f t="shared" si="137"/>
        <v>1284415.5969259166</v>
      </c>
      <c r="DQ152" s="481">
        <f t="shared" si="137"/>
        <v>1284415.5969259166</v>
      </c>
      <c r="DR152" s="481">
        <f t="shared" si="137"/>
        <v>1284415.5969259166</v>
      </c>
      <c r="DS152" s="481">
        <f t="shared" si="137"/>
        <v>1284415.5969259166</v>
      </c>
      <c r="DT152" s="481">
        <f t="shared" si="137"/>
        <v>1284415.5969259166</v>
      </c>
      <c r="DU152" s="481">
        <f t="shared" si="137"/>
        <v>1284415.5969259166</v>
      </c>
      <c r="DV152" s="481">
        <f t="shared" si="137"/>
        <v>1284415.5969259166</v>
      </c>
      <c r="DW152" s="322" t="s">
        <v>372</v>
      </c>
    </row>
    <row r="153" spans="3:127" hidden="1" outlineLevel="1" x14ac:dyDescent="0.3">
      <c r="C153" s="479"/>
      <c r="D153" s="480"/>
      <c r="E153" s="481"/>
      <c r="F153" s="481"/>
      <c r="G153" s="481"/>
      <c r="H153" s="481"/>
      <c r="I153" s="481"/>
      <c r="J153" s="481"/>
      <c r="K153" s="481"/>
      <c r="L153" s="481"/>
      <c r="M153" s="481"/>
      <c r="N153" s="481"/>
      <c r="O153" s="481"/>
      <c r="P153" s="481"/>
      <c r="Q153" s="481"/>
      <c r="R153" s="481"/>
      <c r="S153" s="481"/>
      <c r="T153" s="481"/>
      <c r="U153" s="481"/>
      <c r="V153" s="481"/>
      <c r="W153" s="481"/>
      <c r="X153" s="481"/>
      <c r="Y153" s="481"/>
      <c r="Z153" s="481"/>
      <c r="AA153" s="481"/>
      <c r="AB153" s="481"/>
      <c r="AC153" s="481"/>
      <c r="AD153" s="481"/>
      <c r="AE153" s="481"/>
      <c r="AF153" s="481"/>
      <c r="AG153" s="481"/>
      <c r="AH153" s="481"/>
      <c r="AI153" s="481"/>
      <c r="AJ153" s="481"/>
      <c r="AK153" s="481"/>
      <c r="AL153" s="481"/>
      <c r="AM153" s="481"/>
      <c r="AN153" s="481"/>
      <c r="AO153" s="481"/>
      <c r="AP153" s="481"/>
      <c r="AQ153" s="481"/>
      <c r="AR153" s="481"/>
      <c r="AS153" s="481"/>
      <c r="AT153" s="481"/>
      <c r="AU153" s="481"/>
      <c r="AV153" s="481"/>
      <c r="AW153" s="481"/>
      <c r="AX153" s="481"/>
      <c r="AY153" s="481"/>
      <c r="AZ153" s="481"/>
      <c r="BA153" s="481"/>
      <c r="BB153" s="481"/>
      <c r="BC153" s="481"/>
      <c r="BD153" s="481"/>
      <c r="BE153" s="481"/>
      <c r="BF153" s="481"/>
      <c r="BG153" s="481"/>
      <c r="BH153" s="481"/>
      <c r="BI153" s="481"/>
      <c r="BJ153" s="481"/>
      <c r="BK153" s="481"/>
      <c r="BL153" s="481"/>
      <c r="BM153" s="481"/>
      <c r="BN153" s="481"/>
      <c r="BO153" s="481"/>
      <c r="BP153" s="481"/>
      <c r="BQ153" s="481"/>
      <c r="BR153" s="481"/>
      <c r="BS153" s="481"/>
      <c r="BT153" s="481"/>
      <c r="BU153" s="481"/>
      <c r="BV153" s="481"/>
      <c r="BW153" s="481"/>
      <c r="BX153" s="481"/>
      <c r="BY153" s="481"/>
      <c r="BZ153" s="481"/>
      <c r="CA153" s="481"/>
      <c r="CB153" s="481"/>
      <c r="CC153" s="481"/>
      <c r="CD153" s="481"/>
      <c r="CE153" s="481"/>
      <c r="CF153" s="481"/>
      <c r="CG153" s="481"/>
      <c r="CH153" s="481"/>
      <c r="CI153" s="481"/>
      <c r="CJ153" s="481"/>
      <c r="CK153" s="481"/>
      <c r="CL153" s="481"/>
      <c r="CM153" s="481"/>
      <c r="CN153" s="481"/>
      <c r="CO153" s="481"/>
      <c r="CP153" s="481"/>
      <c r="CQ153" s="481"/>
      <c r="CR153" s="481"/>
      <c r="CS153" s="481"/>
      <c r="CT153" s="481"/>
      <c r="CU153" s="481"/>
      <c r="CV153" s="481"/>
      <c r="CW153" s="481"/>
      <c r="CX153" s="481"/>
      <c r="CY153" s="481"/>
      <c r="CZ153" s="481"/>
      <c r="DA153" s="481"/>
      <c r="DB153" s="481"/>
      <c r="DC153" s="481"/>
      <c r="DD153" s="481"/>
      <c r="DE153" s="481"/>
      <c r="DF153" s="481"/>
      <c r="DG153" s="481"/>
      <c r="DH153" s="481"/>
      <c r="DI153" s="481"/>
      <c r="DJ153" s="481"/>
      <c r="DK153" s="481"/>
      <c r="DL153" s="481"/>
      <c r="DM153" s="481"/>
      <c r="DN153" s="481"/>
      <c r="DO153" s="481"/>
      <c r="DP153" s="481"/>
      <c r="DQ153" s="481"/>
      <c r="DR153" s="481"/>
      <c r="DS153" s="481"/>
      <c r="DT153" s="481"/>
      <c r="DU153" s="481"/>
      <c r="DV153" s="481"/>
      <c r="DW153" s="322" t="s">
        <v>372</v>
      </c>
    </row>
    <row r="154" spans="3:127" ht="17.25" hidden="1" outlineLevel="1" thickBot="1" x14ac:dyDescent="0.35">
      <c r="C154" s="480" t="str">
        <f>"Total Distribution Per Tier II to "&amp;C86</f>
        <v>Total Distribution Per Tier II to LP</v>
      </c>
      <c r="D154" s="480"/>
      <c r="E154" s="482">
        <v>-2077334.382751219</v>
      </c>
      <c r="F154" s="483">
        <f>-MAX(MIN(F152,F130*$D$157),0)</f>
        <v>0</v>
      </c>
      <c r="G154" s="483">
        <f t="shared" ref="G154:BR154" si="138">-MAX(MIN(G152,G130*$D$157),0)</f>
        <v>0</v>
      </c>
      <c r="H154" s="483">
        <f t="shared" si="138"/>
        <v>0</v>
      </c>
      <c r="I154" s="483">
        <f t="shared" si="138"/>
        <v>0</v>
      </c>
      <c r="J154" s="483">
        <f t="shared" si="138"/>
        <v>0</v>
      </c>
      <c r="K154" s="483">
        <f t="shared" si="138"/>
        <v>0</v>
      </c>
      <c r="L154" s="483">
        <f t="shared" si="138"/>
        <v>0</v>
      </c>
      <c r="M154" s="483">
        <f t="shared" si="138"/>
        <v>0</v>
      </c>
      <c r="N154" s="483">
        <f t="shared" si="138"/>
        <v>0</v>
      </c>
      <c r="O154" s="483">
        <f t="shared" si="138"/>
        <v>0</v>
      </c>
      <c r="P154" s="483">
        <f t="shared" si="138"/>
        <v>0</v>
      </c>
      <c r="Q154" s="483">
        <f t="shared" si="138"/>
        <v>0</v>
      </c>
      <c r="R154" s="483">
        <f t="shared" si="138"/>
        <v>0</v>
      </c>
      <c r="S154" s="483">
        <f t="shared" si="138"/>
        <v>0</v>
      </c>
      <c r="T154" s="483">
        <f t="shared" si="138"/>
        <v>0</v>
      </c>
      <c r="U154" s="483">
        <f t="shared" si="138"/>
        <v>0</v>
      </c>
      <c r="V154" s="483">
        <f t="shared" si="138"/>
        <v>0</v>
      </c>
      <c r="W154" s="483">
        <f t="shared" si="138"/>
        <v>0</v>
      </c>
      <c r="X154" s="483">
        <f t="shared" si="138"/>
        <v>0</v>
      </c>
      <c r="Y154" s="483">
        <f t="shared" si="138"/>
        <v>0</v>
      </c>
      <c r="Z154" s="483">
        <f t="shared" si="138"/>
        <v>0</v>
      </c>
      <c r="AA154" s="483">
        <f t="shared" si="138"/>
        <v>0</v>
      </c>
      <c r="AB154" s="483">
        <f t="shared" si="138"/>
        <v>0</v>
      </c>
      <c r="AC154" s="483">
        <f t="shared" si="138"/>
        <v>0</v>
      </c>
      <c r="AD154" s="483">
        <f t="shared" si="138"/>
        <v>0</v>
      </c>
      <c r="AE154" s="483">
        <f t="shared" si="138"/>
        <v>0</v>
      </c>
      <c r="AF154" s="483">
        <f t="shared" si="138"/>
        <v>0</v>
      </c>
      <c r="AG154" s="483">
        <f t="shared" si="138"/>
        <v>0</v>
      </c>
      <c r="AH154" s="483">
        <f t="shared" si="138"/>
        <v>0</v>
      </c>
      <c r="AI154" s="483">
        <f t="shared" si="138"/>
        <v>0</v>
      </c>
      <c r="AJ154" s="483">
        <f t="shared" si="138"/>
        <v>0</v>
      </c>
      <c r="AK154" s="483">
        <f t="shared" si="138"/>
        <v>0</v>
      </c>
      <c r="AL154" s="483">
        <f t="shared" si="138"/>
        <v>0</v>
      </c>
      <c r="AM154" s="483">
        <f t="shared" si="138"/>
        <v>0</v>
      </c>
      <c r="AN154" s="483">
        <f t="shared" si="138"/>
        <v>0</v>
      </c>
      <c r="AO154" s="483">
        <f t="shared" si="138"/>
        <v>0</v>
      </c>
      <c r="AP154" s="483">
        <f t="shared" si="138"/>
        <v>0</v>
      </c>
      <c r="AQ154" s="483">
        <f t="shared" si="138"/>
        <v>0</v>
      </c>
      <c r="AR154" s="483">
        <f t="shared" si="138"/>
        <v>0</v>
      </c>
      <c r="AS154" s="483">
        <f t="shared" si="138"/>
        <v>0</v>
      </c>
      <c r="AT154" s="483">
        <f t="shared" si="138"/>
        <v>0</v>
      </c>
      <c r="AU154" s="483">
        <f t="shared" si="138"/>
        <v>0</v>
      </c>
      <c r="AV154" s="483">
        <f t="shared" si="138"/>
        <v>0</v>
      </c>
      <c r="AW154" s="483">
        <f t="shared" si="138"/>
        <v>0</v>
      </c>
      <c r="AX154" s="483">
        <f t="shared" si="138"/>
        <v>0</v>
      </c>
      <c r="AY154" s="483">
        <f t="shared" si="138"/>
        <v>0</v>
      </c>
      <c r="AZ154" s="483">
        <f t="shared" si="138"/>
        <v>0</v>
      </c>
      <c r="BA154" s="483">
        <f t="shared" si="138"/>
        <v>0</v>
      </c>
      <c r="BB154" s="483">
        <f t="shared" si="138"/>
        <v>0</v>
      </c>
      <c r="BC154" s="483">
        <f t="shared" si="138"/>
        <v>0</v>
      </c>
      <c r="BD154" s="483">
        <f t="shared" si="138"/>
        <v>0</v>
      </c>
      <c r="BE154" s="483">
        <f t="shared" si="138"/>
        <v>0</v>
      </c>
      <c r="BF154" s="483">
        <f t="shared" si="138"/>
        <v>0</v>
      </c>
      <c r="BG154" s="483">
        <f t="shared" si="138"/>
        <v>0</v>
      </c>
      <c r="BH154" s="483">
        <f t="shared" si="138"/>
        <v>0</v>
      </c>
      <c r="BI154" s="483">
        <f t="shared" si="138"/>
        <v>0</v>
      </c>
      <c r="BJ154" s="483">
        <f t="shared" si="138"/>
        <v>0</v>
      </c>
      <c r="BK154" s="483">
        <f t="shared" si="138"/>
        <v>0</v>
      </c>
      <c r="BL154" s="483">
        <f t="shared" si="138"/>
        <v>0</v>
      </c>
      <c r="BM154" s="483">
        <f t="shared" si="138"/>
        <v>0</v>
      </c>
      <c r="BN154" s="483">
        <f t="shared" si="138"/>
        <v>-598971.85878531402</v>
      </c>
      <c r="BO154" s="483">
        <f t="shared" si="138"/>
        <v>0</v>
      </c>
      <c r="BP154" s="483">
        <f t="shared" si="138"/>
        <v>0</v>
      </c>
      <c r="BQ154" s="483">
        <f t="shared" si="138"/>
        <v>0</v>
      </c>
      <c r="BR154" s="483">
        <f t="shared" si="138"/>
        <v>0</v>
      </c>
      <c r="BS154" s="483">
        <f t="shared" ref="BS154:DV154" si="139">-MAX(MIN(BS152,BS130*$D$157),0)</f>
        <v>0</v>
      </c>
      <c r="BT154" s="483">
        <f t="shared" si="139"/>
        <v>0</v>
      </c>
      <c r="BU154" s="483">
        <f t="shared" si="139"/>
        <v>0</v>
      </c>
      <c r="BV154" s="483">
        <f t="shared" si="139"/>
        <v>0</v>
      </c>
      <c r="BW154" s="483">
        <f t="shared" si="139"/>
        <v>0</v>
      </c>
      <c r="BX154" s="483">
        <f t="shared" si="139"/>
        <v>0</v>
      </c>
      <c r="BY154" s="483">
        <f t="shared" si="139"/>
        <v>0</v>
      </c>
      <c r="BZ154" s="483">
        <f t="shared" si="139"/>
        <v>0</v>
      </c>
      <c r="CA154" s="483">
        <f t="shared" si="139"/>
        <v>0</v>
      </c>
      <c r="CB154" s="483">
        <f t="shared" si="139"/>
        <v>0</v>
      </c>
      <c r="CC154" s="483">
        <f t="shared" si="139"/>
        <v>0</v>
      </c>
      <c r="CD154" s="483">
        <f t="shared" si="139"/>
        <v>0</v>
      </c>
      <c r="CE154" s="483">
        <f t="shared" si="139"/>
        <v>0</v>
      </c>
      <c r="CF154" s="483">
        <f t="shared" si="139"/>
        <v>0</v>
      </c>
      <c r="CG154" s="483">
        <f t="shared" si="139"/>
        <v>0</v>
      </c>
      <c r="CH154" s="483">
        <f t="shared" si="139"/>
        <v>0</v>
      </c>
      <c r="CI154" s="483">
        <f t="shared" si="139"/>
        <v>0</v>
      </c>
      <c r="CJ154" s="483">
        <f t="shared" si="139"/>
        <v>0</v>
      </c>
      <c r="CK154" s="483">
        <f t="shared" si="139"/>
        <v>0</v>
      </c>
      <c r="CL154" s="483">
        <f t="shared" si="139"/>
        <v>0</v>
      </c>
      <c r="CM154" s="483">
        <f t="shared" si="139"/>
        <v>0</v>
      </c>
      <c r="CN154" s="483">
        <f t="shared" si="139"/>
        <v>0</v>
      </c>
      <c r="CO154" s="483">
        <f t="shared" si="139"/>
        <v>0</v>
      </c>
      <c r="CP154" s="483">
        <f t="shared" si="139"/>
        <v>0</v>
      </c>
      <c r="CQ154" s="483">
        <f t="shared" si="139"/>
        <v>0</v>
      </c>
      <c r="CR154" s="483">
        <f t="shared" si="139"/>
        <v>0</v>
      </c>
      <c r="CS154" s="483">
        <f t="shared" si="139"/>
        <v>0</v>
      </c>
      <c r="CT154" s="483">
        <f t="shared" si="139"/>
        <v>0</v>
      </c>
      <c r="CU154" s="483">
        <f t="shared" si="139"/>
        <v>0</v>
      </c>
      <c r="CV154" s="483">
        <f t="shared" si="139"/>
        <v>0</v>
      </c>
      <c r="CW154" s="483">
        <f t="shared" si="139"/>
        <v>0</v>
      </c>
      <c r="CX154" s="483">
        <f t="shared" si="139"/>
        <v>0</v>
      </c>
      <c r="CY154" s="483">
        <f t="shared" si="139"/>
        <v>0</v>
      </c>
      <c r="CZ154" s="483">
        <f t="shared" si="139"/>
        <v>0</v>
      </c>
      <c r="DA154" s="483">
        <f t="shared" si="139"/>
        <v>0</v>
      </c>
      <c r="DB154" s="483">
        <f t="shared" si="139"/>
        <v>0</v>
      </c>
      <c r="DC154" s="483">
        <f t="shared" si="139"/>
        <v>0</v>
      </c>
      <c r="DD154" s="483">
        <f t="shared" si="139"/>
        <v>0</v>
      </c>
      <c r="DE154" s="483">
        <f t="shared" si="139"/>
        <v>0</v>
      </c>
      <c r="DF154" s="483">
        <f t="shared" si="139"/>
        <v>0</v>
      </c>
      <c r="DG154" s="483">
        <f t="shared" si="139"/>
        <v>0</v>
      </c>
      <c r="DH154" s="483">
        <f t="shared" si="139"/>
        <v>0</v>
      </c>
      <c r="DI154" s="483">
        <f t="shared" si="139"/>
        <v>0</v>
      </c>
      <c r="DJ154" s="483">
        <f t="shared" si="139"/>
        <v>0</v>
      </c>
      <c r="DK154" s="483">
        <f t="shared" si="139"/>
        <v>0</v>
      </c>
      <c r="DL154" s="483">
        <f t="shared" si="139"/>
        <v>0</v>
      </c>
      <c r="DM154" s="483">
        <f t="shared" si="139"/>
        <v>0</v>
      </c>
      <c r="DN154" s="483">
        <f t="shared" si="139"/>
        <v>0</v>
      </c>
      <c r="DO154" s="483">
        <f t="shared" si="139"/>
        <v>0</v>
      </c>
      <c r="DP154" s="483">
        <f t="shared" si="139"/>
        <v>0</v>
      </c>
      <c r="DQ154" s="483">
        <f t="shared" si="139"/>
        <v>0</v>
      </c>
      <c r="DR154" s="483">
        <f t="shared" si="139"/>
        <v>0</v>
      </c>
      <c r="DS154" s="483">
        <f t="shared" si="139"/>
        <v>0</v>
      </c>
      <c r="DT154" s="483">
        <f t="shared" si="139"/>
        <v>0</v>
      </c>
      <c r="DU154" s="483">
        <f t="shared" si="139"/>
        <v>0</v>
      </c>
      <c r="DV154" s="483">
        <f t="shared" si="139"/>
        <v>0</v>
      </c>
      <c r="DW154" s="322" t="s">
        <v>372</v>
      </c>
    </row>
    <row r="155" spans="3:127" ht="17.25" hidden="1" outlineLevel="1" thickTop="1" x14ac:dyDescent="0.3"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360"/>
      <c r="AB155" s="360"/>
      <c r="AC155" s="360"/>
      <c r="AD155" s="360"/>
      <c r="AE155" s="360"/>
      <c r="AF155" s="360"/>
      <c r="AG155" s="360"/>
      <c r="AH155" s="360"/>
      <c r="AI155" s="360"/>
      <c r="AJ155" s="360"/>
      <c r="AK155" s="360"/>
      <c r="AL155" s="360"/>
      <c r="AM155" s="360"/>
      <c r="AN155" s="360"/>
      <c r="AO155" s="360"/>
      <c r="AP155" s="360"/>
      <c r="AQ155" s="360"/>
      <c r="AR155" s="360"/>
      <c r="AS155" s="360"/>
      <c r="AT155" s="360"/>
      <c r="AU155" s="360"/>
      <c r="AV155" s="360"/>
      <c r="AW155" s="360"/>
      <c r="AX155" s="360"/>
      <c r="AY155" s="360"/>
      <c r="AZ155" s="360"/>
      <c r="BA155" s="360"/>
      <c r="BB155" s="360"/>
      <c r="BC155" s="360"/>
      <c r="BD155" s="360"/>
      <c r="BE155" s="360"/>
      <c r="BF155" s="360"/>
      <c r="BG155" s="360"/>
      <c r="BH155" s="360"/>
      <c r="BI155" s="360"/>
      <c r="BJ155" s="360"/>
      <c r="BK155" s="360"/>
      <c r="BL155" s="360"/>
      <c r="BM155" s="360"/>
      <c r="BN155" s="360"/>
      <c r="BO155" s="360"/>
      <c r="BP155" s="360"/>
      <c r="BQ155" s="360"/>
      <c r="BR155" s="360"/>
      <c r="BS155" s="360"/>
      <c r="BT155" s="360"/>
      <c r="BU155" s="360"/>
      <c r="BV155" s="360"/>
      <c r="BW155" s="360"/>
      <c r="BX155" s="360"/>
      <c r="BY155" s="360"/>
      <c r="BZ155" s="360"/>
      <c r="CA155" s="360"/>
      <c r="CB155" s="360"/>
      <c r="CC155" s="360"/>
      <c r="CD155" s="360"/>
      <c r="CE155" s="360"/>
      <c r="CF155" s="360"/>
      <c r="CG155" s="360"/>
      <c r="CH155" s="360"/>
      <c r="CI155" s="360"/>
      <c r="CJ155" s="360"/>
      <c r="CK155" s="360"/>
      <c r="CL155" s="360"/>
      <c r="CM155" s="360"/>
      <c r="CN155" s="360"/>
      <c r="CO155" s="360"/>
      <c r="CP155" s="360"/>
      <c r="CQ155" s="360"/>
      <c r="CR155" s="360"/>
      <c r="CS155" s="360"/>
      <c r="CT155" s="360"/>
      <c r="CU155" s="360"/>
      <c r="CV155" s="360"/>
      <c r="CW155" s="360"/>
      <c r="CX155" s="360"/>
      <c r="CY155" s="360"/>
      <c r="CZ155" s="360"/>
      <c r="DA155" s="360"/>
      <c r="DB155" s="360"/>
      <c r="DC155" s="360"/>
      <c r="DD155" s="360"/>
      <c r="DE155" s="360"/>
      <c r="DF155" s="360"/>
      <c r="DG155" s="360"/>
      <c r="DH155" s="360"/>
      <c r="DI155" s="360"/>
      <c r="DJ155" s="360"/>
      <c r="DK155" s="360"/>
      <c r="DL155" s="360"/>
      <c r="DM155" s="360"/>
      <c r="DN155" s="360"/>
      <c r="DO155" s="360"/>
      <c r="DP155" s="360"/>
      <c r="DQ155" s="360"/>
      <c r="DR155" s="360"/>
      <c r="DS155" s="360"/>
      <c r="DT155" s="360"/>
      <c r="DU155" s="360"/>
      <c r="DV155" s="360"/>
      <c r="DW155" s="322" t="s">
        <v>372</v>
      </c>
    </row>
    <row r="156" spans="3:127" hidden="1" outlineLevel="1" x14ac:dyDescent="0.3">
      <c r="C156" s="485" t="s">
        <v>405</v>
      </c>
      <c r="D156" s="374"/>
      <c r="E156" s="463"/>
      <c r="F156" s="374"/>
      <c r="G156" s="374"/>
      <c r="H156" s="463"/>
      <c r="I156" s="463"/>
      <c r="J156" s="463"/>
      <c r="K156" s="463"/>
      <c r="L156" s="463"/>
      <c r="M156" s="463"/>
      <c r="N156" s="463"/>
      <c r="O156" s="463"/>
      <c r="P156" s="463"/>
      <c r="Q156" s="463"/>
      <c r="R156" s="463"/>
      <c r="S156" s="463"/>
      <c r="T156" s="463"/>
      <c r="U156" s="463"/>
      <c r="V156" s="463"/>
      <c r="W156" s="463"/>
      <c r="X156" s="463"/>
      <c r="Y156" s="463"/>
      <c r="Z156" s="463"/>
      <c r="AA156" s="463"/>
      <c r="AB156" s="463"/>
      <c r="AC156" s="463"/>
      <c r="AD156" s="463"/>
      <c r="AE156" s="463"/>
      <c r="AF156" s="463"/>
      <c r="AG156" s="463"/>
      <c r="AH156" s="463"/>
      <c r="AI156" s="463"/>
      <c r="AJ156" s="463"/>
      <c r="AK156" s="463"/>
      <c r="AL156" s="463"/>
      <c r="AM156" s="463"/>
      <c r="AN156" s="463"/>
      <c r="AO156" s="463"/>
      <c r="AP156" s="463"/>
      <c r="AQ156" s="463"/>
      <c r="AR156" s="463"/>
      <c r="AS156" s="463"/>
      <c r="AT156" s="463"/>
      <c r="AU156" s="463"/>
      <c r="AV156" s="463"/>
      <c r="AW156" s="463"/>
      <c r="AX156" s="463"/>
      <c r="AY156" s="463"/>
      <c r="AZ156" s="463"/>
      <c r="BA156" s="463"/>
      <c r="BB156" s="463"/>
      <c r="BC156" s="463"/>
      <c r="BD156" s="463"/>
      <c r="BE156" s="463"/>
      <c r="BF156" s="463"/>
      <c r="BG156" s="463"/>
      <c r="BH156" s="463"/>
      <c r="BI156" s="463"/>
      <c r="BJ156" s="463"/>
      <c r="BK156" s="463"/>
      <c r="BL156" s="463"/>
      <c r="BM156" s="463"/>
      <c r="BN156" s="463"/>
      <c r="BO156" s="463"/>
      <c r="BP156" s="463"/>
      <c r="BQ156" s="463"/>
      <c r="BR156" s="463"/>
      <c r="BS156" s="463"/>
      <c r="BT156" s="463"/>
      <c r="BU156" s="463"/>
      <c r="BV156" s="463"/>
      <c r="BW156" s="463"/>
      <c r="BX156" s="463"/>
      <c r="BY156" s="463"/>
      <c r="BZ156" s="463"/>
      <c r="CA156" s="463"/>
      <c r="CB156" s="463"/>
      <c r="CC156" s="463"/>
      <c r="CD156" s="463"/>
      <c r="CE156" s="463"/>
      <c r="CF156" s="463"/>
      <c r="CG156" s="463"/>
      <c r="CH156" s="463"/>
      <c r="CI156" s="463"/>
      <c r="CJ156" s="463"/>
      <c r="CK156" s="463"/>
      <c r="CL156" s="463"/>
      <c r="CM156" s="463"/>
      <c r="CN156" s="463"/>
      <c r="CO156" s="463"/>
      <c r="CP156" s="463"/>
      <c r="CQ156" s="463"/>
      <c r="CR156" s="463"/>
      <c r="CS156" s="463"/>
      <c r="CT156" s="463"/>
      <c r="CU156" s="463"/>
      <c r="CV156" s="463"/>
      <c r="CW156" s="463"/>
      <c r="CX156" s="463"/>
      <c r="CY156" s="463"/>
      <c r="CZ156" s="463"/>
      <c r="DA156" s="463"/>
      <c r="DB156" s="463"/>
      <c r="DC156" s="463"/>
      <c r="DD156" s="463"/>
      <c r="DE156" s="463"/>
      <c r="DF156" s="463"/>
      <c r="DG156" s="463"/>
      <c r="DH156" s="463"/>
      <c r="DI156" s="463"/>
      <c r="DJ156" s="463"/>
      <c r="DK156" s="463"/>
      <c r="DL156" s="463"/>
      <c r="DM156" s="463"/>
      <c r="DN156" s="463"/>
      <c r="DO156" s="463"/>
      <c r="DP156" s="463"/>
      <c r="DQ156" s="463"/>
      <c r="DR156" s="463"/>
      <c r="DS156" s="463"/>
      <c r="DT156" s="463"/>
      <c r="DU156" s="463"/>
      <c r="DV156" s="463"/>
      <c r="DW156" s="322" t="s">
        <v>372</v>
      </c>
    </row>
    <row r="157" spans="3:127" hidden="1" outlineLevel="1" x14ac:dyDescent="0.3">
      <c r="C157" s="374" t="str">
        <f>$C$126</f>
        <v>LP Equity</v>
      </c>
      <c r="D157" s="486">
        <f>H39</f>
        <v>0.72000000000000008</v>
      </c>
      <c r="E157" s="467">
        <f>SUM(F157:DV157)</f>
        <v>598971.85878531402</v>
      </c>
      <c r="F157" s="466">
        <f t="shared" ref="F157:BQ157" si="140">-F154</f>
        <v>0</v>
      </c>
      <c r="G157" s="466">
        <f t="shared" si="140"/>
        <v>0</v>
      </c>
      <c r="H157" s="466">
        <f t="shared" si="140"/>
        <v>0</v>
      </c>
      <c r="I157" s="466">
        <f t="shared" si="140"/>
        <v>0</v>
      </c>
      <c r="J157" s="466">
        <f t="shared" si="140"/>
        <v>0</v>
      </c>
      <c r="K157" s="466">
        <f t="shared" si="140"/>
        <v>0</v>
      </c>
      <c r="L157" s="466">
        <f t="shared" si="140"/>
        <v>0</v>
      </c>
      <c r="M157" s="466">
        <f t="shared" si="140"/>
        <v>0</v>
      </c>
      <c r="N157" s="466">
        <f t="shared" si="140"/>
        <v>0</v>
      </c>
      <c r="O157" s="466">
        <f t="shared" si="140"/>
        <v>0</v>
      </c>
      <c r="P157" s="466">
        <f t="shared" si="140"/>
        <v>0</v>
      </c>
      <c r="Q157" s="466">
        <f t="shared" si="140"/>
        <v>0</v>
      </c>
      <c r="R157" s="466">
        <f t="shared" si="140"/>
        <v>0</v>
      </c>
      <c r="S157" s="466">
        <f t="shared" si="140"/>
        <v>0</v>
      </c>
      <c r="T157" s="466">
        <f t="shared" si="140"/>
        <v>0</v>
      </c>
      <c r="U157" s="466">
        <f t="shared" si="140"/>
        <v>0</v>
      </c>
      <c r="V157" s="466">
        <f t="shared" si="140"/>
        <v>0</v>
      </c>
      <c r="W157" s="466">
        <f t="shared" si="140"/>
        <v>0</v>
      </c>
      <c r="X157" s="466">
        <f t="shared" si="140"/>
        <v>0</v>
      </c>
      <c r="Y157" s="466">
        <f t="shared" si="140"/>
        <v>0</v>
      </c>
      <c r="Z157" s="466">
        <f t="shared" si="140"/>
        <v>0</v>
      </c>
      <c r="AA157" s="466">
        <f t="shared" si="140"/>
        <v>0</v>
      </c>
      <c r="AB157" s="466">
        <f t="shared" si="140"/>
        <v>0</v>
      </c>
      <c r="AC157" s="466">
        <f t="shared" si="140"/>
        <v>0</v>
      </c>
      <c r="AD157" s="466">
        <f t="shared" si="140"/>
        <v>0</v>
      </c>
      <c r="AE157" s="466">
        <f t="shared" si="140"/>
        <v>0</v>
      </c>
      <c r="AF157" s="466">
        <f t="shared" si="140"/>
        <v>0</v>
      </c>
      <c r="AG157" s="466">
        <f t="shared" si="140"/>
        <v>0</v>
      </c>
      <c r="AH157" s="466">
        <f t="shared" si="140"/>
        <v>0</v>
      </c>
      <c r="AI157" s="466">
        <f t="shared" si="140"/>
        <v>0</v>
      </c>
      <c r="AJ157" s="466">
        <f t="shared" si="140"/>
        <v>0</v>
      </c>
      <c r="AK157" s="466">
        <f t="shared" si="140"/>
        <v>0</v>
      </c>
      <c r="AL157" s="466">
        <f t="shared" si="140"/>
        <v>0</v>
      </c>
      <c r="AM157" s="466">
        <f t="shared" si="140"/>
        <v>0</v>
      </c>
      <c r="AN157" s="466">
        <f t="shared" si="140"/>
        <v>0</v>
      </c>
      <c r="AO157" s="466">
        <f t="shared" si="140"/>
        <v>0</v>
      </c>
      <c r="AP157" s="466">
        <f t="shared" si="140"/>
        <v>0</v>
      </c>
      <c r="AQ157" s="466">
        <f t="shared" si="140"/>
        <v>0</v>
      </c>
      <c r="AR157" s="466">
        <f t="shared" si="140"/>
        <v>0</v>
      </c>
      <c r="AS157" s="466">
        <f t="shared" si="140"/>
        <v>0</v>
      </c>
      <c r="AT157" s="466">
        <f t="shared" si="140"/>
        <v>0</v>
      </c>
      <c r="AU157" s="466">
        <f t="shared" si="140"/>
        <v>0</v>
      </c>
      <c r="AV157" s="466">
        <f t="shared" si="140"/>
        <v>0</v>
      </c>
      <c r="AW157" s="466">
        <f t="shared" si="140"/>
        <v>0</v>
      </c>
      <c r="AX157" s="466">
        <f t="shared" si="140"/>
        <v>0</v>
      </c>
      <c r="AY157" s="466">
        <f t="shared" si="140"/>
        <v>0</v>
      </c>
      <c r="AZ157" s="466">
        <f t="shared" si="140"/>
        <v>0</v>
      </c>
      <c r="BA157" s="466">
        <f t="shared" si="140"/>
        <v>0</v>
      </c>
      <c r="BB157" s="466">
        <f t="shared" si="140"/>
        <v>0</v>
      </c>
      <c r="BC157" s="466">
        <f t="shared" si="140"/>
        <v>0</v>
      </c>
      <c r="BD157" s="466">
        <f t="shared" si="140"/>
        <v>0</v>
      </c>
      <c r="BE157" s="466">
        <f t="shared" si="140"/>
        <v>0</v>
      </c>
      <c r="BF157" s="466">
        <f t="shared" si="140"/>
        <v>0</v>
      </c>
      <c r="BG157" s="466">
        <f t="shared" si="140"/>
        <v>0</v>
      </c>
      <c r="BH157" s="466">
        <f t="shared" si="140"/>
        <v>0</v>
      </c>
      <c r="BI157" s="466">
        <f t="shared" si="140"/>
        <v>0</v>
      </c>
      <c r="BJ157" s="466">
        <f t="shared" si="140"/>
        <v>0</v>
      </c>
      <c r="BK157" s="466">
        <f t="shared" si="140"/>
        <v>0</v>
      </c>
      <c r="BL157" s="466">
        <f t="shared" si="140"/>
        <v>0</v>
      </c>
      <c r="BM157" s="466">
        <f t="shared" si="140"/>
        <v>0</v>
      </c>
      <c r="BN157" s="466">
        <f t="shared" si="140"/>
        <v>598971.85878531402</v>
      </c>
      <c r="BO157" s="466">
        <f t="shared" si="140"/>
        <v>0</v>
      </c>
      <c r="BP157" s="466">
        <f t="shared" si="140"/>
        <v>0</v>
      </c>
      <c r="BQ157" s="466">
        <f t="shared" si="140"/>
        <v>0</v>
      </c>
      <c r="BR157" s="466">
        <f t="shared" ref="BR157:DV157" si="141">-BR154</f>
        <v>0</v>
      </c>
      <c r="BS157" s="466">
        <f t="shared" si="141"/>
        <v>0</v>
      </c>
      <c r="BT157" s="466">
        <f t="shared" si="141"/>
        <v>0</v>
      </c>
      <c r="BU157" s="466">
        <f t="shared" si="141"/>
        <v>0</v>
      </c>
      <c r="BV157" s="466">
        <f t="shared" si="141"/>
        <v>0</v>
      </c>
      <c r="BW157" s="466">
        <f t="shared" si="141"/>
        <v>0</v>
      </c>
      <c r="BX157" s="466">
        <f t="shared" si="141"/>
        <v>0</v>
      </c>
      <c r="BY157" s="466">
        <f t="shared" si="141"/>
        <v>0</v>
      </c>
      <c r="BZ157" s="466">
        <f t="shared" si="141"/>
        <v>0</v>
      </c>
      <c r="CA157" s="466">
        <f t="shared" si="141"/>
        <v>0</v>
      </c>
      <c r="CB157" s="466">
        <f t="shared" si="141"/>
        <v>0</v>
      </c>
      <c r="CC157" s="466">
        <f t="shared" si="141"/>
        <v>0</v>
      </c>
      <c r="CD157" s="466">
        <f t="shared" si="141"/>
        <v>0</v>
      </c>
      <c r="CE157" s="466">
        <f t="shared" si="141"/>
        <v>0</v>
      </c>
      <c r="CF157" s="466">
        <f t="shared" si="141"/>
        <v>0</v>
      </c>
      <c r="CG157" s="466">
        <f t="shared" si="141"/>
        <v>0</v>
      </c>
      <c r="CH157" s="466">
        <f t="shared" si="141"/>
        <v>0</v>
      </c>
      <c r="CI157" s="466">
        <f t="shared" si="141"/>
        <v>0</v>
      </c>
      <c r="CJ157" s="466">
        <f t="shared" si="141"/>
        <v>0</v>
      </c>
      <c r="CK157" s="466">
        <f t="shared" si="141"/>
        <v>0</v>
      </c>
      <c r="CL157" s="466">
        <f t="shared" si="141"/>
        <v>0</v>
      </c>
      <c r="CM157" s="466">
        <f t="shared" si="141"/>
        <v>0</v>
      </c>
      <c r="CN157" s="466">
        <f t="shared" si="141"/>
        <v>0</v>
      </c>
      <c r="CO157" s="466">
        <f t="shared" si="141"/>
        <v>0</v>
      </c>
      <c r="CP157" s="466">
        <f t="shared" si="141"/>
        <v>0</v>
      </c>
      <c r="CQ157" s="466">
        <f t="shared" si="141"/>
        <v>0</v>
      </c>
      <c r="CR157" s="466">
        <f t="shared" si="141"/>
        <v>0</v>
      </c>
      <c r="CS157" s="466">
        <f t="shared" si="141"/>
        <v>0</v>
      </c>
      <c r="CT157" s="466">
        <f t="shared" si="141"/>
        <v>0</v>
      </c>
      <c r="CU157" s="466">
        <f t="shared" si="141"/>
        <v>0</v>
      </c>
      <c r="CV157" s="466">
        <f t="shared" si="141"/>
        <v>0</v>
      </c>
      <c r="CW157" s="466">
        <f t="shared" si="141"/>
        <v>0</v>
      </c>
      <c r="CX157" s="466">
        <f t="shared" si="141"/>
        <v>0</v>
      </c>
      <c r="CY157" s="466">
        <f t="shared" si="141"/>
        <v>0</v>
      </c>
      <c r="CZ157" s="466">
        <f t="shared" si="141"/>
        <v>0</v>
      </c>
      <c r="DA157" s="466">
        <f t="shared" si="141"/>
        <v>0</v>
      </c>
      <c r="DB157" s="466">
        <f t="shared" si="141"/>
        <v>0</v>
      </c>
      <c r="DC157" s="466">
        <f t="shared" si="141"/>
        <v>0</v>
      </c>
      <c r="DD157" s="466">
        <f t="shared" si="141"/>
        <v>0</v>
      </c>
      <c r="DE157" s="466">
        <f t="shared" si="141"/>
        <v>0</v>
      </c>
      <c r="DF157" s="466">
        <f t="shared" si="141"/>
        <v>0</v>
      </c>
      <c r="DG157" s="466">
        <f t="shared" si="141"/>
        <v>0</v>
      </c>
      <c r="DH157" s="466">
        <f t="shared" si="141"/>
        <v>0</v>
      </c>
      <c r="DI157" s="466">
        <f t="shared" si="141"/>
        <v>0</v>
      </c>
      <c r="DJ157" s="466">
        <f t="shared" si="141"/>
        <v>0</v>
      </c>
      <c r="DK157" s="466">
        <f t="shared" si="141"/>
        <v>0</v>
      </c>
      <c r="DL157" s="466">
        <f t="shared" si="141"/>
        <v>0</v>
      </c>
      <c r="DM157" s="466">
        <f t="shared" si="141"/>
        <v>0</v>
      </c>
      <c r="DN157" s="466">
        <f t="shared" si="141"/>
        <v>0</v>
      </c>
      <c r="DO157" s="466">
        <f t="shared" si="141"/>
        <v>0</v>
      </c>
      <c r="DP157" s="466">
        <f t="shared" si="141"/>
        <v>0</v>
      </c>
      <c r="DQ157" s="466">
        <f t="shared" si="141"/>
        <v>0</v>
      </c>
      <c r="DR157" s="466">
        <f t="shared" si="141"/>
        <v>0</v>
      </c>
      <c r="DS157" s="466">
        <f t="shared" si="141"/>
        <v>0</v>
      </c>
      <c r="DT157" s="466">
        <f t="shared" si="141"/>
        <v>0</v>
      </c>
      <c r="DU157" s="466">
        <f t="shared" si="141"/>
        <v>0</v>
      </c>
      <c r="DV157" s="466">
        <f t="shared" si="141"/>
        <v>0</v>
      </c>
      <c r="DW157" s="322" t="s">
        <v>372</v>
      </c>
    </row>
    <row r="158" spans="3:127" hidden="1" outlineLevel="1" x14ac:dyDescent="0.3">
      <c r="C158" s="374" t="str">
        <f>C127</f>
        <v>Granite Park Equity</v>
      </c>
      <c r="D158" s="486">
        <f>1-(SUM(D157,D159))</f>
        <v>7.9999999999999849E-2</v>
      </c>
      <c r="E158" s="463">
        <f>SUM(F158:DV158)</f>
        <v>66552.428753923654</v>
      </c>
      <c r="F158" s="468">
        <f t="shared" ref="F158:BQ158" si="142">(F157/$D$157)*$D$158</f>
        <v>0</v>
      </c>
      <c r="G158" s="468">
        <f t="shared" si="142"/>
        <v>0</v>
      </c>
      <c r="H158" s="468">
        <f t="shared" si="142"/>
        <v>0</v>
      </c>
      <c r="I158" s="468">
        <f t="shared" si="142"/>
        <v>0</v>
      </c>
      <c r="J158" s="468">
        <f t="shared" si="142"/>
        <v>0</v>
      </c>
      <c r="K158" s="468">
        <f t="shared" si="142"/>
        <v>0</v>
      </c>
      <c r="L158" s="468">
        <f t="shared" si="142"/>
        <v>0</v>
      </c>
      <c r="M158" s="468">
        <f t="shared" si="142"/>
        <v>0</v>
      </c>
      <c r="N158" s="468">
        <f t="shared" si="142"/>
        <v>0</v>
      </c>
      <c r="O158" s="468">
        <f t="shared" si="142"/>
        <v>0</v>
      </c>
      <c r="P158" s="468">
        <f t="shared" si="142"/>
        <v>0</v>
      </c>
      <c r="Q158" s="468">
        <f t="shared" si="142"/>
        <v>0</v>
      </c>
      <c r="R158" s="468">
        <f t="shared" si="142"/>
        <v>0</v>
      </c>
      <c r="S158" s="468">
        <f t="shared" si="142"/>
        <v>0</v>
      </c>
      <c r="T158" s="468">
        <f t="shared" si="142"/>
        <v>0</v>
      </c>
      <c r="U158" s="468">
        <f t="shared" si="142"/>
        <v>0</v>
      </c>
      <c r="V158" s="468">
        <f t="shared" si="142"/>
        <v>0</v>
      </c>
      <c r="W158" s="468">
        <f t="shared" si="142"/>
        <v>0</v>
      </c>
      <c r="X158" s="468">
        <f t="shared" si="142"/>
        <v>0</v>
      </c>
      <c r="Y158" s="468">
        <f t="shared" si="142"/>
        <v>0</v>
      </c>
      <c r="Z158" s="468">
        <f t="shared" si="142"/>
        <v>0</v>
      </c>
      <c r="AA158" s="468">
        <f t="shared" si="142"/>
        <v>0</v>
      </c>
      <c r="AB158" s="468">
        <f t="shared" si="142"/>
        <v>0</v>
      </c>
      <c r="AC158" s="468">
        <f t="shared" si="142"/>
        <v>0</v>
      </c>
      <c r="AD158" s="468">
        <f t="shared" si="142"/>
        <v>0</v>
      </c>
      <c r="AE158" s="468">
        <f t="shared" si="142"/>
        <v>0</v>
      </c>
      <c r="AF158" s="468">
        <f t="shared" si="142"/>
        <v>0</v>
      </c>
      <c r="AG158" s="468">
        <f t="shared" si="142"/>
        <v>0</v>
      </c>
      <c r="AH158" s="468">
        <f t="shared" si="142"/>
        <v>0</v>
      </c>
      <c r="AI158" s="468">
        <f t="shared" si="142"/>
        <v>0</v>
      </c>
      <c r="AJ158" s="468">
        <f t="shared" si="142"/>
        <v>0</v>
      </c>
      <c r="AK158" s="468">
        <f t="shared" si="142"/>
        <v>0</v>
      </c>
      <c r="AL158" s="468">
        <f t="shared" si="142"/>
        <v>0</v>
      </c>
      <c r="AM158" s="468">
        <f t="shared" si="142"/>
        <v>0</v>
      </c>
      <c r="AN158" s="468">
        <f t="shared" si="142"/>
        <v>0</v>
      </c>
      <c r="AO158" s="468">
        <f t="shared" si="142"/>
        <v>0</v>
      </c>
      <c r="AP158" s="468">
        <f t="shared" si="142"/>
        <v>0</v>
      </c>
      <c r="AQ158" s="468">
        <f t="shared" si="142"/>
        <v>0</v>
      </c>
      <c r="AR158" s="468">
        <f t="shared" si="142"/>
        <v>0</v>
      </c>
      <c r="AS158" s="468">
        <f t="shared" si="142"/>
        <v>0</v>
      </c>
      <c r="AT158" s="468">
        <f t="shared" si="142"/>
        <v>0</v>
      </c>
      <c r="AU158" s="468">
        <f t="shared" si="142"/>
        <v>0</v>
      </c>
      <c r="AV158" s="468">
        <f t="shared" si="142"/>
        <v>0</v>
      </c>
      <c r="AW158" s="468">
        <f t="shared" si="142"/>
        <v>0</v>
      </c>
      <c r="AX158" s="468">
        <f t="shared" si="142"/>
        <v>0</v>
      </c>
      <c r="AY158" s="468">
        <f t="shared" si="142"/>
        <v>0</v>
      </c>
      <c r="AZ158" s="468">
        <f t="shared" si="142"/>
        <v>0</v>
      </c>
      <c r="BA158" s="468">
        <f t="shared" si="142"/>
        <v>0</v>
      </c>
      <c r="BB158" s="468">
        <f t="shared" si="142"/>
        <v>0</v>
      </c>
      <c r="BC158" s="468">
        <f t="shared" si="142"/>
        <v>0</v>
      </c>
      <c r="BD158" s="468">
        <f t="shared" si="142"/>
        <v>0</v>
      </c>
      <c r="BE158" s="468">
        <f t="shared" si="142"/>
        <v>0</v>
      </c>
      <c r="BF158" s="468">
        <f t="shared" si="142"/>
        <v>0</v>
      </c>
      <c r="BG158" s="468">
        <f t="shared" si="142"/>
        <v>0</v>
      </c>
      <c r="BH158" s="468">
        <f t="shared" si="142"/>
        <v>0</v>
      </c>
      <c r="BI158" s="468">
        <f t="shared" si="142"/>
        <v>0</v>
      </c>
      <c r="BJ158" s="468">
        <f t="shared" si="142"/>
        <v>0</v>
      </c>
      <c r="BK158" s="468">
        <f t="shared" si="142"/>
        <v>0</v>
      </c>
      <c r="BL158" s="468">
        <f t="shared" si="142"/>
        <v>0</v>
      </c>
      <c r="BM158" s="468">
        <f t="shared" si="142"/>
        <v>0</v>
      </c>
      <c r="BN158" s="468">
        <f t="shared" si="142"/>
        <v>66552.428753923654</v>
      </c>
      <c r="BO158" s="468">
        <f t="shared" si="142"/>
        <v>0</v>
      </c>
      <c r="BP158" s="468">
        <f t="shared" si="142"/>
        <v>0</v>
      </c>
      <c r="BQ158" s="468">
        <f t="shared" si="142"/>
        <v>0</v>
      </c>
      <c r="BR158" s="468">
        <f t="shared" ref="BR158:DV158" si="143">(BR157/$D$157)*$D$158</f>
        <v>0</v>
      </c>
      <c r="BS158" s="468">
        <f t="shared" si="143"/>
        <v>0</v>
      </c>
      <c r="BT158" s="468">
        <f t="shared" si="143"/>
        <v>0</v>
      </c>
      <c r="BU158" s="468">
        <f t="shared" si="143"/>
        <v>0</v>
      </c>
      <c r="BV158" s="468">
        <f t="shared" si="143"/>
        <v>0</v>
      </c>
      <c r="BW158" s="468">
        <f t="shared" si="143"/>
        <v>0</v>
      </c>
      <c r="BX158" s="468">
        <f t="shared" si="143"/>
        <v>0</v>
      </c>
      <c r="BY158" s="468">
        <f t="shared" si="143"/>
        <v>0</v>
      </c>
      <c r="BZ158" s="468">
        <f t="shared" si="143"/>
        <v>0</v>
      </c>
      <c r="CA158" s="468">
        <f t="shared" si="143"/>
        <v>0</v>
      </c>
      <c r="CB158" s="468">
        <f t="shared" si="143"/>
        <v>0</v>
      </c>
      <c r="CC158" s="468">
        <f t="shared" si="143"/>
        <v>0</v>
      </c>
      <c r="CD158" s="468">
        <f t="shared" si="143"/>
        <v>0</v>
      </c>
      <c r="CE158" s="468">
        <f t="shared" si="143"/>
        <v>0</v>
      </c>
      <c r="CF158" s="468">
        <f t="shared" si="143"/>
        <v>0</v>
      </c>
      <c r="CG158" s="468">
        <f t="shared" si="143"/>
        <v>0</v>
      </c>
      <c r="CH158" s="468">
        <f t="shared" si="143"/>
        <v>0</v>
      </c>
      <c r="CI158" s="468">
        <f t="shared" si="143"/>
        <v>0</v>
      </c>
      <c r="CJ158" s="468">
        <f t="shared" si="143"/>
        <v>0</v>
      </c>
      <c r="CK158" s="468">
        <f t="shared" si="143"/>
        <v>0</v>
      </c>
      <c r="CL158" s="468">
        <f t="shared" si="143"/>
        <v>0</v>
      </c>
      <c r="CM158" s="468">
        <f t="shared" si="143"/>
        <v>0</v>
      </c>
      <c r="CN158" s="468">
        <f t="shared" si="143"/>
        <v>0</v>
      </c>
      <c r="CO158" s="468">
        <f t="shared" si="143"/>
        <v>0</v>
      </c>
      <c r="CP158" s="468">
        <f t="shared" si="143"/>
        <v>0</v>
      </c>
      <c r="CQ158" s="468">
        <f t="shared" si="143"/>
        <v>0</v>
      </c>
      <c r="CR158" s="468">
        <f t="shared" si="143"/>
        <v>0</v>
      </c>
      <c r="CS158" s="468">
        <f t="shared" si="143"/>
        <v>0</v>
      </c>
      <c r="CT158" s="468">
        <f t="shared" si="143"/>
        <v>0</v>
      </c>
      <c r="CU158" s="468">
        <f t="shared" si="143"/>
        <v>0</v>
      </c>
      <c r="CV158" s="468">
        <f t="shared" si="143"/>
        <v>0</v>
      </c>
      <c r="CW158" s="468">
        <f t="shared" si="143"/>
        <v>0</v>
      </c>
      <c r="CX158" s="468">
        <f t="shared" si="143"/>
        <v>0</v>
      </c>
      <c r="CY158" s="468">
        <f t="shared" si="143"/>
        <v>0</v>
      </c>
      <c r="CZ158" s="468">
        <f t="shared" si="143"/>
        <v>0</v>
      </c>
      <c r="DA158" s="468">
        <f t="shared" si="143"/>
        <v>0</v>
      </c>
      <c r="DB158" s="468">
        <f t="shared" si="143"/>
        <v>0</v>
      </c>
      <c r="DC158" s="468">
        <f t="shared" si="143"/>
        <v>0</v>
      </c>
      <c r="DD158" s="468">
        <f t="shared" si="143"/>
        <v>0</v>
      </c>
      <c r="DE158" s="468">
        <f t="shared" si="143"/>
        <v>0</v>
      </c>
      <c r="DF158" s="468">
        <f t="shared" si="143"/>
        <v>0</v>
      </c>
      <c r="DG158" s="468">
        <f t="shared" si="143"/>
        <v>0</v>
      </c>
      <c r="DH158" s="468">
        <f t="shared" si="143"/>
        <v>0</v>
      </c>
      <c r="DI158" s="468">
        <f t="shared" si="143"/>
        <v>0</v>
      </c>
      <c r="DJ158" s="468">
        <f t="shared" si="143"/>
        <v>0</v>
      </c>
      <c r="DK158" s="468">
        <f t="shared" si="143"/>
        <v>0</v>
      </c>
      <c r="DL158" s="468">
        <f t="shared" si="143"/>
        <v>0</v>
      </c>
      <c r="DM158" s="468">
        <f t="shared" si="143"/>
        <v>0</v>
      </c>
      <c r="DN158" s="468">
        <f t="shared" si="143"/>
        <v>0</v>
      </c>
      <c r="DO158" s="468">
        <f t="shared" si="143"/>
        <v>0</v>
      </c>
      <c r="DP158" s="468">
        <f t="shared" si="143"/>
        <v>0</v>
      </c>
      <c r="DQ158" s="468">
        <f t="shared" si="143"/>
        <v>0</v>
      </c>
      <c r="DR158" s="468">
        <f t="shared" si="143"/>
        <v>0</v>
      </c>
      <c r="DS158" s="468">
        <f t="shared" si="143"/>
        <v>0</v>
      </c>
      <c r="DT158" s="468">
        <f t="shared" si="143"/>
        <v>0</v>
      </c>
      <c r="DU158" s="468">
        <f t="shared" si="143"/>
        <v>0</v>
      </c>
      <c r="DV158" s="468">
        <f t="shared" si="143"/>
        <v>0</v>
      </c>
      <c r="DW158" s="322" t="s">
        <v>372</v>
      </c>
    </row>
    <row r="159" spans="3:127" hidden="1" outlineLevel="1" x14ac:dyDescent="0.3">
      <c r="C159" s="374" t="str">
        <f>C106&amp; " Promote"</f>
        <v>Granite Park Promote</v>
      </c>
      <c r="D159" s="486">
        <f>G39</f>
        <v>0.2</v>
      </c>
      <c r="E159" s="463">
        <f>SUM(F159:DV159)</f>
        <v>166381.07188480944</v>
      </c>
      <c r="F159" s="468">
        <f t="shared" ref="F159:BQ159" si="144">(F157/$D$157)*$D$159</f>
        <v>0</v>
      </c>
      <c r="G159" s="468">
        <f t="shared" si="144"/>
        <v>0</v>
      </c>
      <c r="H159" s="468">
        <f t="shared" si="144"/>
        <v>0</v>
      </c>
      <c r="I159" s="468">
        <f t="shared" si="144"/>
        <v>0</v>
      </c>
      <c r="J159" s="468">
        <f t="shared" si="144"/>
        <v>0</v>
      </c>
      <c r="K159" s="468">
        <f t="shared" si="144"/>
        <v>0</v>
      </c>
      <c r="L159" s="468">
        <f t="shared" si="144"/>
        <v>0</v>
      </c>
      <c r="M159" s="468">
        <f t="shared" si="144"/>
        <v>0</v>
      </c>
      <c r="N159" s="468">
        <f t="shared" si="144"/>
        <v>0</v>
      </c>
      <c r="O159" s="468">
        <f t="shared" si="144"/>
        <v>0</v>
      </c>
      <c r="P159" s="468">
        <f t="shared" si="144"/>
        <v>0</v>
      </c>
      <c r="Q159" s="468">
        <f t="shared" si="144"/>
        <v>0</v>
      </c>
      <c r="R159" s="468">
        <f t="shared" si="144"/>
        <v>0</v>
      </c>
      <c r="S159" s="468">
        <f t="shared" si="144"/>
        <v>0</v>
      </c>
      <c r="T159" s="468">
        <f t="shared" si="144"/>
        <v>0</v>
      </c>
      <c r="U159" s="468">
        <f t="shared" si="144"/>
        <v>0</v>
      </c>
      <c r="V159" s="468">
        <f t="shared" si="144"/>
        <v>0</v>
      </c>
      <c r="W159" s="468">
        <f t="shared" si="144"/>
        <v>0</v>
      </c>
      <c r="X159" s="468">
        <f t="shared" si="144"/>
        <v>0</v>
      </c>
      <c r="Y159" s="468">
        <f t="shared" si="144"/>
        <v>0</v>
      </c>
      <c r="Z159" s="468">
        <f t="shared" si="144"/>
        <v>0</v>
      </c>
      <c r="AA159" s="468">
        <f t="shared" si="144"/>
        <v>0</v>
      </c>
      <c r="AB159" s="468">
        <f t="shared" si="144"/>
        <v>0</v>
      </c>
      <c r="AC159" s="468">
        <f t="shared" si="144"/>
        <v>0</v>
      </c>
      <c r="AD159" s="468">
        <f t="shared" si="144"/>
        <v>0</v>
      </c>
      <c r="AE159" s="468">
        <f t="shared" si="144"/>
        <v>0</v>
      </c>
      <c r="AF159" s="468">
        <f t="shared" si="144"/>
        <v>0</v>
      </c>
      <c r="AG159" s="468">
        <f t="shared" si="144"/>
        <v>0</v>
      </c>
      <c r="AH159" s="468">
        <f t="shared" si="144"/>
        <v>0</v>
      </c>
      <c r="AI159" s="468">
        <f t="shared" si="144"/>
        <v>0</v>
      </c>
      <c r="AJ159" s="468">
        <f t="shared" si="144"/>
        <v>0</v>
      </c>
      <c r="AK159" s="468">
        <f t="shared" si="144"/>
        <v>0</v>
      </c>
      <c r="AL159" s="468">
        <f t="shared" si="144"/>
        <v>0</v>
      </c>
      <c r="AM159" s="468">
        <f t="shared" si="144"/>
        <v>0</v>
      </c>
      <c r="AN159" s="468">
        <f t="shared" si="144"/>
        <v>0</v>
      </c>
      <c r="AO159" s="468">
        <f t="shared" si="144"/>
        <v>0</v>
      </c>
      <c r="AP159" s="468">
        <f t="shared" si="144"/>
        <v>0</v>
      </c>
      <c r="AQ159" s="468">
        <f t="shared" si="144"/>
        <v>0</v>
      </c>
      <c r="AR159" s="468">
        <f t="shared" si="144"/>
        <v>0</v>
      </c>
      <c r="AS159" s="468">
        <f t="shared" si="144"/>
        <v>0</v>
      </c>
      <c r="AT159" s="468">
        <f t="shared" si="144"/>
        <v>0</v>
      </c>
      <c r="AU159" s="468">
        <f t="shared" si="144"/>
        <v>0</v>
      </c>
      <c r="AV159" s="468">
        <f t="shared" si="144"/>
        <v>0</v>
      </c>
      <c r="AW159" s="468">
        <f t="shared" si="144"/>
        <v>0</v>
      </c>
      <c r="AX159" s="468">
        <f t="shared" si="144"/>
        <v>0</v>
      </c>
      <c r="AY159" s="468">
        <f t="shared" si="144"/>
        <v>0</v>
      </c>
      <c r="AZ159" s="468">
        <f t="shared" si="144"/>
        <v>0</v>
      </c>
      <c r="BA159" s="468">
        <f t="shared" si="144"/>
        <v>0</v>
      </c>
      <c r="BB159" s="468">
        <f t="shared" si="144"/>
        <v>0</v>
      </c>
      <c r="BC159" s="468">
        <f t="shared" si="144"/>
        <v>0</v>
      </c>
      <c r="BD159" s="468">
        <f t="shared" si="144"/>
        <v>0</v>
      </c>
      <c r="BE159" s="468">
        <f t="shared" si="144"/>
        <v>0</v>
      </c>
      <c r="BF159" s="468">
        <f t="shared" si="144"/>
        <v>0</v>
      </c>
      <c r="BG159" s="468">
        <f t="shared" si="144"/>
        <v>0</v>
      </c>
      <c r="BH159" s="468">
        <f t="shared" si="144"/>
        <v>0</v>
      </c>
      <c r="BI159" s="468">
        <f t="shared" si="144"/>
        <v>0</v>
      </c>
      <c r="BJ159" s="468">
        <f t="shared" si="144"/>
        <v>0</v>
      </c>
      <c r="BK159" s="468">
        <f t="shared" si="144"/>
        <v>0</v>
      </c>
      <c r="BL159" s="468">
        <f t="shared" si="144"/>
        <v>0</v>
      </c>
      <c r="BM159" s="468">
        <f t="shared" si="144"/>
        <v>0</v>
      </c>
      <c r="BN159" s="468">
        <f t="shared" si="144"/>
        <v>166381.07188480944</v>
      </c>
      <c r="BO159" s="468">
        <f t="shared" si="144"/>
        <v>0</v>
      </c>
      <c r="BP159" s="468">
        <f t="shared" si="144"/>
        <v>0</v>
      </c>
      <c r="BQ159" s="468">
        <f t="shared" si="144"/>
        <v>0</v>
      </c>
      <c r="BR159" s="468">
        <f t="shared" ref="BR159:DV159" si="145">(BR157/$D$157)*$D$159</f>
        <v>0</v>
      </c>
      <c r="BS159" s="468">
        <f t="shared" si="145"/>
        <v>0</v>
      </c>
      <c r="BT159" s="468">
        <f t="shared" si="145"/>
        <v>0</v>
      </c>
      <c r="BU159" s="468">
        <f t="shared" si="145"/>
        <v>0</v>
      </c>
      <c r="BV159" s="468">
        <f t="shared" si="145"/>
        <v>0</v>
      </c>
      <c r="BW159" s="468">
        <f t="shared" si="145"/>
        <v>0</v>
      </c>
      <c r="BX159" s="468">
        <f t="shared" si="145"/>
        <v>0</v>
      </c>
      <c r="BY159" s="468">
        <f t="shared" si="145"/>
        <v>0</v>
      </c>
      <c r="BZ159" s="468">
        <f t="shared" si="145"/>
        <v>0</v>
      </c>
      <c r="CA159" s="468">
        <f t="shared" si="145"/>
        <v>0</v>
      </c>
      <c r="CB159" s="468">
        <f t="shared" si="145"/>
        <v>0</v>
      </c>
      <c r="CC159" s="468">
        <f t="shared" si="145"/>
        <v>0</v>
      </c>
      <c r="CD159" s="468">
        <f t="shared" si="145"/>
        <v>0</v>
      </c>
      <c r="CE159" s="468">
        <f t="shared" si="145"/>
        <v>0</v>
      </c>
      <c r="CF159" s="468">
        <f t="shared" si="145"/>
        <v>0</v>
      </c>
      <c r="CG159" s="468">
        <f t="shared" si="145"/>
        <v>0</v>
      </c>
      <c r="CH159" s="468">
        <f t="shared" si="145"/>
        <v>0</v>
      </c>
      <c r="CI159" s="468">
        <f t="shared" si="145"/>
        <v>0</v>
      </c>
      <c r="CJ159" s="468">
        <f t="shared" si="145"/>
        <v>0</v>
      </c>
      <c r="CK159" s="468">
        <f t="shared" si="145"/>
        <v>0</v>
      </c>
      <c r="CL159" s="468">
        <f t="shared" si="145"/>
        <v>0</v>
      </c>
      <c r="CM159" s="468">
        <f t="shared" si="145"/>
        <v>0</v>
      </c>
      <c r="CN159" s="468">
        <f t="shared" si="145"/>
        <v>0</v>
      </c>
      <c r="CO159" s="468">
        <f t="shared" si="145"/>
        <v>0</v>
      </c>
      <c r="CP159" s="468">
        <f t="shared" si="145"/>
        <v>0</v>
      </c>
      <c r="CQ159" s="468">
        <f t="shared" si="145"/>
        <v>0</v>
      </c>
      <c r="CR159" s="468">
        <f t="shared" si="145"/>
        <v>0</v>
      </c>
      <c r="CS159" s="468">
        <f t="shared" si="145"/>
        <v>0</v>
      </c>
      <c r="CT159" s="468">
        <f t="shared" si="145"/>
        <v>0</v>
      </c>
      <c r="CU159" s="468">
        <f t="shared" si="145"/>
        <v>0</v>
      </c>
      <c r="CV159" s="468">
        <f t="shared" si="145"/>
        <v>0</v>
      </c>
      <c r="CW159" s="468">
        <f t="shared" si="145"/>
        <v>0</v>
      </c>
      <c r="CX159" s="468">
        <f t="shared" si="145"/>
        <v>0</v>
      </c>
      <c r="CY159" s="468">
        <f t="shared" si="145"/>
        <v>0</v>
      </c>
      <c r="CZ159" s="468">
        <f t="shared" si="145"/>
        <v>0</v>
      </c>
      <c r="DA159" s="468">
        <f t="shared" si="145"/>
        <v>0</v>
      </c>
      <c r="DB159" s="468">
        <f t="shared" si="145"/>
        <v>0</v>
      </c>
      <c r="DC159" s="468">
        <f t="shared" si="145"/>
        <v>0</v>
      </c>
      <c r="DD159" s="468">
        <f t="shared" si="145"/>
        <v>0</v>
      </c>
      <c r="DE159" s="468">
        <f t="shared" si="145"/>
        <v>0</v>
      </c>
      <c r="DF159" s="468">
        <f t="shared" si="145"/>
        <v>0</v>
      </c>
      <c r="DG159" s="468">
        <f t="shared" si="145"/>
        <v>0</v>
      </c>
      <c r="DH159" s="468">
        <f t="shared" si="145"/>
        <v>0</v>
      </c>
      <c r="DI159" s="468">
        <f t="shared" si="145"/>
        <v>0</v>
      </c>
      <c r="DJ159" s="468">
        <f t="shared" si="145"/>
        <v>0</v>
      </c>
      <c r="DK159" s="468">
        <f t="shared" si="145"/>
        <v>0</v>
      </c>
      <c r="DL159" s="468">
        <f t="shared" si="145"/>
        <v>0</v>
      </c>
      <c r="DM159" s="468">
        <f t="shared" si="145"/>
        <v>0</v>
      </c>
      <c r="DN159" s="468">
        <f t="shared" si="145"/>
        <v>0</v>
      </c>
      <c r="DO159" s="468">
        <f t="shared" si="145"/>
        <v>0</v>
      </c>
      <c r="DP159" s="468">
        <f t="shared" si="145"/>
        <v>0</v>
      </c>
      <c r="DQ159" s="468">
        <f t="shared" si="145"/>
        <v>0</v>
      </c>
      <c r="DR159" s="468">
        <f t="shared" si="145"/>
        <v>0</v>
      </c>
      <c r="DS159" s="468">
        <f t="shared" si="145"/>
        <v>0</v>
      </c>
      <c r="DT159" s="468">
        <f t="shared" si="145"/>
        <v>0</v>
      </c>
      <c r="DU159" s="468">
        <f t="shared" si="145"/>
        <v>0</v>
      </c>
      <c r="DV159" s="468">
        <f t="shared" si="145"/>
        <v>0</v>
      </c>
      <c r="DW159" s="322" t="s">
        <v>372</v>
      </c>
    </row>
    <row r="160" spans="3:127" ht="17.25" hidden="1" outlineLevel="1" thickBot="1" x14ac:dyDescent="0.35">
      <c r="C160" s="365" t="s">
        <v>406</v>
      </c>
      <c r="D160" s="486"/>
      <c r="E160" s="414">
        <f>SUM(E157:E159)</f>
        <v>831905.35942404706</v>
      </c>
      <c r="F160" s="415"/>
      <c r="G160" s="415">
        <f t="shared" ref="G160:BR160" si="146">SUM(G157:G159)</f>
        <v>0</v>
      </c>
      <c r="H160" s="415">
        <f t="shared" si="146"/>
        <v>0</v>
      </c>
      <c r="I160" s="415">
        <f t="shared" si="146"/>
        <v>0</v>
      </c>
      <c r="J160" s="415">
        <f t="shared" si="146"/>
        <v>0</v>
      </c>
      <c r="K160" s="415">
        <f t="shared" si="146"/>
        <v>0</v>
      </c>
      <c r="L160" s="415">
        <f t="shared" si="146"/>
        <v>0</v>
      </c>
      <c r="M160" s="415">
        <f t="shared" si="146"/>
        <v>0</v>
      </c>
      <c r="N160" s="415">
        <f t="shared" si="146"/>
        <v>0</v>
      </c>
      <c r="O160" s="415">
        <f t="shared" si="146"/>
        <v>0</v>
      </c>
      <c r="P160" s="415">
        <f t="shared" si="146"/>
        <v>0</v>
      </c>
      <c r="Q160" s="415">
        <f t="shared" si="146"/>
        <v>0</v>
      </c>
      <c r="R160" s="415">
        <f t="shared" si="146"/>
        <v>0</v>
      </c>
      <c r="S160" s="415">
        <f t="shared" si="146"/>
        <v>0</v>
      </c>
      <c r="T160" s="415">
        <f t="shared" si="146"/>
        <v>0</v>
      </c>
      <c r="U160" s="415">
        <f t="shared" si="146"/>
        <v>0</v>
      </c>
      <c r="V160" s="415">
        <f t="shared" si="146"/>
        <v>0</v>
      </c>
      <c r="W160" s="415">
        <f t="shared" si="146"/>
        <v>0</v>
      </c>
      <c r="X160" s="415">
        <f t="shared" si="146"/>
        <v>0</v>
      </c>
      <c r="Y160" s="415">
        <f t="shared" si="146"/>
        <v>0</v>
      </c>
      <c r="Z160" s="415">
        <f t="shared" si="146"/>
        <v>0</v>
      </c>
      <c r="AA160" s="415">
        <f t="shared" si="146"/>
        <v>0</v>
      </c>
      <c r="AB160" s="415">
        <f t="shared" si="146"/>
        <v>0</v>
      </c>
      <c r="AC160" s="415">
        <f t="shared" si="146"/>
        <v>0</v>
      </c>
      <c r="AD160" s="415">
        <f t="shared" si="146"/>
        <v>0</v>
      </c>
      <c r="AE160" s="415">
        <f t="shared" si="146"/>
        <v>0</v>
      </c>
      <c r="AF160" s="415">
        <f t="shared" si="146"/>
        <v>0</v>
      </c>
      <c r="AG160" s="415">
        <f t="shared" si="146"/>
        <v>0</v>
      </c>
      <c r="AH160" s="415">
        <f t="shared" si="146"/>
        <v>0</v>
      </c>
      <c r="AI160" s="415">
        <f t="shared" si="146"/>
        <v>0</v>
      </c>
      <c r="AJ160" s="415">
        <f t="shared" si="146"/>
        <v>0</v>
      </c>
      <c r="AK160" s="415">
        <f t="shared" si="146"/>
        <v>0</v>
      </c>
      <c r="AL160" s="415">
        <f t="shared" si="146"/>
        <v>0</v>
      </c>
      <c r="AM160" s="415">
        <f t="shared" si="146"/>
        <v>0</v>
      </c>
      <c r="AN160" s="415">
        <f t="shared" si="146"/>
        <v>0</v>
      </c>
      <c r="AO160" s="415">
        <f t="shared" si="146"/>
        <v>0</v>
      </c>
      <c r="AP160" s="415">
        <f t="shared" si="146"/>
        <v>0</v>
      </c>
      <c r="AQ160" s="415">
        <f t="shared" si="146"/>
        <v>0</v>
      </c>
      <c r="AR160" s="415">
        <f t="shared" si="146"/>
        <v>0</v>
      </c>
      <c r="AS160" s="415">
        <f t="shared" si="146"/>
        <v>0</v>
      </c>
      <c r="AT160" s="415">
        <f t="shared" si="146"/>
        <v>0</v>
      </c>
      <c r="AU160" s="415">
        <f t="shared" si="146"/>
        <v>0</v>
      </c>
      <c r="AV160" s="415">
        <f t="shared" si="146"/>
        <v>0</v>
      </c>
      <c r="AW160" s="415">
        <f t="shared" si="146"/>
        <v>0</v>
      </c>
      <c r="AX160" s="415">
        <f t="shared" si="146"/>
        <v>0</v>
      </c>
      <c r="AY160" s="415">
        <f t="shared" si="146"/>
        <v>0</v>
      </c>
      <c r="AZ160" s="415">
        <f t="shared" si="146"/>
        <v>0</v>
      </c>
      <c r="BA160" s="415">
        <f t="shared" si="146"/>
        <v>0</v>
      </c>
      <c r="BB160" s="415">
        <f t="shared" si="146"/>
        <v>0</v>
      </c>
      <c r="BC160" s="415">
        <f t="shared" si="146"/>
        <v>0</v>
      </c>
      <c r="BD160" s="415">
        <f t="shared" si="146"/>
        <v>0</v>
      </c>
      <c r="BE160" s="415">
        <f t="shared" si="146"/>
        <v>0</v>
      </c>
      <c r="BF160" s="415">
        <f t="shared" si="146"/>
        <v>0</v>
      </c>
      <c r="BG160" s="415">
        <f t="shared" si="146"/>
        <v>0</v>
      </c>
      <c r="BH160" s="415">
        <f t="shared" si="146"/>
        <v>0</v>
      </c>
      <c r="BI160" s="415">
        <f t="shared" si="146"/>
        <v>0</v>
      </c>
      <c r="BJ160" s="415">
        <f t="shared" si="146"/>
        <v>0</v>
      </c>
      <c r="BK160" s="415">
        <f t="shared" si="146"/>
        <v>0</v>
      </c>
      <c r="BL160" s="415">
        <f t="shared" si="146"/>
        <v>0</v>
      </c>
      <c r="BM160" s="415">
        <f t="shared" si="146"/>
        <v>0</v>
      </c>
      <c r="BN160" s="415">
        <f t="shared" si="146"/>
        <v>831905.35942404706</v>
      </c>
      <c r="BO160" s="415">
        <f t="shared" si="146"/>
        <v>0</v>
      </c>
      <c r="BP160" s="415">
        <f t="shared" si="146"/>
        <v>0</v>
      </c>
      <c r="BQ160" s="415">
        <f t="shared" si="146"/>
        <v>0</v>
      </c>
      <c r="BR160" s="415">
        <f t="shared" si="146"/>
        <v>0</v>
      </c>
      <c r="BS160" s="415">
        <f t="shared" ref="BS160:DV160" si="147">SUM(BS157:BS159)</f>
        <v>0</v>
      </c>
      <c r="BT160" s="415">
        <f t="shared" si="147"/>
        <v>0</v>
      </c>
      <c r="BU160" s="415">
        <f t="shared" si="147"/>
        <v>0</v>
      </c>
      <c r="BV160" s="415">
        <f t="shared" si="147"/>
        <v>0</v>
      </c>
      <c r="BW160" s="415">
        <f t="shared" si="147"/>
        <v>0</v>
      </c>
      <c r="BX160" s="415">
        <f t="shared" si="147"/>
        <v>0</v>
      </c>
      <c r="BY160" s="415">
        <f t="shared" si="147"/>
        <v>0</v>
      </c>
      <c r="BZ160" s="415">
        <f t="shared" si="147"/>
        <v>0</v>
      </c>
      <c r="CA160" s="415">
        <f t="shared" si="147"/>
        <v>0</v>
      </c>
      <c r="CB160" s="415">
        <f t="shared" si="147"/>
        <v>0</v>
      </c>
      <c r="CC160" s="415">
        <f t="shared" si="147"/>
        <v>0</v>
      </c>
      <c r="CD160" s="415">
        <f t="shared" si="147"/>
        <v>0</v>
      </c>
      <c r="CE160" s="415">
        <f t="shared" si="147"/>
        <v>0</v>
      </c>
      <c r="CF160" s="415">
        <f t="shared" si="147"/>
        <v>0</v>
      </c>
      <c r="CG160" s="415">
        <f t="shared" si="147"/>
        <v>0</v>
      </c>
      <c r="CH160" s="415">
        <f t="shared" si="147"/>
        <v>0</v>
      </c>
      <c r="CI160" s="415">
        <f t="shared" si="147"/>
        <v>0</v>
      </c>
      <c r="CJ160" s="415">
        <f t="shared" si="147"/>
        <v>0</v>
      </c>
      <c r="CK160" s="415">
        <f t="shared" si="147"/>
        <v>0</v>
      </c>
      <c r="CL160" s="415">
        <f t="shared" si="147"/>
        <v>0</v>
      </c>
      <c r="CM160" s="415">
        <f t="shared" si="147"/>
        <v>0</v>
      </c>
      <c r="CN160" s="415">
        <f t="shared" si="147"/>
        <v>0</v>
      </c>
      <c r="CO160" s="415">
        <f t="shared" si="147"/>
        <v>0</v>
      </c>
      <c r="CP160" s="415">
        <f t="shared" si="147"/>
        <v>0</v>
      </c>
      <c r="CQ160" s="415">
        <f t="shared" si="147"/>
        <v>0</v>
      </c>
      <c r="CR160" s="415">
        <f t="shared" si="147"/>
        <v>0</v>
      </c>
      <c r="CS160" s="415">
        <f t="shared" si="147"/>
        <v>0</v>
      </c>
      <c r="CT160" s="415">
        <f t="shared" si="147"/>
        <v>0</v>
      </c>
      <c r="CU160" s="415">
        <f t="shared" si="147"/>
        <v>0</v>
      </c>
      <c r="CV160" s="415">
        <f t="shared" si="147"/>
        <v>0</v>
      </c>
      <c r="CW160" s="415">
        <f t="shared" si="147"/>
        <v>0</v>
      </c>
      <c r="CX160" s="415">
        <f t="shared" si="147"/>
        <v>0</v>
      </c>
      <c r="CY160" s="415">
        <f t="shared" si="147"/>
        <v>0</v>
      </c>
      <c r="CZ160" s="415">
        <f t="shared" si="147"/>
        <v>0</v>
      </c>
      <c r="DA160" s="415">
        <f t="shared" si="147"/>
        <v>0</v>
      </c>
      <c r="DB160" s="415">
        <f t="shared" si="147"/>
        <v>0</v>
      </c>
      <c r="DC160" s="415">
        <f t="shared" si="147"/>
        <v>0</v>
      </c>
      <c r="DD160" s="415">
        <f t="shared" si="147"/>
        <v>0</v>
      </c>
      <c r="DE160" s="415">
        <f t="shared" si="147"/>
        <v>0</v>
      </c>
      <c r="DF160" s="415">
        <f t="shared" si="147"/>
        <v>0</v>
      </c>
      <c r="DG160" s="415">
        <f t="shared" si="147"/>
        <v>0</v>
      </c>
      <c r="DH160" s="415">
        <f t="shared" si="147"/>
        <v>0</v>
      </c>
      <c r="DI160" s="415">
        <f t="shared" si="147"/>
        <v>0</v>
      </c>
      <c r="DJ160" s="415">
        <f t="shared" si="147"/>
        <v>0</v>
      </c>
      <c r="DK160" s="415">
        <f t="shared" si="147"/>
        <v>0</v>
      </c>
      <c r="DL160" s="415">
        <f t="shared" si="147"/>
        <v>0</v>
      </c>
      <c r="DM160" s="415">
        <f t="shared" si="147"/>
        <v>0</v>
      </c>
      <c r="DN160" s="415">
        <f t="shared" si="147"/>
        <v>0</v>
      </c>
      <c r="DO160" s="415">
        <f t="shared" si="147"/>
        <v>0</v>
      </c>
      <c r="DP160" s="415">
        <f t="shared" si="147"/>
        <v>0</v>
      </c>
      <c r="DQ160" s="415">
        <f t="shared" si="147"/>
        <v>0</v>
      </c>
      <c r="DR160" s="415">
        <f t="shared" si="147"/>
        <v>0</v>
      </c>
      <c r="DS160" s="415">
        <f t="shared" si="147"/>
        <v>0</v>
      </c>
      <c r="DT160" s="415">
        <f t="shared" si="147"/>
        <v>0</v>
      </c>
      <c r="DU160" s="415">
        <f t="shared" si="147"/>
        <v>0</v>
      </c>
      <c r="DV160" s="415">
        <f t="shared" si="147"/>
        <v>0</v>
      </c>
      <c r="DW160" s="322" t="s">
        <v>372</v>
      </c>
    </row>
    <row r="161" spans="3:127" ht="17.25" hidden="1" outlineLevel="1" thickTop="1" x14ac:dyDescent="0.3"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360"/>
      <c r="AB161" s="360"/>
      <c r="AC161" s="360"/>
      <c r="AD161" s="360"/>
      <c r="AE161" s="360"/>
      <c r="AF161" s="360"/>
      <c r="AG161" s="360"/>
      <c r="AH161" s="360"/>
      <c r="AI161" s="360"/>
      <c r="AJ161" s="360"/>
      <c r="AK161" s="360"/>
      <c r="AL161" s="360"/>
      <c r="AM161" s="360"/>
      <c r="AN161" s="360"/>
      <c r="AO161" s="360"/>
      <c r="AP161" s="360"/>
      <c r="AQ161" s="360"/>
      <c r="AR161" s="360"/>
      <c r="AS161" s="360"/>
      <c r="AT161" s="360"/>
      <c r="AU161" s="360"/>
      <c r="AV161" s="360"/>
      <c r="AW161" s="360"/>
      <c r="AX161" s="360"/>
      <c r="AY161" s="360"/>
      <c r="AZ161" s="360"/>
      <c r="BA161" s="360"/>
      <c r="BB161" s="360"/>
      <c r="BC161" s="360"/>
      <c r="BD161" s="360"/>
      <c r="BE161" s="360"/>
      <c r="BF161" s="360"/>
      <c r="BG161" s="360"/>
      <c r="BH161" s="360"/>
      <c r="BI161" s="360"/>
      <c r="BJ161" s="360"/>
      <c r="BK161" s="360"/>
      <c r="BL161" s="360"/>
      <c r="BM161" s="360"/>
      <c r="BN161" s="360"/>
      <c r="BO161" s="360"/>
      <c r="BP161" s="360"/>
      <c r="BQ161" s="360"/>
      <c r="BR161" s="360"/>
      <c r="BS161" s="360"/>
      <c r="BT161" s="360"/>
      <c r="BU161" s="360"/>
      <c r="BV161" s="360"/>
      <c r="BW161" s="360"/>
      <c r="BX161" s="360"/>
      <c r="BY161" s="360"/>
      <c r="BZ161" s="360"/>
      <c r="CA161" s="360"/>
      <c r="CB161" s="360"/>
      <c r="CC161" s="360"/>
      <c r="CD161" s="360"/>
      <c r="CE161" s="360"/>
      <c r="CF161" s="360"/>
      <c r="CG161" s="360"/>
      <c r="CH161" s="360"/>
      <c r="CI161" s="360"/>
      <c r="CJ161" s="360"/>
      <c r="CK161" s="360"/>
      <c r="CL161" s="360"/>
      <c r="CM161" s="360"/>
      <c r="CN161" s="360"/>
      <c r="CO161" s="360"/>
      <c r="CP161" s="360"/>
      <c r="CQ161" s="360"/>
      <c r="CR161" s="360"/>
      <c r="CS161" s="360"/>
      <c r="CT161" s="360"/>
      <c r="CU161" s="360"/>
      <c r="CV161" s="360"/>
      <c r="CW161" s="360"/>
      <c r="CX161" s="360"/>
      <c r="CY161" s="360"/>
      <c r="CZ161" s="360"/>
      <c r="DA161" s="360"/>
      <c r="DB161" s="360"/>
      <c r="DC161" s="360"/>
      <c r="DD161" s="360"/>
      <c r="DE161" s="360"/>
      <c r="DF161" s="360"/>
      <c r="DG161" s="360"/>
      <c r="DH161" s="360"/>
      <c r="DI161" s="360"/>
      <c r="DJ161" s="360"/>
      <c r="DK161" s="360"/>
      <c r="DL161" s="360"/>
      <c r="DM161" s="360"/>
      <c r="DN161" s="360"/>
      <c r="DO161" s="360"/>
      <c r="DP161" s="360"/>
      <c r="DQ161" s="360"/>
      <c r="DR161" s="360"/>
      <c r="DS161" s="360"/>
      <c r="DT161" s="360"/>
      <c r="DU161" s="360"/>
      <c r="DV161" s="360"/>
      <c r="DW161" s="322" t="s">
        <v>372</v>
      </c>
    </row>
    <row r="162" spans="3:127" ht="17.25" hidden="1" outlineLevel="1" thickBot="1" x14ac:dyDescent="0.35">
      <c r="C162" s="365" t="s">
        <v>407</v>
      </c>
      <c r="D162" s="487"/>
      <c r="E162" s="489">
        <f>SUM(F162:DV162)</f>
        <v>1016250.1010891324</v>
      </c>
      <c r="F162" s="489"/>
      <c r="G162" s="489">
        <f t="shared" ref="G162:BR162" si="148">IF(G160&lt;0,0,G130-G160)</f>
        <v>0</v>
      </c>
      <c r="H162" s="489">
        <f t="shared" si="148"/>
        <v>0</v>
      </c>
      <c r="I162" s="489">
        <f t="shared" si="148"/>
        <v>0</v>
      </c>
      <c r="J162" s="489">
        <f t="shared" si="148"/>
        <v>0</v>
      </c>
      <c r="K162" s="489">
        <f t="shared" si="148"/>
        <v>0</v>
      </c>
      <c r="L162" s="489">
        <f t="shared" si="148"/>
        <v>0</v>
      </c>
      <c r="M162" s="489">
        <f t="shared" si="148"/>
        <v>0</v>
      </c>
      <c r="N162" s="489">
        <f t="shared" si="148"/>
        <v>0</v>
      </c>
      <c r="O162" s="489">
        <f t="shared" si="148"/>
        <v>0</v>
      </c>
      <c r="P162" s="489">
        <f t="shared" si="148"/>
        <v>0</v>
      </c>
      <c r="Q162" s="489">
        <f t="shared" si="148"/>
        <v>0</v>
      </c>
      <c r="R162" s="489">
        <f t="shared" si="148"/>
        <v>0</v>
      </c>
      <c r="S162" s="489">
        <f t="shared" si="148"/>
        <v>0</v>
      </c>
      <c r="T162" s="489">
        <f t="shared" si="148"/>
        <v>0</v>
      </c>
      <c r="U162" s="489">
        <f t="shared" si="148"/>
        <v>0</v>
      </c>
      <c r="V162" s="489">
        <f t="shared" si="148"/>
        <v>0</v>
      </c>
      <c r="W162" s="489">
        <f t="shared" si="148"/>
        <v>0</v>
      </c>
      <c r="X162" s="489">
        <f t="shared" si="148"/>
        <v>0</v>
      </c>
      <c r="Y162" s="489">
        <f t="shared" si="148"/>
        <v>0</v>
      </c>
      <c r="Z162" s="489">
        <f t="shared" si="148"/>
        <v>0</v>
      </c>
      <c r="AA162" s="489">
        <f t="shared" si="148"/>
        <v>0</v>
      </c>
      <c r="AB162" s="489">
        <f t="shared" si="148"/>
        <v>0</v>
      </c>
      <c r="AC162" s="489">
        <f t="shared" si="148"/>
        <v>0</v>
      </c>
      <c r="AD162" s="489">
        <f t="shared" si="148"/>
        <v>0</v>
      </c>
      <c r="AE162" s="489">
        <f t="shared" si="148"/>
        <v>0</v>
      </c>
      <c r="AF162" s="489">
        <f t="shared" si="148"/>
        <v>0</v>
      </c>
      <c r="AG162" s="489">
        <f t="shared" si="148"/>
        <v>0</v>
      </c>
      <c r="AH162" s="489">
        <f t="shared" si="148"/>
        <v>0</v>
      </c>
      <c r="AI162" s="489">
        <f t="shared" si="148"/>
        <v>0</v>
      </c>
      <c r="AJ162" s="489">
        <f t="shared" si="148"/>
        <v>0</v>
      </c>
      <c r="AK162" s="489">
        <f t="shared" si="148"/>
        <v>0</v>
      </c>
      <c r="AL162" s="489">
        <f t="shared" si="148"/>
        <v>0</v>
      </c>
      <c r="AM162" s="489">
        <f t="shared" si="148"/>
        <v>0</v>
      </c>
      <c r="AN162" s="489">
        <f t="shared" si="148"/>
        <v>0</v>
      </c>
      <c r="AO162" s="489">
        <f t="shared" si="148"/>
        <v>0</v>
      </c>
      <c r="AP162" s="489">
        <f t="shared" si="148"/>
        <v>0</v>
      </c>
      <c r="AQ162" s="489">
        <f t="shared" si="148"/>
        <v>0</v>
      </c>
      <c r="AR162" s="489">
        <f t="shared" si="148"/>
        <v>0</v>
      </c>
      <c r="AS162" s="489">
        <f t="shared" si="148"/>
        <v>0</v>
      </c>
      <c r="AT162" s="489">
        <f t="shared" si="148"/>
        <v>0</v>
      </c>
      <c r="AU162" s="489">
        <f t="shared" si="148"/>
        <v>0</v>
      </c>
      <c r="AV162" s="489">
        <f t="shared" si="148"/>
        <v>0</v>
      </c>
      <c r="AW162" s="489">
        <f t="shared" si="148"/>
        <v>0</v>
      </c>
      <c r="AX162" s="489">
        <f t="shared" si="148"/>
        <v>0</v>
      </c>
      <c r="AY162" s="489">
        <f t="shared" si="148"/>
        <v>0</v>
      </c>
      <c r="AZ162" s="489">
        <f t="shared" si="148"/>
        <v>0</v>
      </c>
      <c r="BA162" s="489">
        <f t="shared" si="148"/>
        <v>0</v>
      </c>
      <c r="BB162" s="489">
        <f t="shared" si="148"/>
        <v>0</v>
      </c>
      <c r="BC162" s="489">
        <f t="shared" si="148"/>
        <v>0</v>
      </c>
      <c r="BD162" s="489">
        <f t="shared" si="148"/>
        <v>0</v>
      </c>
      <c r="BE162" s="489">
        <f t="shared" si="148"/>
        <v>0</v>
      </c>
      <c r="BF162" s="489">
        <f t="shared" si="148"/>
        <v>0</v>
      </c>
      <c r="BG162" s="489">
        <f t="shared" si="148"/>
        <v>0</v>
      </c>
      <c r="BH162" s="489">
        <f t="shared" si="148"/>
        <v>0</v>
      </c>
      <c r="BI162" s="489">
        <f t="shared" si="148"/>
        <v>0</v>
      </c>
      <c r="BJ162" s="489">
        <f t="shared" si="148"/>
        <v>0</v>
      </c>
      <c r="BK162" s="489">
        <f t="shared" si="148"/>
        <v>0</v>
      </c>
      <c r="BL162" s="489">
        <f t="shared" si="148"/>
        <v>0</v>
      </c>
      <c r="BM162" s="489">
        <f t="shared" si="148"/>
        <v>0</v>
      </c>
      <c r="BN162" s="489">
        <f t="shared" si="148"/>
        <v>1016250.1010891324</v>
      </c>
      <c r="BO162" s="489">
        <f t="shared" si="148"/>
        <v>0</v>
      </c>
      <c r="BP162" s="489">
        <f t="shared" si="148"/>
        <v>0</v>
      </c>
      <c r="BQ162" s="489">
        <f t="shared" si="148"/>
        <v>0</v>
      </c>
      <c r="BR162" s="489">
        <f t="shared" si="148"/>
        <v>0</v>
      </c>
      <c r="BS162" s="489">
        <f t="shared" ref="BS162:DV162" si="149">IF(BS160&lt;0,0,BS130-BS160)</f>
        <v>0</v>
      </c>
      <c r="BT162" s="489">
        <f t="shared" si="149"/>
        <v>0</v>
      </c>
      <c r="BU162" s="489">
        <f t="shared" si="149"/>
        <v>0</v>
      </c>
      <c r="BV162" s="489">
        <f t="shared" si="149"/>
        <v>0</v>
      </c>
      <c r="BW162" s="489">
        <f t="shared" si="149"/>
        <v>0</v>
      </c>
      <c r="BX162" s="489">
        <f t="shared" si="149"/>
        <v>0</v>
      </c>
      <c r="BY162" s="489">
        <f t="shared" si="149"/>
        <v>0</v>
      </c>
      <c r="BZ162" s="489">
        <f t="shared" si="149"/>
        <v>0</v>
      </c>
      <c r="CA162" s="489">
        <f t="shared" si="149"/>
        <v>0</v>
      </c>
      <c r="CB162" s="489">
        <f t="shared" si="149"/>
        <v>0</v>
      </c>
      <c r="CC162" s="489">
        <f t="shared" si="149"/>
        <v>0</v>
      </c>
      <c r="CD162" s="489">
        <f t="shared" si="149"/>
        <v>0</v>
      </c>
      <c r="CE162" s="489">
        <f t="shared" si="149"/>
        <v>0</v>
      </c>
      <c r="CF162" s="489">
        <f t="shared" si="149"/>
        <v>0</v>
      </c>
      <c r="CG162" s="489">
        <f t="shared" si="149"/>
        <v>0</v>
      </c>
      <c r="CH162" s="489">
        <f t="shared" si="149"/>
        <v>0</v>
      </c>
      <c r="CI162" s="489">
        <f t="shared" si="149"/>
        <v>0</v>
      </c>
      <c r="CJ162" s="489">
        <f t="shared" si="149"/>
        <v>0</v>
      </c>
      <c r="CK162" s="489">
        <f t="shared" si="149"/>
        <v>0</v>
      </c>
      <c r="CL162" s="489">
        <f t="shared" si="149"/>
        <v>0</v>
      </c>
      <c r="CM162" s="489">
        <f t="shared" si="149"/>
        <v>0</v>
      </c>
      <c r="CN162" s="489">
        <f t="shared" si="149"/>
        <v>0</v>
      </c>
      <c r="CO162" s="489">
        <f t="shared" si="149"/>
        <v>0</v>
      </c>
      <c r="CP162" s="489">
        <f t="shared" si="149"/>
        <v>0</v>
      </c>
      <c r="CQ162" s="489">
        <f t="shared" si="149"/>
        <v>0</v>
      </c>
      <c r="CR162" s="489">
        <f t="shared" si="149"/>
        <v>0</v>
      </c>
      <c r="CS162" s="489">
        <f t="shared" si="149"/>
        <v>0</v>
      </c>
      <c r="CT162" s="489">
        <f t="shared" si="149"/>
        <v>0</v>
      </c>
      <c r="CU162" s="489">
        <f t="shared" si="149"/>
        <v>0</v>
      </c>
      <c r="CV162" s="489">
        <f t="shared" si="149"/>
        <v>0</v>
      </c>
      <c r="CW162" s="489">
        <f t="shared" si="149"/>
        <v>0</v>
      </c>
      <c r="CX162" s="489">
        <f t="shared" si="149"/>
        <v>0</v>
      </c>
      <c r="CY162" s="489">
        <f t="shared" si="149"/>
        <v>0</v>
      </c>
      <c r="CZ162" s="489">
        <f t="shared" si="149"/>
        <v>0</v>
      </c>
      <c r="DA162" s="489">
        <f t="shared" si="149"/>
        <v>0</v>
      </c>
      <c r="DB162" s="489">
        <f t="shared" si="149"/>
        <v>0</v>
      </c>
      <c r="DC162" s="489">
        <f t="shared" si="149"/>
        <v>0</v>
      </c>
      <c r="DD162" s="489">
        <f t="shared" si="149"/>
        <v>0</v>
      </c>
      <c r="DE162" s="489">
        <f t="shared" si="149"/>
        <v>0</v>
      </c>
      <c r="DF162" s="489">
        <f t="shared" si="149"/>
        <v>0</v>
      </c>
      <c r="DG162" s="489">
        <f t="shared" si="149"/>
        <v>0</v>
      </c>
      <c r="DH162" s="489">
        <f t="shared" si="149"/>
        <v>0</v>
      </c>
      <c r="DI162" s="489">
        <f t="shared" si="149"/>
        <v>0</v>
      </c>
      <c r="DJ162" s="489">
        <f t="shared" si="149"/>
        <v>0</v>
      </c>
      <c r="DK162" s="489">
        <f t="shared" si="149"/>
        <v>0</v>
      </c>
      <c r="DL162" s="489">
        <f t="shared" si="149"/>
        <v>0</v>
      </c>
      <c r="DM162" s="489">
        <f t="shared" si="149"/>
        <v>0</v>
      </c>
      <c r="DN162" s="489">
        <f t="shared" si="149"/>
        <v>0</v>
      </c>
      <c r="DO162" s="489">
        <f t="shared" si="149"/>
        <v>0</v>
      </c>
      <c r="DP162" s="489">
        <f t="shared" si="149"/>
        <v>0</v>
      </c>
      <c r="DQ162" s="489">
        <f t="shared" si="149"/>
        <v>0</v>
      </c>
      <c r="DR162" s="489">
        <f t="shared" si="149"/>
        <v>0</v>
      </c>
      <c r="DS162" s="489">
        <f t="shared" si="149"/>
        <v>0</v>
      </c>
      <c r="DT162" s="489">
        <f t="shared" si="149"/>
        <v>0</v>
      </c>
      <c r="DU162" s="489">
        <f t="shared" si="149"/>
        <v>0</v>
      </c>
      <c r="DV162" s="489">
        <f t="shared" si="149"/>
        <v>0</v>
      </c>
      <c r="DW162" s="322" t="s">
        <v>372</v>
      </c>
    </row>
    <row r="163" spans="3:127" ht="17.25" hidden="1" outlineLevel="1" thickTop="1" x14ac:dyDescent="0.3">
      <c r="C163" s="360"/>
      <c r="D163" s="360"/>
      <c r="E163" s="360"/>
      <c r="F163" s="360"/>
      <c r="G163" s="360"/>
      <c r="H163" s="360"/>
      <c r="I163" s="360"/>
      <c r="J163" s="360"/>
      <c r="K163" s="360"/>
      <c r="L163" s="360"/>
      <c r="M163" s="360"/>
      <c r="N163" s="360"/>
      <c r="O163" s="360"/>
      <c r="P163" s="360"/>
      <c r="Q163" s="360"/>
      <c r="R163" s="360"/>
      <c r="S163" s="360"/>
      <c r="T163" s="360"/>
      <c r="U163" s="360"/>
      <c r="V163" s="360"/>
      <c r="W163" s="360"/>
      <c r="X163" s="360"/>
      <c r="Y163" s="360"/>
      <c r="Z163" s="360"/>
      <c r="AA163" s="360"/>
      <c r="AB163" s="360"/>
      <c r="AC163" s="360"/>
      <c r="AD163" s="360"/>
      <c r="AE163" s="360"/>
      <c r="AF163" s="360"/>
      <c r="AG163" s="360"/>
      <c r="AH163" s="360"/>
      <c r="AI163" s="360"/>
      <c r="AJ163" s="360"/>
      <c r="AK163" s="360"/>
      <c r="AL163" s="360"/>
      <c r="AM163" s="360"/>
      <c r="AN163" s="360"/>
      <c r="AO163" s="360"/>
      <c r="AP163" s="360"/>
      <c r="AQ163" s="360"/>
      <c r="AR163" s="360"/>
      <c r="AS163" s="360"/>
      <c r="AT163" s="360"/>
      <c r="AU163" s="360"/>
      <c r="AV163" s="360"/>
      <c r="AW163" s="360"/>
      <c r="AX163" s="360"/>
      <c r="AY163" s="360"/>
      <c r="AZ163" s="360"/>
      <c r="BA163" s="360"/>
      <c r="BB163" s="360"/>
      <c r="BC163" s="360"/>
      <c r="BD163" s="360"/>
      <c r="BE163" s="360"/>
      <c r="BF163" s="360"/>
      <c r="BG163" s="360"/>
      <c r="BH163" s="360"/>
      <c r="BI163" s="360"/>
      <c r="BJ163" s="360"/>
      <c r="BK163" s="360"/>
      <c r="BL163" s="360"/>
      <c r="BM163" s="360"/>
      <c r="BN163" s="360"/>
      <c r="BO163" s="360"/>
      <c r="BP163" s="360"/>
      <c r="BQ163" s="360"/>
      <c r="BR163" s="360"/>
      <c r="BS163" s="360"/>
      <c r="BT163" s="360"/>
      <c r="BU163" s="360"/>
      <c r="BV163" s="360"/>
      <c r="BW163" s="360"/>
      <c r="BX163" s="360"/>
      <c r="BY163" s="360"/>
      <c r="BZ163" s="360"/>
      <c r="CA163" s="360"/>
      <c r="CB163" s="360"/>
      <c r="CC163" s="360"/>
      <c r="CD163" s="360"/>
      <c r="CE163" s="360"/>
      <c r="CF163" s="360"/>
      <c r="CG163" s="360"/>
      <c r="CH163" s="360"/>
      <c r="CI163" s="360"/>
      <c r="CJ163" s="360"/>
      <c r="CK163" s="360"/>
      <c r="CL163" s="360"/>
      <c r="CM163" s="360"/>
      <c r="CN163" s="360"/>
      <c r="CO163" s="360"/>
      <c r="CP163" s="360"/>
      <c r="CQ163" s="360"/>
      <c r="CR163" s="360"/>
      <c r="CS163" s="360"/>
      <c r="CT163" s="360"/>
      <c r="CU163" s="360"/>
      <c r="CV163" s="360"/>
      <c r="CW163" s="360"/>
      <c r="CX163" s="360"/>
      <c r="CY163" s="360"/>
      <c r="CZ163" s="360"/>
      <c r="DA163" s="360"/>
      <c r="DB163" s="360"/>
      <c r="DC163" s="360"/>
      <c r="DD163" s="360"/>
      <c r="DE163" s="360"/>
      <c r="DF163" s="360"/>
      <c r="DG163" s="360"/>
      <c r="DH163" s="360"/>
      <c r="DI163" s="360"/>
      <c r="DJ163" s="360"/>
      <c r="DK163" s="360"/>
      <c r="DL163" s="360"/>
      <c r="DM163" s="360"/>
      <c r="DN163" s="360"/>
      <c r="DO163" s="360"/>
      <c r="DP163" s="360"/>
      <c r="DQ163" s="360"/>
      <c r="DR163" s="360"/>
      <c r="DS163" s="360"/>
      <c r="DT163" s="360"/>
      <c r="DU163" s="360"/>
      <c r="DV163" s="360"/>
      <c r="DW163" s="322" t="s">
        <v>372</v>
      </c>
    </row>
    <row r="164" spans="3:127" hidden="1" outlineLevel="1" x14ac:dyDescent="0.3">
      <c r="C164" s="382" t="s">
        <v>364</v>
      </c>
      <c r="D164" s="382"/>
      <c r="E164" s="395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8"/>
      <c r="AQ164" s="458"/>
      <c r="AR164" s="458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58"/>
      <c r="CO164" s="458"/>
      <c r="CP164" s="458"/>
      <c r="CQ164" s="458"/>
      <c r="CR164" s="458"/>
      <c r="CS164" s="458"/>
      <c r="CT164" s="458"/>
      <c r="CU164" s="458"/>
      <c r="CV164" s="458"/>
      <c r="CW164" s="458"/>
      <c r="CX164" s="458"/>
      <c r="CY164" s="458"/>
      <c r="CZ164" s="458"/>
      <c r="DA164" s="458"/>
      <c r="DB164" s="458"/>
      <c r="DC164" s="458"/>
      <c r="DD164" s="458"/>
      <c r="DE164" s="458"/>
      <c r="DF164" s="458"/>
      <c r="DG164" s="458"/>
      <c r="DH164" s="458"/>
      <c r="DI164" s="458"/>
      <c r="DJ164" s="458"/>
      <c r="DK164" s="458"/>
      <c r="DL164" s="458"/>
      <c r="DM164" s="458"/>
      <c r="DN164" s="458"/>
      <c r="DO164" s="458"/>
      <c r="DP164" s="458"/>
      <c r="DQ164" s="458"/>
      <c r="DR164" s="458"/>
      <c r="DS164" s="458"/>
      <c r="DT164" s="458"/>
      <c r="DU164" s="458"/>
      <c r="DV164" s="458"/>
      <c r="DW164" s="322" t="s">
        <v>372</v>
      </c>
    </row>
    <row r="165" spans="3:127" hidden="1" outlineLevel="1" x14ac:dyDescent="0.3">
      <c r="C165" s="365"/>
      <c r="D165" s="365"/>
      <c r="E165" s="374"/>
      <c r="F165" s="360"/>
      <c r="G165" s="360"/>
      <c r="H165" s="360"/>
      <c r="I165" s="360"/>
      <c r="J165" s="360"/>
      <c r="K165" s="360"/>
      <c r="L165" s="360"/>
      <c r="M165" s="360"/>
      <c r="N165" s="360"/>
      <c r="O165" s="360"/>
      <c r="P165" s="360"/>
      <c r="Q165" s="360"/>
      <c r="R165" s="360"/>
      <c r="S165" s="360"/>
      <c r="T165" s="360"/>
      <c r="U165" s="360"/>
      <c r="V165" s="360"/>
      <c r="W165" s="360"/>
      <c r="X165" s="360"/>
      <c r="Y165" s="360"/>
      <c r="Z165" s="360"/>
      <c r="AA165" s="360"/>
      <c r="AB165" s="360"/>
      <c r="AC165" s="360"/>
      <c r="AD165" s="360"/>
      <c r="AE165" s="360"/>
      <c r="AF165" s="360"/>
      <c r="AG165" s="360"/>
      <c r="AH165" s="360"/>
      <c r="AI165" s="360"/>
      <c r="AJ165" s="360"/>
      <c r="AK165" s="360"/>
      <c r="AL165" s="360"/>
      <c r="AM165" s="360"/>
      <c r="AN165" s="360"/>
      <c r="AO165" s="360"/>
      <c r="AP165" s="360"/>
      <c r="AQ165" s="360"/>
      <c r="AR165" s="360"/>
      <c r="AS165" s="360"/>
      <c r="AT165" s="360"/>
      <c r="AU165" s="360"/>
      <c r="AV165" s="360"/>
      <c r="AW165" s="360"/>
      <c r="AX165" s="360"/>
      <c r="AY165" s="360"/>
      <c r="AZ165" s="360"/>
      <c r="BA165" s="360"/>
      <c r="BB165" s="360"/>
      <c r="BC165" s="360"/>
      <c r="BD165" s="360"/>
      <c r="BE165" s="360"/>
      <c r="BF165" s="360"/>
      <c r="BG165" s="360"/>
      <c r="BH165" s="360"/>
      <c r="BI165" s="360"/>
      <c r="BJ165" s="360"/>
      <c r="BK165" s="360"/>
      <c r="BL165" s="360"/>
      <c r="BM165" s="360"/>
      <c r="BN165" s="360"/>
      <c r="BO165" s="360"/>
      <c r="BP165" s="360"/>
      <c r="BQ165" s="360"/>
      <c r="BR165" s="360"/>
      <c r="BS165" s="360"/>
      <c r="BT165" s="360"/>
      <c r="BU165" s="360"/>
      <c r="BV165" s="360"/>
      <c r="BW165" s="360"/>
      <c r="BX165" s="360"/>
      <c r="BY165" s="360"/>
      <c r="BZ165" s="360"/>
      <c r="CA165" s="360"/>
      <c r="CB165" s="360"/>
      <c r="CC165" s="360"/>
      <c r="CD165" s="360"/>
      <c r="CE165" s="360"/>
      <c r="CF165" s="360"/>
      <c r="CG165" s="360"/>
      <c r="CH165" s="360"/>
      <c r="CI165" s="360"/>
      <c r="CJ165" s="360"/>
      <c r="CK165" s="360"/>
      <c r="CL165" s="360"/>
      <c r="CM165" s="360"/>
      <c r="CN165" s="360"/>
      <c r="CO165" s="360"/>
      <c r="CP165" s="360"/>
      <c r="CQ165" s="360"/>
      <c r="CR165" s="360"/>
      <c r="CS165" s="360"/>
      <c r="CT165" s="360"/>
      <c r="CU165" s="360"/>
      <c r="CV165" s="360"/>
      <c r="CW165" s="360"/>
      <c r="CX165" s="360"/>
      <c r="CY165" s="360"/>
      <c r="CZ165" s="360"/>
      <c r="DA165" s="360"/>
      <c r="DB165" s="360"/>
      <c r="DC165" s="360"/>
      <c r="DD165" s="360"/>
      <c r="DE165" s="360"/>
      <c r="DF165" s="360"/>
      <c r="DG165" s="360"/>
      <c r="DH165" s="360"/>
      <c r="DI165" s="360"/>
      <c r="DJ165" s="360"/>
      <c r="DK165" s="360"/>
      <c r="DL165" s="360"/>
      <c r="DM165" s="360"/>
      <c r="DN165" s="360"/>
      <c r="DO165" s="360"/>
      <c r="DP165" s="360"/>
      <c r="DQ165" s="360"/>
      <c r="DR165" s="360"/>
      <c r="DS165" s="360"/>
      <c r="DT165" s="360"/>
      <c r="DU165" s="360"/>
      <c r="DV165" s="360"/>
      <c r="DW165" s="322" t="s">
        <v>372</v>
      </c>
    </row>
    <row r="166" spans="3:127" hidden="1" outlineLevel="1" x14ac:dyDescent="0.3">
      <c r="C166" s="382" t="s">
        <v>410</v>
      </c>
      <c r="D166" s="365"/>
      <c r="E166" s="374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360"/>
      <c r="AB166" s="360"/>
      <c r="AC166" s="360"/>
      <c r="AD166" s="360"/>
      <c r="AE166" s="360"/>
      <c r="AF166" s="360"/>
      <c r="AG166" s="360"/>
      <c r="AH166" s="360"/>
      <c r="AI166" s="360"/>
      <c r="AJ166" s="360"/>
      <c r="AK166" s="360"/>
      <c r="AL166" s="360"/>
      <c r="AM166" s="360"/>
      <c r="AN166" s="360"/>
      <c r="AO166" s="360"/>
      <c r="AP166" s="360"/>
      <c r="AQ166" s="360"/>
      <c r="AR166" s="360"/>
      <c r="AS166" s="360"/>
      <c r="AT166" s="360"/>
      <c r="AU166" s="360"/>
      <c r="AV166" s="360"/>
      <c r="AW166" s="360"/>
      <c r="AX166" s="360"/>
      <c r="AY166" s="360"/>
      <c r="AZ166" s="360"/>
      <c r="BA166" s="360"/>
      <c r="BB166" s="360"/>
      <c r="BC166" s="360"/>
      <c r="BD166" s="360"/>
      <c r="BE166" s="360"/>
      <c r="BF166" s="360"/>
      <c r="BG166" s="360"/>
      <c r="BH166" s="360"/>
      <c r="BI166" s="360"/>
      <c r="BJ166" s="360"/>
      <c r="BK166" s="360"/>
      <c r="BL166" s="360"/>
      <c r="BM166" s="360"/>
      <c r="BN166" s="360"/>
      <c r="BO166" s="360"/>
      <c r="BP166" s="360"/>
      <c r="BQ166" s="360"/>
      <c r="BR166" s="360"/>
      <c r="BS166" s="360"/>
      <c r="BT166" s="360"/>
      <c r="BU166" s="360"/>
      <c r="BV166" s="360"/>
      <c r="BW166" s="360"/>
      <c r="BX166" s="360"/>
      <c r="BY166" s="360"/>
      <c r="BZ166" s="360"/>
      <c r="CA166" s="360"/>
      <c r="CB166" s="360"/>
      <c r="CC166" s="360"/>
      <c r="CD166" s="360"/>
      <c r="CE166" s="360"/>
      <c r="CF166" s="360"/>
      <c r="CG166" s="360"/>
      <c r="CH166" s="360"/>
      <c r="CI166" s="360"/>
      <c r="CJ166" s="360"/>
      <c r="CK166" s="360"/>
      <c r="CL166" s="360"/>
      <c r="CM166" s="360"/>
      <c r="CN166" s="360"/>
      <c r="CO166" s="360"/>
      <c r="CP166" s="360"/>
      <c r="CQ166" s="360"/>
      <c r="CR166" s="360"/>
      <c r="CS166" s="360"/>
      <c r="CT166" s="360"/>
      <c r="CU166" s="360"/>
      <c r="CV166" s="360"/>
      <c r="CW166" s="360"/>
      <c r="CX166" s="360"/>
      <c r="CY166" s="360"/>
      <c r="CZ166" s="360"/>
      <c r="DA166" s="360"/>
      <c r="DB166" s="360"/>
      <c r="DC166" s="360"/>
      <c r="DD166" s="360"/>
      <c r="DE166" s="360"/>
      <c r="DF166" s="360"/>
      <c r="DG166" s="360"/>
      <c r="DH166" s="360"/>
      <c r="DI166" s="360"/>
      <c r="DJ166" s="360"/>
      <c r="DK166" s="360"/>
      <c r="DL166" s="360"/>
      <c r="DM166" s="360"/>
      <c r="DN166" s="360"/>
      <c r="DO166" s="360"/>
      <c r="DP166" s="360"/>
      <c r="DQ166" s="360"/>
      <c r="DR166" s="360"/>
      <c r="DS166" s="360"/>
      <c r="DT166" s="360"/>
      <c r="DU166" s="360"/>
      <c r="DV166" s="360"/>
      <c r="DW166" s="322" t="s">
        <v>372</v>
      </c>
    </row>
    <row r="167" spans="3:127" hidden="1" outlineLevel="1" x14ac:dyDescent="0.3">
      <c r="C167" s="374" t="s">
        <v>351</v>
      </c>
      <c r="D167" s="360"/>
      <c r="E167" s="463"/>
      <c r="F167" s="465">
        <v>0</v>
      </c>
      <c r="G167" s="409">
        <f t="shared" ref="G167:BR167" si="150">F173</f>
        <v>1367250</v>
      </c>
      <c r="H167" s="409">
        <f t="shared" si="150"/>
        <v>1357594.3756250001</v>
      </c>
      <c r="I167" s="409">
        <f t="shared" si="150"/>
        <v>1347938.7512500002</v>
      </c>
      <c r="J167" s="409">
        <f t="shared" si="150"/>
        <v>1401144.438431565</v>
      </c>
      <c r="K167" s="409">
        <f t="shared" si="150"/>
        <v>1391488.8140565651</v>
      </c>
      <c r="L167" s="409">
        <f t="shared" si="150"/>
        <v>1381833.1896815652</v>
      </c>
      <c r="M167" s="409">
        <f t="shared" si="150"/>
        <v>1436619.5487240029</v>
      </c>
      <c r="N167" s="409">
        <f t="shared" si="150"/>
        <v>1426963.924349003</v>
      </c>
      <c r="O167" s="409">
        <f t="shared" si="150"/>
        <v>1417308.2999740031</v>
      </c>
      <c r="P167" s="409">
        <f t="shared" si="150"/>
        <v>1473749.0457298791</v>
      </c>
      <c r="Q167" s="409">
        <f t="shared" si="150"/>
        <v>1464093.4213548792</v>
      </c>
      <c r="R167" s="409">
        <f t="shared" si="150"/>
        <v>1454437.7969798793</v>
      </c>
      <c r="S167" s="409">
        <f t="shared" si="150"/>
        <v>1512610.082004183</v>
      </c>
      <c r="T167" s="409">
        <f t="shared" si="150"/>
        <v>1502283.648272933</v>
      </c>
      <c r="U167" s="409">
        <f t="shared" si="150"/>
        <v>1491957.214541683</v>
      </c>
      <c r="V167" s="409">
        <f t="shared" si="150"/>
        <v>1551208.413477642</v>
      </c>
      <c r="W167" s="409">
        <f t="shared" si="150"/>
        <v>1540881.979746392</v>
      </c>
      <c r="X167" s="409">
        <f t="shared" si="150"/>
        <v>1530555.546015142</v>
      </c>
      <c r="Y167" s="409">
        <f t="shared" si="150"/>
        <v>1591606.7835196685</v>
      </c>
      <c r="Z167" s="409">
        <f t="shared" si="150"/>
        <v>1581280.3497884185</v>
      </c>
      <c r="AA167" s="409">
        <f t="shared" si="150"/>
        <v>1570953.9160571685</v>
      </c>
      <c r="AB167" s="409">
        <f t="shared" si="150"/>
        <v>1633889.1371798187</v>
      </c>
      <c r="AC167" s="409">
        <f t="shared" si="150"/>
        <v>1623562.7034485687</v>
      </c>
      <c r="AD167" s="409">
        <f t="shared" si="150"/>
        <v>1613236.2697173187</v>
      </c>
      <c r="AE167" s="409">
        <f t="shared" si="150"/>
        <v>1678143.3342967364</v>
      </c>
      <c r="AF167" s="409">
        <f t="shared" si="150"/>
        <v>1667125.9669285489</v>
      </c>
      <c r="AG167" s="409">
        <f t="shared" si="150"/>
        <v>1656108.5995603614</v>
      </c>
      <c r="AH167" s="409">
        <f t="shared" si="150"/>
        <v>1722324.087581136</v>
      </c>
      <c r="AI167" s="409">
        <f t="shared" si="150"/>
        <v>1711306.7202129485</v>
      </c>
      <c r="AJ167" s="409">
        <f t="shared" si="150"/>
        <v>1700289.352844761</v>
      </c>
      <c r="AK167" s="409">
        <f t="shared" si="150"/>
        <v>1768565.2164534018</v>
      </c>
      <c r="AL167" s="409">
        <f t="shared" si="150"/>
        <v>1757547.8490852143</v>
      </c>
      <c r="AM167" s="409">
        <f t="shared" si="150"/>
        <v>1746530.4817170268</v>
      </c>
      <c r="AN167" s="409">
        <f t="shared" si="150"/>
        <v>1816962.8068162741</v>
      </c>
      <c r="AO167" s="409">
        <f t="shared" si="150"/>
        <v>1805945.4394480865</v>
      </c>
      <c r="AP167" s="409">
        <f t="shared" si="150"/>
        <v>1794928.072079899</v>
      </c>
      <c r="AQ167" s="409">
        <f t="shared" si="150"/>
        <v>1867617.4255519609</v>
      </c>
      <c r="AR167" s="409">
        <f t="shared" si="150"/>
        <v>1855888.3965377279</v>
      </c>
      <c r="AS167" s="409">
        <f t="shared" si="150"/>
        <v>1844159.3675234949</v>
      </c>
      <c r="AT167" s="409">
        <f t="shared" si="150"/>
        <v>1918432.9676749774</v>
      </c>
      <c r="AU167" s="409">
        <f t="shared" si="150"/>
        <v>1906703.9386607443</v>
      </c>
      <c r="AV167" s="409">
        <f t="shared" si="150"/>
        <v>1894974.9096465113</v>
      </c>
      <c r="AW167" s="409">
        <f t="shared" si="150"/>
        <v>1971618.299688186</v>
      </c>
      <c r="AX167" s="409">
        <f t="shared" si="150"/>
        <v>1959889.270673953</v>
      </c>
      <c r="AY167" s="409">
        <f t="shared" si="150"/>
        <v>1948160.24165972</v>
      </c>
      <c r="AZ167" s="409">
        <f t="shared" si="150"/>
        <v>2027283.9370734461</v>
      </c>
      <c r="BA167" s="409">
        <f t="shared" si="150"/>
        <v>2015554.9080592131</v>
      </c>
      <c r="BB167" s="409">
        <f t="shared" si="150"/>
        <v>2003825.87904498</v>
      </c>
      <c r="BC167" s="409">
        <f t="shared" si="150"/>
        <v>2085545.5492175184</v>
      </c>
      <c r="BD167" s="409">
        <f t="shared" si="150"/>
        <v>2079037.6907102733</v>
      </c>
      <c r="BE167" s="409">
        <f t="shared" si="150"/>
        <v>2072529.8322030283</v>
      </c>
      <c r="BF167" s="409">
        <f t="shared" si="150"/>
        <v>2162674.6913148686</v>
      </c>
      <c r="BG167" s="409">
        <f t="shared" si="150"/>
        <v>2156166.8328076233</v>
      </c>
      <c r="BH167" s="409">
        <f t="shared" si="150"/>
        <v>2149658.974300378</v>
      </c>
      <c r="BI167" s="409">
        <f t="shared" si="150"/>
        <v>2243400.7617051215</v>
      </c>
      <c r="BJ167" s="409">
        <f t="shared" si="150"/>
        <v>2236892.9031978762</v>
      </c>
      <c r="BK167" s="409">
        <f t="shared" si="150"/>
        <v>2230385.0446906309</v>
      </c>
      <c r="BL167" s="409">
        <f t="shared" si="150"/>
        <v>2327891.5036406009</v>
      </c>
      <c r="BM167" s="409">
        <f t="shared" si="150"/>
        <v>2321383.6451333556</v>
      </c>
      <c r="BN167" s="409">
        <f t="shared" si="150"/>
        <v>2314875.7866261103</v>
      </c>
      <c r="BO167" s="409">
        <f t="shared" si="150"/>
        <v>0</v>
      </c>
      <c r="BP167" s="409">
        <f t="shared" si="150"/>
        <v>0</v>
      </c>
      <c r="BQ167" s="409">
        <f t="shared" si="150"/>
        <v>0</v>
      </c>
      <c r="BR167" s="409">
        <f t="shared" si="150"/>
        <v>0</v>
      </c>
      <c r="BS167" s="409">
        <f t="shared" ref="BS167:DV167" si="151">BR173</f>
        <v>0</v>
      </c>
      <c r="BT167" s="409">
        <f t="shared" si="151"/>
        <v>0</v>
      </c>
      <c r="BU167" s="409">
        <f t="shared" si="151"/>
        <v>0</v>
      </c>
      <c r="BV167" s="409">
        <f t="shared" si="151"/>
        <v>0</v>
      </c>
      <c r="BW167" s="409">
        <f t="shared" si="151"/>
        <v>0</v>
      </c>
      <c r="BX167" s="409">
        <f t="shared" si="151"/>
        <v>0</v>
      </c>
      <c r="BY167" s="409">
        <f t="shared" si="151"/>
        <v>0</v>
      </c>
      <c r="BZ167" s="409">
        <f t="shared" si="151"/>
        <v>0</v>
      </c>
      <c r="CA167" s="409">
        <f t="shared" si="151"/>
        <v>0</v>
      </c>
      <c r="CB167" s="409">
        <f t="shared" si="151"/>
        <v>0</v>
      </c>
      <c r="CC167" s="409">
        <f t="shared" si="151"/>
        <v>0</v>
      </c>
      <c r="CD167" s="409">
        <f t="shared" si="151"/>
        <v>0</v>
      </c>
      <c r="CE167" s="409">
        <f t="shared" si="151"/>
        <v>0</v>
      </c>
      <c r="CF167" s="409">
        <f t="shared" si="151"/>
        <v>0</v>
      </c>
      <c r="CG167" s="409">
        <f t="shared" si="151"/>
        <v>0</v>
      </c>
      <c r="CH167" s="409">
        <f t="shared" si="151"/>
        <v>0</v>
      </c>
      <c r="CI167" s="409">
        <f t="shared" si="151"/>
        <v>0</v>
      </c>
      <c r="CJ167" s="409">
        <f t="shared" si="151"/>
        <v>0</v>
      </c>
      <c r="CK167" s="409">
        <f t="shared" si="151"/>
        <v>0</v>
      </c>
      <c r="CL167" s="409">
        <f t="shared" si="151"/>
        <v>0</v>
      </c>
      <c r="CM167" s="409">
        <f t="shared" si="151"/>
        <v>0</v>
      </c>
      <c r="CN167" s="409">
        <f t="shared" si="151"/>
        <v>0</v>
      </c>
      <c r="CO167" s="409">
        <f t="shared" si="151"/>
        <v>0</v>
      </c>
      <c r="CP167" s="409">
        <f t="shared" si="151"/>
        <v>0</v>
      </c>
      <c r="CQ167" s="409">
        <f t="shared" si="151"/>
        <v>0</v>
      </c>
      <c r="CR167" s="409">
        <f t="shared" si="151"/>
        <v>0</v>
      </c>
      <c r="CS167" s="409">
        <f t="shared" si="151"/>
        <v>0</v>
      </c>
      <c r="CT167" s="409">
        <f t="shared" si="151"/>
        <v>0</v>
      </c>
      <c r="CU167" s="409">
        <f t="shared" si="151"/>
        <v>0</v>
      </c>
      <c r="CV167" s="409">
        <f t="shared" si="151"/>
        <v>0</v>
      </c>
      <c r="CW167" s="409">
        <f t="shared" si="151"/>
        <v>0</v>
      </c>
      <c r="CX167" s="409">
        <f t="shared" si="151"/>
        <v>0</v>
      </c>
      <c r="CY167" s="409">
        <f t="shared" si="151"/>
        <v>0</v>
      </c>
      <c r="CZ167" s="409">
        <f t="shared" si="151"/>
        <v>0</v>
      </c>
      <c r="DA167" s="409">
        <f t="shared" si="151"/>
        <v>0</v>
      </c>
      <c r="DB167" s="409">
        <f t="shared" si="151"/>
        <v>0</v>
      </c>
      <c r="DC167" s="409">
        <f t="shared" si="151"/>
        <v>0</v>
      </c>
      <c r="DD167" s="409">
        <f t="shared" si="151"/>
        <v>0</v>
      </c>
      <c r="DE167" s="409">
        <f t="shared" si="151"/>
        <v>0</v>
      </c>
      <c r="DF167" s="409">
        <f t="shared" si="151"/>
        <v>0</v>
      </c>
      <c r="DG167" s="409">
        <f t="shared" si="151"/>
        <v>0</v>
      </c>
      <c r="DH167" s="409">
        <f t="shared" si="151"/>
        <v>0</v>
      </c>
      <c r="DI167" s="409">
        <f t="shared" si="151"/>
        <v>0</v>
      </c>
      <c r="DJ167" s="409">
        <f t="shared" si="151"/>
        <v>0</v>
      </c>
      <c r="DK167" s="409">
        <f t="shared" si="151"/>
        <v>0</v>
      </c>
      <c r="DL167" s="409">
        <f t="shared" si="151"/>
        <v>0</v>
      </c>
      <c r="DM167" s="409">
        <f t="shared" si="151"/>
        <v>0</v>
      </c>
      <c r="DN167" s="409">
        <f t="shared" si="151"/>
        <v>0</v>
      </c>
      <c r="DO167" s="409">
        <f t="shared" si="151"/>
        <v>0</v>
      </c>
      <c r="DP167" s="409">
        <f t="shared" si="151"/>
        <v>0</v>
      </c>
      <c r="DQ167" s="409">
        <f t="shared" si="151"/>
        <v>0</v>
      </c>
      <c r="DR167" s="409">
        <f t="shared" si="151"/>
        <v>0</v>
      </c>
      <c r="DS167" s="409">
        <f t="shared" si="151"/>
        <v>0</v>
      </c>
      <c r="DT167" s="409">
        <f t="shared" si="151"/>
        <v>0</v>
      </c>
      <c r="DU167" s="409">
        <f t="shared" si="151"/>
        <v>0</v>
      </c>
      <c r="DV167" s="409">
        <f t="shared" si="151"/>
        <v>0</v>
      </c>
      <c r="DW167" s="322" t="s">
        <v>372</v>
      </c>
    </row>
    <row r="168" spans="3:127" hidden="1" outlineLevel="1" x14ac:dyDescent="0.3">
      <c r="C168" s="374" t="s">
        <v>400</v>
      </c>
      <c r="D168" s="360"/>
      <c r="E168" s="463">
        <f>SUM(F168:BI168)</f>
        <v>1367250</v>
      </c>
      <c r="F168" s="468">
        <f t="shared" ref="F168:BQ168" si="152">-F78</f>
        <v>1367250</v>
      </c>
      <c r="G168" s="468">
        <f t="shared" si="152"/>
        <v>0</v>
      </c>
      <c r="H168" s="468">
        <f t="shared" si="152"/>
        <v>0</v>
      </c>
      <c r="I168" s="468">
        <f t="shared" si="152"/>
        <v>0</v>
      </c>
      <c r="J168" s="468">
        <f t="shared" si="152"/>
        <v>0</v>
      </c>
      <c r="K168" s="468">
        <f t="shared" si="152"/>
        <v>0</v>
      </c>
      <c r="L168" s="468">
        <f t="shared" si="152"/>
        <v>0</v>
      </c>
      <c r="M168" s="468">
        <f t="shared" si="152"/>
        <v>0</v>
      </c>
      <c r="N168" s="468">
        <f t="shared" si="152"/>
        <v>0</v>
      </c>
      <c r="O168" s="468">
        <f t="shared" si="152"/>
        <v>0</v>
      </c>
      <c r="P168" s="468">
        <f t="shared" si="152"/>
        <v>0</v>
      </c>
      <c r="Q168" s="468">
        <f t="shared" si="152"/>
        <v>0</v>
      </c>
      <c r="R168" s="468">
        <f t="shared" si="152"/>
        <v>0</v>
      </c>
      <c r="S168" s="468">
        <f t="shared" si="152"/>
        <v>0</v>
      </c>
      <c r="T168" s="468">
        <f t="shared" si="152"/>
        <v>0</v>
      </c>
      <c r="U168" s="468">
        <f t="shared" si="152"/>
        <v>0</v>
      </c>
      <c r="V168" s="468">
        <f t="shared" si="152"/>
        <v>0</v>
      </c>
      <c r="W168" s="468">
        <f t="shared" si="152"/>
        <v>0</v>
      </c>
      <c r="X168" s="468">
        <f t="shared" si="152"/>
        <v>0</v>
      </c>
      <c r="Y168" s="468">
        <f t="shared" si="152"/>
        <v>0</v>
      </c>
      <c r="Z168" s="468">
        <f t="shared" si="152"/>
        <v>0</v>
      </c>
      <c r="AA168" s="468">
        <f t="shared" si="152"/>
        <v>0</v>
      </c>
      <c r="AB168" s="468">
        <f t="shared" si="152"/>
        <v>0</v>
      </c>
      <c r="AC168" s="468">
        <f t="shared" si="152"/>
        <v>0</v>
      </c>
      <c r="AD168" s="468">
        <f t="shared" si="152"/>
        <v>0</v>
      </c>
      <c r="AE168" s="468">
        <f t="shared" si="152"/>
        <v>0</v>
      </c>
      <c r="AF168" s="468">
        <f t="shared" si="152"/>
        <v>0</v>
      </c>
      <c r="AG168" s="468">
        <f t="shared" si="152"/>
        <v>0</v>
      </c>
      <c r="AH168" s="468">
        <f t="shared" si="152"/>
        <v>0</v>
      </c>
      <c r="AI168" s="468">
        <f t="shared" si="152"/>
        <v>0</v>
      </c>
      <c r="AJ168" s="468">
        <f t="shared" si="152"/>
        <v>0</v>
      </c>
      <c r="AK168" s="468">
        <f t="shared" si="152"/>
        <v>0</v>
      </c>
      <c r="AL168" s="468">
        <f t="shared" si="152"/>
        <v>0</v>
      </c>
      <c r="AM168" s="468">
        <f t="shared" si="152"/>
        <v>0</v>
      </c>
      <c r="AN168" s="468">
        <f t="shared" si="152"/>
        <v>0</v>
      </c>
      <c r="AO168" s="468">
        <f t="shared" si="152"/>
        <v>0</v>
      </c>
      <c r="AP168" s="468">
        <f t="shared" si="152"/>
        <v>0</v>
      </c>
      <c r="AQ168" s="468">
        <f t="shared" si="152"/>
        <v>0</v>
      </c>
      <c r="AR168" s="468">
        <f t="shared" si="152"/>
        <v>0</v>
      </c>
      <c r="AS168" s="468">
        <f t="shared" si="152"/>
        <v>0</v>
      </c>
      <c r="AT168" s="468">
        <f t="shared" si="152"/>
        <v>0</v>
      </c>
      <c r="AU168" s="468">
        <f t="shared" si="152"/>
        <v>0</v>
      </c>
      <c r="AV168" s="468">
        <f t="shared" si="152"/>
        <v>0</v>
      </c>
      <c r="AW168" s="468">
        <f t="shared" si="152"/>
        <v>0</v>
      </c>
      <c r="AX168" s="468">
        <f t="shared" si="152"/>
        <v>0</v>
      </c>
      <c r="AY168" s="468">
        <f t="shared" si="152"/>
        <v>0</v>
      </c>
      <c r="AZ168" s="468">
        <f t="shared" si="152"/>
        <v>0</v>
      </c>
      <c r="BA168" s="468">
        <f t="shared" si="152"/>
        <v>0</v>
      </c>
      <c r="BB168" s="468">
        <f t="shared" si="152"/>
        <v>0</v>
      </c>
      <c r="BC168" s="468">
        <f t="shared" si="152"/>
        <v>0</v>
      </c>
      <c r="BD168" s="468">
        <f t="shared" si="152"/>
        <v>0</v>
      </c>
      <c r="BE168" s="468">
        <f t="shared" si="152"/>
        <v>0</v>
      </c>
      <c r="BF168" s="468">
        <f t="shared" si="152"/>
        <v>0</v>
      </c>
      <c r="BG168" s="468">
        <f t="shared" si="152"/>
        <v>0</v>
      </c>
      <c r="BH168" s="468">
        <f t="shared" si="152"/>
        <v>0</v>
      </c>
      <c r="BI168" s="468">
        <f t="shared" si="152"/>
        <v>0</v>
      </c>
      <c r="BJ168" s="468">
        <f t="shared" si="152"/>
        <v>0</v>
      </c>
      <c r="BK168" s="468">
        <f t="shared" si="152"/>
        <v>0</v>
      </c>
      <c r="BL168" s="468">
        <f t="shared" si="152"/>
        <v>0</v>
      </c>
      <c r="BM168" s="468">
        <f t="shared" si="152"/>
        <v>0</v>
      </c>
      <c r="BN168" s="468">
        <f t="shared" si="152"/>
        <v>0</v>
      </c>
      <c r="BO168" s="468">
        <f t="shared" si="152"/>
        <v>0</v>
      </c>
      <c r="BP168" s="468">
        <f t="shared" si="152"/>
        <v>0</v>
      </c>
      <c r="BQ168" s="468">
        <f t="shared" si="152"/>
        <v>0</v>
      </c>
      <c r="BR168" s="468">
        <f t="shared" ref="BR168:DV168" si="153">-BR78</f>
        <v>0</v>
      </c>
      <c r="BS168" s="468">
        <f t="shared" si="153"/>
        <v>0</v>
      </c>
      <c r="BT168" s="468">
        <f t="shared" si="153"/>
        <v>0</v>
      </c>
      <c r="BU168" s="468">
        <f t="shared" si="153"/>
        <v>0</v>
      </c>
      <c r="BV168" s="468">
        <f t="shared" si="153"/>
        <v>0</v>
      </c>
      <c r="BW168" s="468">
        <f t="shared" si="153"/>
        <v>0</v>
      </c>
      <c r="BX168" s="468">
        <f t="shared" si="153"/>
        <v>0</v>
      </c>
      <c r="BY168" s="468">
        <f t="shared" si="153"/>
        <v>0</v>
      </c>
      <c r="BZ168" s="468">
        <f t="shared" si="153"/>
        <v>0</v>
      </c>
      <c r="CA168" s="468">
        <f t="shared" si="153"/>
        <v>0</v>
      </c>
      <c r="CB168" s="468">
        <f t="shared" si="153"/>
        <v>0</v>
      </c>
      <c r="CC168" s="468">
        <f t="shared" si="153"/>
        <v>0</v>
      </c>
      <c r="CD168" s="468">
        <f t="shared" si="153"/>
        <v>0</v>
      </c>
      <c r="CE168" s="468">
        <f t="shared" si="153"/>
        <v>0</v>
      </c>
      <c r="CF168" s="468">
        <f t="shared" si="153"/>
        <v>0</v>
      </c>
      <c r="CG168" s="468">
        <f t="shared" si="153"/>
        <v>0</v>
      </c>
      <c r="CH168" s="468">
        <f t="shared" si="153"/>
        <v>0</v>
      </c>
      <c r="CI168" s="468">
        <f t="shared" si="153"/>
        <v>0</v>
      </c>
      <c r="CJ168" s="468">
        <f t="shared" si="153"/>
        <v>0</v>
      </c>
      <c r="CK168" s="468">
        <f t="shared" si="153"/>
        <v>0</v>
      </c>
      <c r="CL168" s="468">
        <f t="shared" si="153"/>
        <v>0</v>
      </c>
      <c r="CM168" s="468">
        <f t="shared" si="153"/>
        <v>0</v>
      </c>
      <c r="CN168" s="468">
        <f t="shared" si="153"/>
        <v>0</v>
      </c>
      <c r="CO168" s="468">
        <f t="shared" si="153"/>
        <v>0</v>
      </c>
      <c r="CP168" s="468">
        <f t="shared" si="153"/>
        <v>0</v>
      </c>
      <c r="CQ168" s="468">
        <f t="shared" si="153"/>
        <v>0</v>
      </c>
      <c r="CR168" s="468">
        <f t="shared" si="153"/>
        <v>0</v>
      </c>
      <c r="CS168" s="468">
        <f t="shared" si="153"/>
        <v>0</v>
      </c>
      <c r="CT168" s="468">
        <f t="shared" si="153"/>
        <v>0</v>
      </c>
      <c r="CU168" s="468">
        <f t="shared" si="153"/>
        <v>0</v>
      </c>
      <c r="CV168" s="468">
        <f t="shared" si="153"/>
        <v>0</v>
      </c>
      <c r="CW168" s="468">
        <f t="shared" si="153"/>
        <v>0</v>
      </c>
      <c r="CX168" s="468">
        <f t="shared" si="153"/>
        <v>0</v>
      </c>
      <c r="CY168" s="468">
        <f t="shared" si="153"/>
        <v>0</v>
      </c>
      <c r="CZ168" s="468">
        <f t="shared" si="153"/>
        <v>0</v>
      </c>
      <c r="DA168" s="468">
        <f t="shared" si="153"/>
        <v>0</v>
      </c>
      <c r="DB168" s="468">
        <f t="shared" si="153"/>
        <v>0</v>
      </c>
      <c r="DC168" s="468">
        <f t="shared" si="153"/>
        <v>0</v>
      </c>
      <c r="DD168" s="468">
        <f t="shared" si="153"/>
        <v>0</v>
      </c>
      <c r="DE168" s="468">
        <f t="shared" si="153"/>
        <v>0</v>
      </c>
      <c r="DF168" s="468">
        <f t="shared" si="153"/>
        <v>0</v>
      </c>
      <c r="DG168" s="468">
        <f t="shared" si="153"/>
        <v>0</v>
      </c>
      <c r="DH168" s="468">
        <f t="shared" si="153"/>
        <v>0</v>
      </c>
      <c r="DI168" s="468">
        <f t="shared" si="153"/>
        <v>0</v>
      </c>
      <c r="DJ168" s="468">
        <f t="shared" si="153"/>
        <v>0</v>
      </c>
      <c r="DK168" s="468">
        <f t="shared" si="153"/>
        <v>0</v>
      </c>
      <c r="DL168" s="468">
        <f t="shared" si="153"/>
        <v>0</v>
      </c>
      <c r="DM168" s="468">
        <f t="shared" si="153"/>
        <v>0</v>
      </c>
      <c r="DN168" s="468">
        <f t="shared" si="153"/>
        <v>0</v>
      </c>
      <c r="DO168" s="468">
        <f t="shared" si="153"/>
        <v>0</v>
      </c>
      <c r="DP168" s="468">
        <f t="shared" si="153"/>
        <v>0</v>
      </c>
      <c r="DQ168" s="468">
        <f t="shared" si="153"/>
        <v>0</v>
      </c>
      <c r="DR168" s="468">
        <f t="shared" si="153"/>
        <v>0</v>
      </c>
      <c r="DS168" s="468">
        <f t="shared" si="153"/>
        <v>0</v>
      </c>
      <c r="DT168" s="468">
        <f t="shared" si="153"/>
        <v>0</v>
      </c>
      <c r="DU168" s="468">
        <f t="shared" si="153"/>
        <v>0</v>
      </c>
      <c r="DV168" s="468">
        <f t="shared" si="153"/>
        <v>0</v>
      </c>
      <c r="DW168" s="322" t="s">
        <v>372</v>
      </c>
    </row>
    <row r="169" spans="3:127" hidden="1" outlineLevel="1" x14ac:dyDescent="0.3">
      <c r="C169" s="374" t="s">
        <v>401</v>
      </c>
      <c r="D169" s="360"/>
      <c r="E169" s="463">
        <f>SUM(F169:BI169)</f>
        <v>1427939.3666126383</v>
      </c>
      <c r="F169" s="468">
        <v>0</v>
      </c>
      <c r="G169" s="468">
        <f t="shared" ref="G169:BR169" si="154">G167*(((1+$D$40)^(1/$K$38)-1)*G85)</f>
        <v>0</v>
      </c>
      <c r="H169" s="468">
        <f t="shared" si="154"/>
        <v>0</v>
      </c>
      <c r="I169" s="468">
        <f t="shared" si="154"/>
        <v>62861.311556564542</v>
      </c>
      <c r="J169" s="468">
        <f t="shared" si="154"/>
        <v>0</v>
      </c>
      <c r="K169" s="468">
        <f t="shared" si="154"/>
        <v>0</v>
      </c>
      <c r="L169" s="468">
        <f t="shared" si="154"/>
        <v>64441.98341743771</v>
      </c>
      <c r="M169" s="468">
        <f t="shared" si="154"/>
        <v>0</v>
      </c>
      <c r="N169" s="468">
        <f t="shared" si="154"/>
        <v>0</v>
      </c>
      <c r="O169" s="468">
        <f t="shared" si="154"/>
        <v>66096.370130875875</v>
      </c>
      <c r="P169" s="468">
        <f t="shared" si="154"/>
        <v>0</v>
      </c>
      <c r="Q169" s="468">
        <f t="shared" si="154"/>
        <v>0</v>
      </c>
      <c r="R169" s="468">
        <f t="shared" si="154"/>
        <v>67827.90939930368</v>
      </c>
      <c r="S169" s="468">
        <f t="shared" si="154"/>
        <v>0</v>
      </c>
      <c r="T169" s="468">
        <f t="shared" si="154"/>
        <v>0</v>
      </c>
      <c r="U169" s="468">
        <f t="shared" si="154"/>
        <v>69577.632667209007</v>
      </c>
      <c r="V169" s="468">
        <f t="shared" si="154"/>
        <v>0</v>
      </c>
      <c r="W169" s="468">
        <f t="shared" si="154"/>
        <v>0</v>
      </c>
      <c r="X169" s="468">
        <f t="shared" si="154"/>
        <v>71377.671235776477</v>
      </c>
      <c r="Y169" s="468">
        <f t="shared" si="154"/>
        <v>0</v>
      </c>
      <c r="Z169" s="468">
        <f t="shared" si="154"/>
        <v>0</v>
      </c>
      <c r="AA169" s="468">
        <f t="shared" si="154"/>
        <v>73261.65485390024</v>
      </c>
      <c r="AB169" s="468">
        <f t="shared" si="154"/>
        <v>0</v>
      </c>
      <c r="AC169" s="468">
        <f t="shared" si="154"/>
        <v>0</v>
      </c>
      <c r="AD169" s="468">
        <f t="shared" si="154"/>
        <v>75233.498310667652</v>
      </c>
      <c r="AE169" s="468">
        <f t="shared" si="154"/>
        <v>0</v>
      </c>
      <c r="AF169" s="468">
        <f t="shared" si="154"/>
        <v>0</v>
      </c>
      <c r="AG169" s="468">
        <f t="shared" si="154"/>
        <v>77232.855388962271</v>
      </c>
      <c r="AH169" s="468">
        <f t="shared" si="154"/>
        <v>0</v>
      </c>
      <c r="AI169" s="468">
        <f t="shared" si="154"/>
        <v>0</v>
      </c>
      <c r="AJ169" s="468">
        <f t="shared" si="154"/>
        <v>79293.230976828476</v>
      </c>
      <c r="AK169" s="468">
        <f t="shared" si="154"/>
        <v>0</v>
      </c>
      <c r="AL169" s="468">
        <f t="shared" si="154"/>
        <v>0</v>
      </c>
      <c r="AM169" s="468">
        <f t="shared" si="154"/>
        <v>81449.692467434914</v>
      </c>
      <c r="AN169" s="468">
        <f t="shared" si="154"/>
        <v>0</v>
      </c>
      <c r="AO169" s="468">
        <f t="shared" si="154"/>
        <v>0</v>
      </c>
      <c r="AP169" s="468">
        <f t="shared" si="154"/>
        <v>83706.720840249487</v>
      </c>
      <c r="AQ169" s="468">
        <f t="shared" si="154"/>
        <v>0</v>
      </c>
      <c r="AR169" s="468">
        <f t="shared" si="154"/>
        <v>0</v>
      </c>
      <c r="AS169" s="468">
        <f t="shared" si="154"/>
        <v>86002.629165715523</v>
      </c>
      <c r="AT169" s="468">
        <f t="shared" si="154"/>
        <v>0</v>
      </c>
      <c r="AU169" s="468">
        <f t="shared" si="154"/>
        <v>0</v>
      </c>
      <c r="AV169" s="468">
        <f t="shared" si="154"/>
        <v>88372.419055907798</v>
      </c>
      <c r="AW169" s="468">
        <f t="shared" si="154"/>
        <v>0</v>
      </c>
      <c r="AX169" s="468">
        <f t="shared" si="154"/>
        <v>0</v>
      </c>
      <c r="AY169" s="468">
        <f t="shared" si="154"/>
        <v>90852.724427959212</v>
      </c>
      <c r="AZ169" s="468">
        <f t="shared" si="154"/>
        <v>0</v>
      </c>
      <c r="BA169" s="468">
        <f t="shared" si="154"/>
        <v>0</v>
      </c>
      <c r="BB169" s="468">
        <f t="shared" si="154"/>
        <v>93448.69918677122</v>
      </c>
      <c r="BC169" s="468">
        <f t="shared" si="154"/>
        <v>0</v>
      </c>
      <c r="BD169" s="468">
        <f t="shared" si="154"/>
        <v>0</v>
      </c>
      <c r="BE169" s="468">
        <f t="shared" si="154"/>
        <v>96652.717619085495</v>
      </c>
      <c r="BF169" s="468">
        <f t="shared" si="154"/>
        <v>0</v>
      </c>
      <c r="BG169" s="468">
        <f t="shared" si="154"/>
        <v>0</v>
      </c>
      <c r="BH169" s="468">
        <f t="shared" si="154"/>
        <v>100249.64591198892</v>
      </c>
      <c r="BI169" s="468">
        <f t="shared" si="154"/>
        <v>0</v>
      </c>
      <c r="BJ169" s="468">
        <f t="shared" si="154"/>
        <v>0</v>
      </c>
      <c r="BK169" s="468">
        <f t="shared" si="154"/>
        <v>104014.31745721529</v>
      </c>
      <c r="BL169" s="468">
        <f t="shared" si="154"/>
        <v>0</v>
      </c>
      <c r="BM169" s="468">
        <f t="shared" si="154"/>
        <v>0</v>
      </c>
      <c r="BN169" s="468">
        <f t="shared" si="154"/>
        <v>107954.55498471879</v>
      </c>
      <c r="BO169" s="468">
        <f t="shared" si="154"/>
        <v>0</v>
      </c>
      <c r="BP169" s="468">
        <f t="shared" si="154"/>
        <v>0</v>
      </c>
      <c r="BQ169" s="468">
        <f t="shared" si="154"/>
        <v>0</v>
      </c>
      <c r="BR169" s="468">
        <f t="shared" si="154"/>
        <v>0</v>
      </c>
      <c r="BS169" s="468">
        <f t="shared" ref="BS169:DV169" si="155">BS167*(((1+$D$40)^(1/$K$38)-1)*BS85)</f>
        <v>0</v>
      </c>
      <c r="BT169" s="468">
        <f t="shared" si="155"/>
        <v>0</v>
      </c>
      <c r="BU169" s="468">
        <f t="shared" si="155"/>
        <v>0</v>
      </c>
      <c r="BV169" s="468">
        <f t="shared" si="155"/>
        <v>0</v>
      </c>
      <c r="BW169" s="468">
        <f t="shared" si="155"/>
        <v>0</v>
      </c>
      <c r="BX169" s="468">
        <f t="shared" si="155"/>
        <v>0</v>
      </c>
      <c r="BY169" s="468">
        <f t="shared" si="155"/>
        <v>0</v>
      </c>
      <c r="BZ169" s="468">
        <f t="shared" si="155"/>
        <v>0</v>
      </c>
      <c r="CA169" s="468">
        <f t="shared" si="155"/>
        <v>0</v>
      </c>
      <c r="CB169" s="468">
        <f t="shared" si="155"/>
        <v>0</v>
      </c>
      <c r="CC169" s="468">
        <f t="shared" si="155"/>
        <v>0</v>
      </c>
      <c r="CD169" s="468">
        <f t="shared" si="155"/>
        <v>0</v>
      </c>
      <c r="CE169" s="468">
        <f t="shared" si="155"/>
        <v>0</v>
      </c>
      <c r="CF169" s="468">
        <f t="shared" si="155"/>
        <v>0</v>
      </c>
      <c r="CG169" s="468">
        <f t="shared" si="155"/>
        <v>0</v>
      </c>
      <c r="CH169" s="468">
        <f t="shared" si="155"/>
        <v>0</v>
      </c>
      <c r="CI169" s="468">
        <f t="shared" si="155"/>
        <v>0</v>
      </c>
      <c r="CJ169" s="468">
        <f t="shared" si="155"/>
        <v>0</v>
      </c>
      <c r="CK169" s="468">
        <f t="shared" si="155"/>
        <v>0</v>
      </c>
      <c r="CL169" s="468">
        <f t="shared" si="155"/>
        <v>0</v>
      </c>
      <c r="CM169" s="468">
        <f t="shared" si="155"/>
        <v>0</v>
      </c>
      <c r="CN169" s="468">
        <f t="shared" si="155"/>
        <v>0</v>
      </c>
      <c r="CO169" s="468">
        <f t="shared" si="155"/>
        <v>0</v>
      </c>
      <c r="CP169" s="468">
        <f t="shared" si="155"/>
        <v>0</v>
      </c>
      <c r="CQ169" s="468">
        <f t="shared" si="155"/>
        <v>0</v>
      </c>
      <c r="CR169" s="468">
        <f t="shared" si="155"/>
        <v>0</v>
      </c>
      <c r="CS169" s="468">
        <f t="shared" si="155"/>
        <v>0</v>
      </c>
      <c r="CT169" s="468">
        <f t="shared" si="155"/>
        <v>0</v>
      </c>
      <c r="CU169" s="468">
        <f t="shared" si="155"/>
        <v>0</v>
      </c>
      <c r="CV169" s="468">
        <f t="shared" si="155"/>
        <v>0</v>
      </c>
      <c r="CW169" s="468">
        <f t="shared" si="155"/>
        <v>0</v>
      </c>
      <c r="CX169" s="468">
        <f t="shared" si="155"/>
        <v>0</v>
      </c>
      <c r="CY169" s="468">
        <f t="shared" si="155"/>
        <v>0</v>
      </c>
      <c r="CZ169" s="468">
        <f t="shared" si="155"/>
        <v>0</v>
      </c>
      <c r="DA169" s="468">
        <f t="shared" si="155"/>
        <v>0</v>
      </c>
      <c r="DB169" s="468">
        <f t="shared" si="155"/>
        <v>0</v>
      </c>
      <c r="DC169" s="468">
        <f t="shared" si="155"/>
        <v>0</v>
      </c>
      <c r="DD169" s="468">
        <f t="shared" si="155"/>
        <v>0</v>
      </c>
      <c r="DE169" s="468">
        <f t="shared" si="155"/>
        <v>0</v>
      </c>
      <c r="DF169" s="468">
        <f t="shared" si="155"/>
        <v>0</v>
      </c>
      <c r="DG169" s="468">
        <f t="shared" si="155"/>
        <v>0</v>
      </c>
      <c r="DH169" s="468">
        <f t="shared" si="155"/>
        <v>0</v>
      </c>
      <c r="DI169" s="468">
        <f t="shared" si="155"/>
        <v>0</v>
      </c>
      <c r="DJ169" s="468">
        <f t="shared" si="155"/>
        <v>0</v>
      </c>
      <c r="DK169" s="468">
        <f t="shared" si="155"/>
        <v>0</v>
      </c>
      <c r="DL169" s="468">
        <f t="shared" si="155"/>
        <v>0</v>
      </c>
      <c r="DM169" s="468">
        <f t="shared" si="155"/>
        <v>0</v>
      </c>
      <c r="DN169" s="468">
        <f t="shared" si="155"/>
        <v>0</v>
      </c>
      <c r="DO169" s="468">
        <f t="shared" si="155"/>
        <v>0</v>
      </c>
      <c r="DP169" s="468">
        <f t="shared" si="155"/>
        <v>0</v>
      </c>
      <c r="DQ169" s="468">
        <f t="shared" si="155"/>
        <v>0</v>
      </c>
      <c r="DR169" s="468">
        <f t="shared" si="155"/>
        <v>0</v>
      </c>
      <c r="DS169" s="468">
        <f t="shared" si="155"/>
        <v>0</v>
      </c>
      <c r="DT169" s="468">
        <f t="shared" si="155"/>
        <v>0</v>
      </c>
      <c r="DU169" s="468">
        <f t="shared" si="155"/>
        <v>0</v>
      </c>
      <c r="DV169" s="468">
        <f t="shared" si="155"/>
        <v>0</v>
      </c>
      <c r="DW169" s="322" t="s">
        <v>372</v>
      </c>
    </row>
    <row r="170" spans="3:127" hidden="1" outlineLevel="1" x14ac:dyDescent="0.3">
      <c r="C170" s="469" t="str">
        <f>C138</f>
        <v>8.0% Accrual / 0.0x MOIC Distribution</v>
      </c>
      <c r="D170" s="360"/>
      <c r="E170" s="463">
        <f>SUM(F170:BI170)</f>
        <v>-558296.4634147638</v>
      </c>
      <c r="F170" s="468">
        <f t="shared" ref="F170" si="156">F90</f>
        <v>0</v>
      </c>
      <c r="G170" s="468">
        <f>G138</f>
        <v>-9655.6243749999994</v>
      </c>
      <c r="H170" s="468">
        <f t="shared" ref="H170:BS170" si="157">H138</f>
        <v>-9655.6243749999994</v>
      </c>
      <c r="I170" s="468">
        <f t="shared" si="157"/>
        <v>-9655.6243749999994</v>
      </c>
      <c r="J170" s="468">
        <f t="shared" si="157"/>
        <v>-9655.6243749999994</v>
      </c>
      <c r="K170" s="468">
        <f t="shared" si="157"/>
        <v>-9655.6243749999994</v>
      </c>
      <c r="L170" s="468">
        <f t="shared" si="157"/>
        <v>-9655.6243749999994</v>
      </c>
      <c r="M170" s="468">
        <f t="shared" si="157"/>
        <v>-9655.6243749999994</v>
      </c>
      <c r="N170" s="468">
        <f t="shared" si="157"/>
        <v>-9655.6243749999994</v>
      </c>
      <c r="O170" s="468">
        <f t="shared" si="157"/>
        <v>-9655.6243749999994</v>
      </c>
      <c r="P170" s="468">
        <f t="shared" si="157"/>
        <v>-9655.6243749999994</v>
      </c>
      <c r="Q170" s="468">
        <f t="shared" si="157"/>
        <v>-9655.6243749999994</v>
      </c>
      <c r="R170" s="468">
        <f t="shared" si="157"/>
        <v>-9655.6243749999994</v>
      </c>
      <c r="S170" s="468">
        <f t="shared" si="157"/>
        <v>-10326.433731250003</v>
      </c>
      <c r="T170" s="468">
        <f t="shared" si="157"/>
        <v>-10326.433731250003</v>
      </c>
      <c r="U170" s="468">
        <f t="shared" si="157"/>
        <v>-10326.433731250003</v>
      </c>
      <c r="V170" s="468">
        <f t="shared" si="157"/>
        <v>-10326.433731250003</v>
      </c>
      <c r="W170" s="468">
        <f t="shared" si="157"/>
        <v>-10326.433731250003</v>
      </c>
      <c r="X170" s="468">
        <f t="shared" si="157"/>
        <v>-10326.433731250003</v>
      </c>
      <c r="Y170" s="468">
        <f t="shared" si="157"/>
        <v>-10326.433731250003</v>
      </c>
      <c r="Z170" s="468">
        <f t="shared" si="157"/>
        <v>-10326.433731250003</v>
      </c>
      <c r="AA170" s="468">
        <f t="shared" si="157"/>
        <v>-10326.433731250003</v>
      </c>
      <c r="AB170" s="468">
        <f t="shared" si="157"/>
        <v>-10326.433731250003</v>
      </c>
      <c r="AC170" s="468">
        <f t="shared" si="157"/>
        <v>-10326.433731250003</v>
      </c>
      <c r="AD170" s="468">
        <f t="shared" si="157"/>
        <v>-10326.433731250003</v>
      </c>
      <c r="AE170" s="468">
        <f t="shared" si="157"/>
        <v>-11017.367368187497</v>
      </c>
      <c r="AF170" s="468">
        <f t="shared" si="157"/>
        <v>-11017.367368187497</v>
      </c>
      <c r="AG170" s="468">
        <f t="shared" si="157"/>
        <v>-11017.367368187497</v>
      </c>
      <c r="AH170" s="468">
        <f t="shared" si="157"/>
        <v>-11017.367368187497</v>
      </c>
      <c r="AI170" s="468">
        <f t="shared" si="157"/>
        <v>-11017.367368187497</v>
      </c>
      <c r="AJ170" s="468">
        <f t="shared" si="157"/>
        <v>-11017.367368187497</v>
      </c>
      <c r="AK170" s="468">
        <f t="shared" si="157"/>
        <v>-11017.367368187497</v>
      </c>
      <c r="AL170" s="468">
        <f t="shared" si="157"/>
        <v>-11017.367368187497</v>
      </c>
      <c r="AM170" s="468">
        <f t="shared" si="157"/>
        <v>-11017.367368187497</v>
      </c>
      <c r="AN170" s="468">
        <f t="shared" si="157"/>
        <v>-11017.367368187497</v>
      </c>
      <c r="AO170" s="468">
        <f t="shared" si="157"/>
        <v>-11017.367368187497</v>
      </c>
      <c r="AP170" s="468">
        <f t="shared" si="157"/>
        <v>-11017.367368187497</v>
      </c>
      <c r="AQ170" s="468">
        <f t="shared" si="157"/>
        <v>-11729.029014233121</v>
      </c>
      <c r="AR170" s="468">
        <f t="shared" si="157"/>
        <v>-11729.029014233121</v>
      </c>
      <c r="AS170" s="468">
        <f t="shared" si="157"/>
        <v>-11729.029014233121</v>
      </c>
      <c r="AT170" s="468">
        <f t="shared" si="157"/>
        <v>-11729.029014233121</v>
      </c>
      <c r="AU170" s="468">
        <f t="shared" si="157"/>
        <v>-11729.029014233121</v>
      </c>
      <c r="AV170" s="468">
        <f t="shared" si="157"/>
        <v>-11729.029014233121</v>
      </c>
      <c r="AW170" s="468">
        <f t="shared" si="157"/>
        <v>-11729.029014233121</v>
      </c>
      <c r="AX170" s="468">
        <f t="shared" si="157"/>
        <v>-11729.029014233121</v>
      </c>
      <c r="AY170" s="468">
        <f t="shared" si="157"/>
        <v>-11729.029014233121</v>
      </c>
      <c r="AZ170" s="468">
        <f t="shared" si="157"/>
        <v>-11729.029014233121</v>
      </c>
      <c r="BA170" s="468">
        <f t="shared" si="157"/>
        <v>-11729.029014233121</v>
      </c>
      <c r="BB170" s="468">
        <f t="shared" si="157"/>
        <v>-11729.029014233121</v>
      </c>
      <c r="BC170" s="468">
        <f t="shared" si="157"/>
        <v>-6507.8585072451388</v>
      </c>
      <c r="BD170" s="468">
        <f t="shared" si="157"/>
        <v>-6507.8585072451388</v>
      </c>
      <c r="BE170" s="468">
        <f t="shared" si="157"/>
        <v>-6507.8585072451388</v>
      </c>
      <c r="BF170" s="468">
        <f t="shared" si="157"/>
        <v>-6507.8585072451388</v>
      </c>
      <c r="BG170" s="468">
        <f t="shared" si="157"/>
        <v>-6507.8585072451388</v>
      </c>
      <c r="BH170" s="468">
        <f t="shared" si="157"/>
        <v>-6507.8585072451388</v>
      </c>
      <c r="BI170" s="468">
        <f t="shared" si="157"/>
        <v>-6507.8585072451388</v>
      </c>
      <c r="BJ170" s="468">
        <f t="shared" si="157"/>
        <v>-6507.8585072451388</v>
      </c>
      <c r="BK170" s="468">
        <f t="shared" si="157"/>
        <v>-6507.8585072451388</v>
      </c>
      <c r="BL170" s="468">
        <f t="shared" si="157"/>
        <v>-6507.8585072451388</v>
      </c>
      <c r="BM170" s="468">
        <f t="shared" si="157"/>
        <v>-6507.8585072451388</v>
      </c>
      <c r="BN170" s="468">
        <f t="shared" si="157"/>
        <v>-1287486.8650543864</v>
      </c>
      <c r="BO170" s="468">
        <f t="shared" si="157"/>
        <v>0</v>
      </c>
      <c r="BP170" s="468">
        <f t="shared" si="157"/>
        <v>0</v>
      </c>
      <c r="BQ170" s="468">
        <f t="shared" si="157"/>
        <v>0</v>
      </c>
      <c r="BR170" s="468">
        <f t="shared" si="157"/>
        <v>0</v>
      </c>
      <c r="BS170" s="468">
        <f t="shared" si="157"/>
        <v>0</v>
      </c>
      <c r="BT170" s="468">
        <f t="shared" ref="BT170:DW170" si="158">BT138</f>
        <v>0</v>
      </c>
      <c r="BU170" s="468">
        <f t="shared" si="158"/>
        <v>0</v>
      </c>
      <c r="BV170" s="468">
        <f t="shared" si="158"/>
        <v>0</v>
      </c>
      <c r="BW170" s="468">
        <f t="shared" si="158"/>
        <v>0</v>
      </c>
      <c r="BX170" s="468">
        <f t="shared" si="158"/>
        <v>0</v>
      </c>
      <c r="BY170" s="468">
        <f t="shared" si="158"/>
        <v>0</v>
      </c>
      <c r="BZ170" s="468">
        <f t="shared" si="158"/>
        <v>0</v>
      </c>
      <c r="CA170" s="468">
        <f t="shared" si="158"/>
        <v>0</v>
      </c>
      <c r="CB170" s="468">
        <f t="shared" si="158"/>
        <v>0</v>
      </c>
      <c r="CC170" s="468">
        <f t="shared" si="158"/>
        <v>0</v>
      </c>
      <c r="CD170" s="468">
        <f t="shared" si="158"/>
        <v>0</v>
      </c>
      <c r="CE170" s="468">
        <f t="shared" si="158"/>
        <v>0</v>
      </c>
      <c r="CF170" s="468">
        <f t="shared" si="158"/>
        <v>0</v>
      </c>
      <c r="CG170" s="468">
        <f t="shared" si="158"/>
        <v>0</v>
      </c>
      <c r="CH170" s="468">
        <f t="shared" si="158"/>
        <v>0</v>
      </c>
      <c r="CI170" s="468">
        <f t="shared" si="158"/>
        <v>0</v>
      </c>
      <c r="CJ170" s="468">
        <f t="shared" si="158"/>
        <v>0</v>
      </c>
      <c r="CK170" s="468">
        <f t="shared" si="158"/>
        <v>0</v>
      </c>
      <c r="CL170" s="468">
        <f t="shared" si="158"/>
        <v>0</v>
      </c>
      <c r="CM170" s="468">
        <f t="shared" si="158"/>
        <v>0</v>
      </c>
      <c r="CN170" s="468">
        <f t="shared" si="158"/>
        <v>0</v>
      </c>
      <c r="CO170" s="468">
        <f t="shared" si="158"/>
        <v>0</v>
      </c>
      <c r="CP170" s="468">
        <f t="shared" si="158"/>
        <v>0</v>
      </c>
      <c r="CQ170" s="468">
        <f t="shared" si="158"/>
        <v>0</v>
      </c>
      <c r="CR170" s="468">
        <f t="shared" si="158"/>
        <v>0</v>
      </c>
      <c r="CS170" s="468">
        <f t="shared" si="158"/>
        <v>0</v>
      </c>
      <c r="CT170" s="468">
        <f t="shared" si="158"/>
        <v>0</v>
      </c>
      <c r="CU170" s="468">
        <f t="shared" si="158"/>
        <v>0</v>
      </c>
      <c r="CV170" s="468">
        <f t="shared" si="158"/>
        <v>0</v>
      </c>
      <c r="CW170" s="468">
        <f t="shared" si="158"/>
        <v>0</v>
      </c>
      <c r="CX170" s="468">
        <f t="shared" si="158"/>
        <v>0</v>
      </c>
      <c r="CY170" s="468">
        <f t="shared" si="158"/>
        <v>0</v>
      </c>
      <c r="CZ170" s="468">
        <f t="shared" si="158"/>
        <v>0</v>
      </c>
      <c r="DA170" s="468">
        <f t="shared" si="158"/>
        <v>0</v>
      </c>
      <c r="DB170" s="468">
        <f t="shared" si="158"/>
        <v>0</v>
      </c>
      <c r="DC170" s="468">
        <f t="shared" si="158"/>
        <v>0</v>
      </c>
      <c r="DD170" s="468">
        <f t="shared" si="158"/>
        <v>0</v>
      </c>
      <c r="DE170" s="468">
        <f t="shared" si="158"/>
        <v>0</v>
      </c>
      <c r="DF170" s="468">
        <f t="shared" si="158"/>
        <v>0</v>
      </c>
      <c r="DG170" s="468">
        <f t="shared" si="158"/>
        <v>0</v>
      </c>
      <c r="DH170" s="468">
        <f t="shared" si="158"/>
        <v>0</v>
      </c>
      <c r="DI170" s="468">
        <f t="shared" si="158"/>
        <v>0</v>
      </c>
      <c r="DJ170" s="468">
        <f t="shared" si="158"/>
        <v>0</v>
      </c>
      <c r="DK170" s="468">
        <f t="shared" si="158"/>
        <v>0</v>
      </c>
      <c r="DL170" s="468">
        <f t="shared" si="158"/>
        <v>0</v>
      </c>
      <c r="DM170" s="468">
        <f t="shared" si="158"/>
        <v>0</v>
      </c>
      <c r="DN170" s="468">
        <f t="shared" si="158"/>
        <v>0</v>
      </c>
      <c r="DO170" s="468">
        <f t="shared" si="158"/>
        <v>0</v>
      </c>
      <c r="DP170" s="468">
        <f t="shared" si="158"/>
        <v>0</v>
      </c>
      <c r="DQ170" s="468">
        <f t="shared" si="158"/>
        <v>0</v>
      </c>
      <c r="DR170" s="468">
        <f t="shared" si="158"/>
        <v>0</v>
      </c>
      <c r="DS170" s="468">
        <f t="shared" si="158"/>
        <v>0</v>
      </c>
      <c r="DT170" s="468">
        <f t="shared" si="158"/>
        <v>0</v>
      </c>
      <c r="DU170" s="468">
        <f t="shared" si="158"/>
        <v>0</v>
      </c>
      <c r="DV170" s="468">
        <f t="shared" si="158"/>
        <v>0</v>
      </c>
      <c r="DW170" s="322" t="str">
        <f t="shared" si="158"/>
        <v>x</v>
      </c>
    </row>
    <row r="171" spans="3:127" hidden="1" outlineLevel="1" x14ac:dyDescent="0.3">
      <c r="C171" s="469" t="str">
        <f>TEXT(C139,"0.0%")&amp;" / "&amp;TEXT(D146,"0.0x")&amp;" MOIC Distribution"</f>
        <v>15.00% Accrual Distribution / 1.7x MOIC Distribution</v>
      </c>
      <c r="D171" s="360"/>
      <c r="E171" s="463">
        <f>SUM(F171:BI171)</f>
        <v>0</v>
      </c>
      <c r="F171" s="468">
        <f>F154</f>
        <v>0</v>
      </c>
      <c r="G171" s="468">
        <f t="shared" ref="G171:BR171" si="159">G154</f>
        <v>0</v>
      </c>
      <c r="H171" s="468">
        <f t="shared" si="159"/>
        <v>0</v>
      </c>
      <c r="I171" s="468">
        <f t="shared" si="159"/>
        <v>0</v>
      </c>
      <c r="J171" s="468">
        <f t="shared" si="159"/>
        <v>0</v>
      </c>
      <c r="K171" s="468">
        <f t="shared" si="159"/>
        <v>0</v>
      </c>
      <c r="L171" s="468">
        <f t="shared" si="159"/>
        <v>0</v>
      </c>
      <c r="M171" s="468">
        <f t="shared" si="159"/>
        <v>0</v>
      </c>
      <c r="N171" s="468">
        <f t="shared" si="159"/>
        <v>0</v>
      </c>
      <c r="O171" s="468">
        <f t="shared" si="159"/>
        <v>0</v>
      </c>
      <c r="P171" s="468">
        <f t="shared" si="159"/>
        <v>0</v>
      </c>
      <c r="Q171" s="468">
        <f t="shared" si="159"/>
        <v>0</v>
      </c>
      <c r="R171" s="468">
        <f t="shared" si="159"/>
        <v>0</v>
      </c>
      <c r="S171" s="468">
        <f t="shared" si="159"/>
        <v>0</v>
      </c>
      <c r="T171" s="468">
        <f t="shared" si="159"/>
        <v>0</v>
      </c>
      <c r="U171" s="468">
        <f t="shared" si="159"/>
        <v>0</v>
      </c>
      <c r="V171" s="468">
        <f t="shared" si="159"/>
        <v>0</v>
      </c>
      <c r="W171" s="468">
        <f t="shared" si="159"/>
        <v>0</v>
      </c>
      <c r="X171" s="468">
        <f t="shared" si="159"/>
        <v>0</v>
      </c>
      <c r="Y171" s="468">
        <f t="shared" si="159"/>
        <v>0</v>
      </c>
      <c r="Z171" s="468">
        <f t="shared" si="159"/>
        <v>0</v>
      </c>
      <c r="AA171" s="468">
        <f t="shared" si="159"/>
        <v>0</v>
      </c>
      <c r="AB171" s="468">
        <f t="shared" si="159"/>
        <v>0</v>
      </c>
      <c r="AC171" s="468">
        <f t="shared" si="159"/>
        <v>0</v>
      </c>
      <c r="AD171" s="468">
        <f t="shared" si="159"/>
        <v>0</v>
      </c>
      <c r="AE171" s="468">
        <f t="shared" si="159"/>
        <v>0</v>
      </c>
      <c r="AF171" s="468">
        <f t="shared" si="159"/>
        <v>0</v>
      </c>
      <c r="AG171" s="468">
        <f t="shared" si="159"/>
        <v>0</v>
      </c>
      <c r="AH171" s="468">
        <f t="shared" si="159"/>
        <v>0</v>
      </c>
      <c r="AI171" s="468">
        <f t="shared" si="159"/>
        <v>0</v>
      </c>
      <c r="AJ171" s="468">
        <f t="shared" si="159"/>
        <v>0</v>
      </c>
      <c r="AK171" s="468">
        <f t="shared" si="159"/>
        <v>0</v>
      </c>
      <c r="AL171" s="468">
        <f t="shared" si="159"/>
        <v>0</v>
      </c>
      <c r="AM171" s="468">
        <f t="shared" si="159"/>
        <v>0</v>
      </c>
      <c r="AN171" s="468">
        <f t="shared" si="159"/>
        <v>0</v>
      </c>
      <c r="AO171" s="468">
        <f t="shared" si="159"/>
        <v>0</v>
      </c>
      <c r="AP171" s="468">
        <f t="shared" si="159"/>
        <v>0</v>
      </c>
      <c r="AQ171" s="468">
        <f t="shared" si="159"/>
        <v>0</v>
      </c>
      <c r="AR171" s="468">
        <f t="shared" si="159"/>
        <v>0</v>
      </c>
      <c r="AS171" s="468">
        <f t="shared" si="159"/>
        <v>0</v>
      </c>
      <c r="AT171" s="468">
        <f t="shared" si="159"/>
        <v>0</v>
      </c>
      <c r="AU171" s="468">
        <f t="shared" si="159"/>
        <v>0</v>
      </c>
      <c r="AV171" s="468">
        <f t="shared" si="159"/>
        <v>0</v>
      </c>
      <c r="AW171" s="468">
        <f t="shared" si="159"/>
        <v>0</v>
      </c>
      <c r="AX171" s="468">
        <f t="shared" si="159"/>
        <v>0</v>
      </c>
      <c r="AY171" s="468">
        <f t="shared" si="159"/>
        <v>0</v>
      </c>
      <c r="AZ171" s="468">
        <f t="shared" si="159"/>
        <v>0</v>
      </c>
      <c r="BA171" s="468">
        <f t="shared" si="159"/>
        <v>0</v>
      </c>
      <c r="BB171" s="468">
        <f t="shared" si="159"/>
        <v>0</v>
      </c>
      <c r="BC171" s="468">
        <f t="shared" si="159"/>
        <v>0</v>
      </c>
      <c r="BD171" s="468">
        <f t="shared" si="159"/>
        <v>0</v>
      </c>
      <c r="BE171" s="468">
        <f t="shared" si="159"/>
        <v>0</v>
      </c>
      <c r="BF171" s="468">
        <f t="shared" si="159"/>
        <v>0</v>
      </c>
      <c r="BG171" s="468">
        <f t="shared" si="159"/>
        <v>0</v>
      </c>
      <c r="BH171" s="468">
        <f t="shared" si="159"/>
        <v>0</v>
      </c>
      <c r="BI171" s="468">
        <f t="shared" si="159"/>
        <v>0</v>
      </c>
      <c r="BJ171" s="468">
        <f t="shared" si="159"/>
        <v>0</v>
      </c>
      <c r="BK171" s="468">
        <f t="shared" si="159"/>
        <v>0</v>
      </c>
      <c r="BL171" s="468">
        <f t="shared" si="159"/>
        <v>0</v>
      </c>
      <c r="BM171" s="468">
        <f t="shared" si="159"/>
        <v>0</v>
      </c>
      <c r="BN171" s="468">
        <f t="shared" si="159"/>
        <v>-598971.85878531402</v>
      </c>
      <c r="BO171" s="468">
        <f t="shared" si="159"/>
        <v>0</v>
      </c>
      <c r="BP171" s="468">
        <f t="shared" si="159"/>
        <v>0</v>
      </c>
      <c r="BQ171" s="468">
        <f t="shared" si="159"/>
        <v>0</v>
      </c>
      <c r="BR171" s="468">
        <f t="shared" si="159"/>
        <v>0</v>
      </c>
      <c r="BS171" s="468">
        <f t="shared" ref="BS171:DV171" si="160">BS154</f>
        <v>0</v>
      </c>
      <c r="BT171" s="468">
        <f t="shared" si="160"/>
        <v>0</v>
      </c>
      <c r="BU171" s="468">
        <f t="shared" si="160"/>
        <v>0</v>
      </c>
      <c r="BV171" s="468">
        <f t="shared" si="160"/>
        <v>0</v>
      </c>
      <c r="BW171" s="468">
        <f t="shared" si="160"/>
        <v>0</v>
      </c>
      <c r="BX171" s="468">
        <f t="shared" si="160"/>
        <v>0</v>
      </c>
      <c r="BY171" s="468">
        <f t="shared" si="160"/>
        <v>0</v>
      </c>
      <c r="BZ171" s="468">
        <f t="shared" si="160"/>
        <v>0</v>
      </c>
      <c r="CA171" s="468">
        <f t="shared" si="160"/>
        <v>0</v>
      </c>
      <c r="CB171" s="468">
        <f t="shared" si="160"/>
        <v>0</v>
      </c>
      <c r="CC171" s="468">
        <f t="shared" si="160"/>
        <v>0</v>
      </c>
      <c r="CD171" s="468">
        <f t="shared" si="160"/>
        <v>0</v>
      </c>
      <c r="CE171" s="468">
        <f t="shared" si="160"/>
        <v>0</v>
      </c>
      <c r="CF171" s="468">
        <f t="shared" si="160"/>
        <v>0</v>
      </c>
      <c r="CG171" s="468">
        <f t="shared" si="160"/>
        <v>0</v>
      </c>
      <c r="CH171" s="468">
        <f t="shared" si="160"/>
        <v>0</v>
      </c>
      <c r="CI171" s="468">
        <f t="shared" si="160"/>
        <v>0</v>
      </c>
      <c r="CJ171" s="468">
        <f t="shared" si="160"/>
        <v>0</v>
      </c>
      <c r="CK171" s="468">
        <f t="shared" si="160"/>
        <v>0</v>
      </c>
      <c r="CL171" s="468">
        <f t="shared" si="160"/>
        <v>0</v>
      </c>
      <c r="CM171" s="468">
        <f t="shared" si="160"/>
        <v>0</v>
      </c>
      <c r="CN171" s="468">
        <f t="shared" si="160"/>
        <v>0</v>
      </c>
      <c r="CO171" s="468">
        <f t="shared" si="160"/>
        <v>0</v>
      </c>
      <c r="CP171" s="468">
        <f t="shared" si="160"/>
        <v>0</v>
      </c>
      <c r="CQ171" s="468">
        <f t="shared" si="160"/>
        <v>0</v>
      </c>
      <c r="CR171" s="468">
        <f t="shared" si="160"/>
        <v>0</v>
      </c>
      <c r="CS171" s="468">
        <f t="shared" si="160"/>
        <v>0</v>
      </c>
      <c r="CT171" s="468">
        <f t="shared" si="160"/>
        <v>0</v>
      </c>
      <c r="CU171" s="468">
        <f t="shared" si="160"/>
        <v>0</v>
      </c>
      <c r="CV171" s="468">
        <f t="shared" si="160"/>
        <v>0</v>
      </c>
      <c r="CW171" s="468">
        <f t="shared" si="160"/>
        <v>0</v>
      </c>
      <c r="CX171" s="468">
        <f t="shared" si="160"/>
        <v>0</v>
      </c>
      <c r="CY171" s="468">
        <f t="shared" si="160"/>
        <v>0</v>
      </c>
      <c r="CZ171" s="468">
        <f t="shared" si="160"/>
        <v>0</v>
      </c>
      <c r="DA171" s="468">
        <f t="shared" si="160"/>
        <v>0</v>
      </c>
      <c r="DB171" s="468">
        <f t="shared" si="160"/>
        <v>0</v>
      </c>
      <c r="DC171" s="468">
        <f t="shared" si="160"/>
        <v>0</v>
      </c>
      <c r="DD171" s="468">
        <f t="shared" si="160"/>
        <v>0</v>
      </c>
      <c r="DE171" s="468">
        <f t="shared" si="160"/>
        <v>0</v>
      </c>
      <c r="DF171" s="468">
        <f t="shared" si="160"/>
        <v>0</v>
      </c>
      <c r="DG171" s="468">
        <f t="shared" si="160"/>
        <v>0</v>
      </c>
      <c r="DH171" s="468">
        <f t="shared" si="160"/>
        <v>0</v>
      </c>
      <c r="DI171" s="468">
        <f t="shared" si="160"/>
        <v>0</v>
      </c>
      <c r="DJ171" s="468">
        <f t="shared" si="160"/>
        <v>0</v>
      </c>
      <c r="DK171" s="468">
        <f t="shared" si="160"/>
        <v>0</v>
      </c>
      <c r="DL171" s="468">
        <f t="shared" si="160"/>
        <v>0</v>
      </c>
      <c r="DM171" s="468">
        <f t="shared" si="160"/>
        <v>0</v>
      </c>
      <c r="DN171" s="468">
        <f t="shared" si="160"/>
        <v>0</v>
      </c>
      <c r="DO171" s="468">
        <f t="shared" si="160"/>
        <v>0</v>
      </c>
      <c r="DP171" s="468">
        <f t="shared" si="160"/>
        <v>0</v>
      </c>
      <c r="DQ171" s="468">
        <f t="shared" si="160"/>
        <v>0</v>
      </c>
      <c r="DR171" s="468">
        <f t="shared" si="160"/>
        <v>0</v>
      </c>
      <c r="DS171" s="468">
        <f t="shared" si="160"/>
        <v>0</v>
      </c>
      <c r="DT171" s="468">
        <f t="shared" si="160"/>
        <v>0</v>
      </c>
      <c r="DU171" s="468">
        <f t="shared" si="160"/>
        <v>0</v>
      </c>
      <c r="DV171" s="468">
        <f t="shared" si="160"/>
        <v>0</v>
      </c>
      <c r="DW171" s="322" t="s">
        <v>372</v>
      </c>
    </row>
    <row r="172" spans="3:127" hidden="1" outlineLevel="1" x14ac:dyDescent="0.3">
      <c r="C172" s="469" t="str">
        <f>TEXT(D40,"0.00%")&amp;" Accrual Distribution"</f>
        <v>20.00% Accrual Distribution</v>
      </c>
      <c r="D172" s="360"/>
      <c r="E172" s="468">
        <f>SUM(F172:BI172)</f>
        <v>0</v>
      </c>
      <c r="F172" s="468">
        <f>IF(F162=0,0,-MIN(F162*#REF!,SUM(F167:F171)))</f>
        <v>0</v>
      </c>
      <c r="G172" s="468">
        <f t="shared" ref="G172:BR172" si="161">IF(G162=0,0,-MIN(G162*$D$190,SUM(G167:G171)))</f>
        <v>0</v>
      </c>
      <c r="H172" s="468">
        <f t="shared" si="161"/>
        <v>0</v>
      </c>
      <c r="I172" s="468">
        <f t="shared" si="161"/>
        <v>0</v>
      </c>
      <c r="J172" s="468">
        <f t="shared" si="161"/>
        <v>0</v>
      </c>
      <c r="K172" s="468">
        <f t="shared" si="161"/>
        <v>0</v>
      </c>
      <c r="L172" s="468">
        <f t="shared" si="161"/>
        <v>0</v>
      </c>
      <c r="M172" s="468">
        <f t="shared" si="161"/>
        <v>0</v>
      </c>
      <c r="N172" s="468">
        <f t="shared" si="161"/>
        <v>0</v>
      </c>
      <c r="O172" s="468">
        <f t="shared" si="161"/>
        <v>0</v>
      </c>
      <c r="P172" s="468">
        <f t="shared" si="161"/>
        <v>0</v>
      </c>
      <c r="Q172" s="468">
        <f t="shared" si="161"/>
        <v>0</v>
      </c>
      <c r="R172" s="468">
        <f t="shared" si="161"/>
        <v>0</v>
      </c>
      <c r="S172" s="468">
        <f t="shared" si="161"/>
        <v>0</v>
      </c>
      <c r="T172" s="468">
        <f t="shared" si="161"/>
        <v>0</v>
      </c>
      <c r="U172" s="468">
        <f t="shared" si="161"/>
        <v>0</v>
      </c>
      <c r="V172" s="468">
        <f t="shared" si="161"/>
        <v>0</v>
      </c>
      <c r="W172" s="468">
        <f t="shared" si="161"/>
        <v>0</v>
      </c>
      <c r="X172" s="468">
        <f t="shared" si="161"/>
        <v>0</v>
      </c>
      <c r="Y172" s="468">
        <f t="shared" si="161"/>
        <v>0</v>
      </c>
      <c r="Z172" s="468">
        <f t="shared" si="161"/>
        <v>0</v>
      </c>
      <c r="AA172" s="468">
        <f t="shared" si="161"/>
        <v>0</v>
      </c>
      <c r="AB172" s="468">
        <f t="shared" si="161"/>
        <v>0</v>
      </c>
      <c r="AC172" s="468">
        <f t="shared" si="161"/>
        <v>0</v>
      </c>
      <c r="AD172" s="468">
        <f t="shared" si="161"/>
        <v>0</v>
      </c>
      <c r="AE172" s="468">
        <f t="shared" si="161"/>
        <v>0</v>
      </c>
      <c r="AF172" s="468">
        <f t="shared" si="161"/>
        <v>0</v>
      </c>
      <c r="AG172" s="468">
        <f t="shared" si="161"/>
        <v>0</v>
      </c>
      <c r="AH172" s="468">
        <f t="shared" si="161"/>
        <v>0</v>
      </c>
      <c r="AI172" s="468">
        <f t="shared" si="161"/>
        <v>0</v>
      </c>
      <c r="AJ172" s="468">
        <f t="shared" si="161"/>
        <v>0</v>
      </c>
      <c r="AK172" s="468">
        <f t="shared" si="161"/>
        <v>0</v>
      </c>
      <c r="AL172" s="468">
        <f t="shared" si="161"/>
        <v>0</v>
      </c>
      <c r="AM172" s="468">
        <f t="shared" si="161"/>
        <v>0</v>
      </c>
      <c r="AN172" s="468">
        <f t="shared" si="161"/>
        <v>0</v>
      </c>
      <c r="AO172" s="468">
        <f t="shared" si="161"/>
        <v>0</v>
      </c>
      <c r="AP172" s="468">
        <f t="shared" si="161"/>
        <v>0</v>
      </c>
      <c r="AQ172" s="468">
        <f t="shared" si="161"/>
        <v>0</v>
      </c>
      <c r="AR172" s="468">
        <f t="shared" si="161"/>
        <v>0</v>
      </c>
      <c r="AS172" s="468">
        <f t="shared" si="161"/>
        <v>0</v>
      </c>
      <c r="AT172" s="468">
        <f t="shared" si="161"/>
        <v>0</v>
      </c>
      <c r="AU172" s="468">
        <f t="shared" si="161"/>
        <v>0</v>
      </c>
      <c r="AV172" s="468">
        <f t="shared" si="161"/>
        <v>0</v>
      </c>
      <c r="AW172" s="468">
        <f t="shared" si="161"/>
        <v>0</v>
      </c>
      <c r="AX172" s="468">
        <f t="shared" si="161"/>
        <v>0</v>
      </c>
      <c r="AY172" s="468">
        <f t="shared" si="161"/>
        <v>0</v>
      </c>
      <c r="AZ172" s="468">
        <f t="shared" si="161"/>
        <v>0</v>
      </c>
      <c r="BA172" s="468">
        <f t="shared" si="161"/>
        <v>0</v>
      </c>
      <c r="BB172" s="468">
        <f t="shared" si="161"/>
        <v>0</v>
      </c>
      <c r="BC172" s="468">
        <f t="shared" si="161"/>
        <v>0</v>
      </c>
      <c r="BD172" s="468">
        <f t="shared" si="161"/>
        <v>0</v>
      </c>
      <c r="BE172" s="468">
        <f t="shared" si="161"/>
        <v>0</v>
      </c>
      <c r="BF172" s="468">
        <f t="shared" si="161"/>
        <v>0</v>
      </c>
      <c r="BG172" s="468">
        <f t="shared" si="161"/>
        <v>0</v>
      </c>
      <c r="BH172" s="468">
        <f t="shared" si="161"/>
        <v>0</v>
      </c>
      <c r="BI172" s="468">
        <f t="shared" si="161"/>
        <v>0</v>
      </c>
      <c r="BJ172" s="468">
        <f t="shared" si="161"/>
        <v>0</v>
      </c>
      <c r="BK172" s="468">
        <f t="shared" si="161"/>
        <v>0</v>
      </c>
      <c r="BL172" s="468">
        <f t="shared" si="161"/>
        <v>0</v>
      </c>
      <c r="BM172" s="468">
        <f t="shared" si="161"/>
        <v>0</v>
      </c>
      <c r="BN172" s="468">
        <f t="shared" si="161"/>
        <v>-536371.61777112889</v>
      </c>
      <c r="BO172" s="468">
        <f t="shared" si="161"/>
        <v>0</v>
      </c>
      <c r="BP172" s="468">
        <f t="shared" si="161"/>
        <v>0</v>
      </c>
      <c r="BQ172" s="468">
        <f t="shared" si="161"/>
        <v>0</v>
      </c>
      <c r="BR172" s="468">
        <f t="shared" si="161"/>
        <v>0</v>
      </c>
      <c r="BS172" s="468">
        <f t="shared" ref="BS172:DV172" si="162">IF(BS162=0,0,-MIN(BS162*$D$190,SUM(BS167:BS171)))</f>
        <v>0</v>
      </c>
      <c r="BT172" s="468">
        <f t="shared" si="162"/>
        <v>0</v>
      </c>
      <c r="BU172" s="468">
        <f t="shared" si="162"/>
        <v>0</v>
      </c>
      <c r="BV172" s="468">
        <f t="shared" si="162"/>
        <v>0</v>
      </c>
      <c r="BW172" s="468">
        <f t="shared" si="162"/>
        <v>0</v>
      </c>
      <c r="BX172" s="468">
        <f t="shared" si="162"/>
        <v>0</v>
      </c>
      <c r="BY172" s="468">
        <f t="shared" si="162"/>
        <v>0</v>
      </c>
      <c r="BZ172" s="468">
        <f t="shared" si="162"/>
        <v>0</v>
      </c>
      <c r="CA172" s="468">
        <f t="shared" si="162"/>
        <v>0</v>
      </c>
      <c r="CB172" s="468">
        <f t="shared" si="162"/>
        <v>0</v>
      </c>
      <c r="CC172" s="468">
        <f t="shared" si="162"/>
        <v>0</v>
      </c>
      <c r="CD172" s="468">
        <f t="shared" si="162"/>
        <v>0</v>
      </c>
      <c r="CE172" s="468">
        <f t="shared" si="162"/>
        <v>0</v>
      </c>
      <c r="CF172" s="468">
        <f t="shared" si="162"/>
        <v>0</v>
      </c>
      <c r="CG172" s="468">
        <f t="shared" si="162"/>
        <v>0</v>
      </c>
      <c r="CH172" s="468">
        <f t="shared" si="162"/>
        <v>0</v>
      </c>
      <c r="CI172" s="468">
        <f t="shared" si="162"/>
        <v>0</v>
      </c>
      <c r="CJ172" s="468">
        <f t="shared" si="162"/>
        <v>0</v>
      </c>
      <c r="CK172" s="468">
        <f t="shared" si="162"/>
        <v>0</v>
      </c>
      <c r="CL172" s="468">
        <f t="shared" si="162"/>
        <v>0</v>
      </c>
      <c r="CM172" s="468">
        <f t="shared" si="162"/>
        <v>0</v>
      </c>
      <c r="CN172" s="468">
        <f t="shared" si="162"/>
        <v>0</v>
      </c>
      <c r="CO172" s="468">
        <f t="shared" si="162"/>
        <v>0</v>
      </c>
      <c r="CP172" s="468">
        <f t="shared" si="162"/>
        <v>0</v>
      </c>
      <c r="CQ172" s="468">
        <f t="shared" si="162"/>
        <v>0</v>
      </c>
      <c r="CR172" s="468">
        <f t="shared" si="162"/>
        <v>0</v>
      </c>
      <c r="CS172" s="468">
        <f t="shared" si="162"/>
        <v>0</v>
      </c>
      <c r="CT172" s="468">
        <f t="shared" si="162"/>
        <v>0</v>
      </c>
      <c r="CU172" s="468">
        <f t="shared" si="162"/>
        <v>0</v>
      </c>
      <c r="CV172" s="468">
        <f t="shared" si="162"/>
        <v>0</v>
      </c>
      <c r="CW172" s="468">
        <f t="shared" si="162"/>
        <v>0</v>
      </c>
      <c r="CX172" s="468">
        <f t="shared" si="162"/>
        <v>0</v>
      </c>
      <c r="CY172" s="468">
        <f t="shared" si="162"/>
        <v>0</v>
      </c>
      <c r="CZ172" s="468">
        <f t="shared" si="162"/>
        <v>0</v>
      </c>
      <c r="DA172" s="468">
        <f t="shared" si="162"/>
        <v>0</v>
      </c>
      <c r="DB172" s="468">
        <f t="shared" si="162"/>
        <v>0</v>
      </c>
      <c r="DC172" s="468">
        <f t="shared" si="162"/>
        <v>0</v>
      </c>
      <c r="DD172" s="468">
        <f t="shared" si="162"/>
        <v>0</v>
      </c>
      <c r="DE172" s="468">
        <f t="shared" si="162"/>
        <v>0</v>
      </c>
      <c r="DF172" s="468">
        <f t="shared" si="162"/>
        <v>0</v>
      </c>
      <c r="DG172" s="468">
        <f t="shared" si="162"/>
        <v>0</v>
      </c>
      <c r="DH172" s="468">
        <f t="shared" si="162"/>
        <v>0</v>
      </c>
      <c r="DI172" s="468">
        <f t="shared" si="162"/>
        <v>0</v>
      </c>
      <c r="DJ172" s="468">
        <f t="shared" si="162"/>
        <v>0</v>
      </c>
      <c r="DK172" s="468">
        <f t="shared" si="162"/>
        <v>0</v>
      </c>
      <c r="DL172" s="468">
        <f t="shared" si="162"/>
        <v>0</v>
      </c>
      <c r="DM172" s="468">
        <f t="shared" si="162"/>
        <v>0</v>
      </c>
      <c r="DN172" s="468">
        <f t="shared" si="162"/>
        <v>0</v>
      </c>
      <c r="DO172" s="468">
        <f t="shared" si="162"/>
        <v>0</v>
      </c>
      <c r="DP172" s="468">
        <f t="shared" si="162"/>
        <v>0</v>
      </c>
      <c r="DQ172" s="468">
        <f t="shared" si="162"/>
        <v>0</v>
      </c>
      <c r="DR172" s="468">
        <f t="shared" si="162"/>
        <v>0</v>
      </c>
      <c r="DS172" s="468">
        <f t="shared" si="162"/>
        <v>0</v>
      </c>
      <c r="DT172" s="468">
        <f t="shared" si="162"/>
        <v>0</v>
      </c>
      <c r="DU172" s="468">
        <f t="shared" si="162"/>
        <v>0</v>
      </c>
      <c r="DV172" s="468">
        <f t="shared" si="162"/>
        <v>0</v>
      </c>
      <c r="DW172" s="322" t="s">
        <v>372</v>
      </c>
    </row>
    <row r="173" spans="3:127" ht="17.25" hidden="1" outlineLevel="1" thickBot="1" x14ac:dyDescent="0.35">
      <c r="C173" s="490" t="s">
        <v>352</v>
      </c>
      <c r="D173" s="360"/>
      <c r="E173" s="415">
        <f>SUM(E168:E172)</f>
        <v>2236892.9031978743</v>
      </c>
      <c r="F173" s="415">
        <f t="shared" ref="F173:BQ173" si="163">SUM(F167:F172)</f>
        <v>1367250</v>
      </c>
      <c r="G173" s="415">
        <f t="shared" si="163"/>
        <v>1357594.3756250001</v>
      </c>
      <c r="H173" s="415">
        <f t="shared" si="163"/>
        <v>1347938.7512500002</v>
      </c>
      <c r="I173" s="415">
        <f t="shared" si="163"/>
        <v>1401144.438431565</v>
      </c>
      <c r="J173" s="415">
        <f t="shared" si="163"/>
        <v>1391488.8140565651</v>
      </c>
      <c r="K173" s="415">
        <f t="shared" si="163"/>
        <v>1381833.1896815652</v>
      </c>
      <c r="L173" s="415">
        <f t="shared" si="163"/>
        <v>1436619.5487240029</v>
      </c>
      <c r="M173" s="415">
        <f t="shared" si="163"/>
        <v>1426963.924349003</v>
      </c>
      <c r="N173" s="415">
        <f t="shared" si="163"/>
        <v>1417308.2999740031</v>
      </c>
      <c r="O173" s="415">
        <f t="shared" si="163"/>
        <v>1473749.0457298791</v>
      </c>
      <c r="P173" s="415">
        <f t="shared" si="163"/>
        <v>1464093.4213548792</v>
      </c>
      <c r="Q173" s="415">
        <f t="shared" si="163"/>
        <v>1454437.7969798793</v>
      </c>
      <c r="R173" s="415">
        <f t="shared" si="163"/>
        <v>1512610.082004183</v>
      </c>
      <c r="S173" s="415">
        <f t="shared" si="163"/>
        <v>1502283.648272933</v>
      </c>
      <c r="T173" s="415">
        <f t="shared" si="163"/>
        <v>1491957.214541683</v>
      </c>
      <c r="U173" s="415">
        <f t="shared" si="163"/>
        <v>1551208.413477642</v>
      </c>
      <c r="V173" s="415">
        <f t="shared" si="163"/>
        <v>1540881.979746392</v>
      </c>
      <c r="W173" s="415">
        <f t="shared" si="163"/>
        <v>1530555.546015142</v>
      </c>
      <c r="X173" s="415">
        <f t="shared" si="163"/>
        <v>1591606.7835196685</v>
      </c>
      <c r="Y173" s="415">
        <f t="shared" si="163"/>
        <v>1581280.3497884185</v>
      </c>
      <c r="Z173" s="415">
        <f t="shared" si="163"/>
        <v>1570953.9160571685</v>
      </c>
      <c r="AA173" s="415">
        <f t="shared" si="163"/>
        <v>1633889.1371798187</v>
      </c>
      <c r="AB173" s="415">
        <f t="shared" si="163"/>
        <v>1623562.7034485687</v>
      </c>
      <c r="AC173" s="415">
        <f t="shared" si="163"/>
        <v>1613236.2697173187</v>
      </c>
      <c r="AD173" s="415">
        <f t="shared" si="163"/>
        <v>1678143.3342967364</v>
      </c>
      <c r="AE173" s="415">
        <f t="shared" si="163"/>
        <v>1667125.9669285489</v>
      </c>
      <c r="AF173" s="415">
        <f t="shared" si="163"/>
        <v>1656108.5995603614</v>
      </c>
      <c r="AG173" s="415">
        <f t="shared" si="163"/>
        <v>1722324.087581136</v>
      </c>
      <c r="AH173" s="415">
        <f t="shared" si="163"/>
        <v>1711306.7202129485</v>
      </c>
      <c r="AI173" s="415">
        <f t="shared" si="163"/>
        <v>1700289.352844761</v>
      </c>
      <c r="AJ173" s="415">
        <f t="shared" si="163"/>
        <v>1768565.2164534018</v>
      </c>
      <c r="AK173" s="415">
        <f t="shared" si="163"/>
        <v>1757547.8490852143</v>
      </c>
      <c r="AL173" s="415">
        <f t="shared" si="163"/>
        <v>1746530.4817170268</v>
      </c>
      <c r="AM173" s="415">
        <f t="shared" si="163"/>
        <v>1816962.8068162741</v>
      </c>
      <c r="AN173" s="415">
        <f t="shared" si="163"/>
        <v>1805945.4394480865</v>
      </c>
      <c r="AO173" s="415">
        <f t="shared" si="163"/>
        <v>1794928.072079899</v>
      </c>
      <c r="AP173" s="415">
        <f t="shared" si="163"/>
        <v>1867617.4255519609</v>
      </c>
      <c r="AQ173" s="415">
        <f t="shared" si="163"/>
        <v>1855888.3965377279</v>
      </c>
      <c r="AR173" s="415">
        <f t="shared" si="163"/>
        <v>1844159.3675234949</v>
      </c>
      <c r="AS173" s="415">
        <f t="shared" si="163"/>
        <v>1918432.9676749774</v>
      </c>
      <c r="AT173" s="415">
        <f t="shared" si="163"/>
        <v>1906703.9386607443</v>
      </c>
      <c r="AU173" s="415">
        <f t="shared" si="163"/>
        <v>1894974.9096465113</v>
      </c>
      <c r="AV173" s="415">
        <f t="shared" si="163"/>
        <v>1971618.299688186</v>
      </c>
      <c r="AW173" s="415">
        <f t="shared" si="163"/>
        <v>1959889.270673953</v>
      </c>
      <c r="AX173" s="415">
        <f t="shared" si="163"/>
        <v>1948160.24165972</v>
      </c>
      <c r="AY173" s="415">
        <f t="shared" si="163"/>
        <v>2027283.9370734461</v>
      </c>
      <c r="AZ173" s="415">
        <f t="shared" si="163"/>
        <v>2015554.9080592131</v>
      </c>
      <c r="BA173" s="415">
        <f t="shared" si="163"/>
        <v>2003825.87904498</v>
      </c>
      <c r="BB173" s="415">
        <f t="shared" si="163"/>
        <v>2085545.5492175184</v>
      </c>
      <c r="BC173" s="415">
        <f t="shared" si="163"/>
        <v>2079037.6907102733</v>
      </c>
      <c r="BD173" s="415">
        <f t="shared" si="163"/>
        <v>2072529.8322030283</v>
      </c>
      <c r="BE173" s="415">
        <f t="shared" si="163"/>
        <v>2162674.6913148686</v>
      </c>
      <c r="BF173" s="415">
        <f t="shared" si="163"/>
        <v>2156166.8328076233</v>
      </c>
      <c r="BG173" s="415">
        <f t="shared" si="163"/>
        <v>2149658.974300378</v>
      </c>
      <c r="BH173" s="415">
        <f t="shared" si="163"/>
        <v>2243400.7617051215</v>
      </c>
      <c r="BI173" s="415">
        <f t="shared" si="163"/>
        <v>2236892.9031978762</v>
      </c>
      <c r="BJ173" s="415">
        <f t="shared" si="163"/>
        <v>2230385.0446906309</v>
      </c>
      <c r="BK173" s="415">
        <f t="shared" si="163"/>
        <v>2327891.5036406009</v>
      </c>
      <c r="BL173" s="415">
        <f t="shared" si="163"/>
        <v>2321383.6451333556</v>
      </c>
      <c r="BM173" s="415">
        <f t="shared" si="163"/>
        <v>2314875.7866261103</v>
      </c>
      <c r="BN173" s="415">
        <f t="shared" si="163"/>
        <v>0</v>
      </c>
      <c r="BO173" s="415">
        <f t="shared" si="163"/>
        <v>0</v>
      </c>
      <c r="BP173" s="415">
        <f t="shared" si="163"/>
        <v>0</v>
      </c>
      <c r="BQ173" s="415">
        <f t="shared" si="163"/>
        <v>0</v>
      </c>
      <c r="BR173" s="415">
        <f t="shared" ref="BR173:DV173" si="164">SUM(BR167:BR172)</f>
        <v>0</v>
      </c>
      <c r="BS173" s="415">
        <f t="shared" si="164"/>
        <v>0</v>
      </c>
      <c r="BT173" s="415">
        <f t="shared" si="164"/>
        <v>0</v>
      </c>
      <c r="BU173" s="415">
        <f t="shared" si="164"/>
        <v>0</v>
      </c>
      <c r="BV173" s="415">
        <f t="shared" si="164"/>
        <v>0</v>
      </c>
      <c r="BW173" s="415">
        <f t="shared" si="164"/>
        <v>0</v>
      </c>
      <c r="BX173" s="415">
        <f t="shared" si="164"/>
        <v>0</v>
      </c>
      <c r="BY173" s="415">
        <f t="shared" si="164"/>
        <v>0</v>
      </c>
      <c r="BZ173" s="415">
        <f t="shared" si="164"/>
        <v>0</v>
      </c>
      <c r="CA173" s="415">
        <f t="shared" si="164"/>
        <v>0</v>
      </c>
      <c r="CB173" s="415">
        <f t="shared" si="164"/>
        <v>0</v>
      </c>
      <c r="CC173" s="415">
        <f t="shared" si="164"/>
        <v>0</v>
      </c>
      <c r="CD173" s="415">
        <f t="shared" si="164"/>
        <v>0</v>
      </c>
      <c r="CE173" s="415">
        <f t="shared" si="164"/>
        <v>0</v>
      </c>
      <c r="CF173" s="415">
        <f t="shared" si="164"/>
        <v>0</v>
      </c>
      <c r="CG173" s="415">
        <f t="shared" si="164"/>
        <v>0</v>
      </c>
      <c r="CH173" s="415">
        <f t="shared" si="164"/>
        <v>0</v>
      </c>
      <c r="CI173" s="415">
        <f t="shared" si="164"/>
        <v>0</v>
      </c>
      <c r="CJ173" s="415">
        <f t="shared" si="164"/>
        <v>0</v>
      </c>
      <c r="CK173" s="415">
        <f t="shared" si="164"/>
        <v>0</v>
      </c>
      <c r="CL173" s="415">
        <f t="shared" si="164"/>
        <v>0</v>
      </c>
      <c r="CM173" s="415">
        <f t="shared" si="164"/>
        <v>0</v>
      </c>
      <c r="CN173" s="415">
        <f t="shared" si="164"/>
        <v>0</v>
      </c>
      <c r="CO173" s="415">
        <f t="shared" si="164"/>
        <v>0</v>
      </c>
      <c r="CP173" s="415">
        <f t="shared" si="164"/>
        <v>0</v>
      </c>
      <c r="CQ173" s="415">
        <f t="shared" si="164"/>
        <v>0</v>
      </c>
      <c r="CR173" s="415">
        <f t="shared" si="164"/>
        <v>0</v>
      </c>
      <c r="CS173" s="415">
        <f t="shared" si="164"/>
        <v>0</v>
      </c>
      <c r="CT173" s="415">
        <f t="shared" si="164"/>
        <v>0</v>
      </c>
      <c r="CU173" s="415">
        <f t="shared" si="164"/>
        <v>0</v>
      </c>
      <c r="CV173" s="415">
        <f t="shared" si="164"/>
        <v>0</v>
      </c>
      <c r="CW173" s="415">
        <f t="shared" si="164"/>
        <v>0</v>
      </c>
      <c r="CX173" s="415">
        <f t="shared" si="164"/>
        <v>0</v>
      </c>
      <c r="CY173" s="415">
        <f t="shared" si="164"/>
        <v>0</v>
      </c>
      <c r="CZ173" s="415">
        <f t="shared" si="164"/>
        <v>0</v>
      </c>
      <c r="DA173" s="415">
        <f t="shared" si="164"/>
        <v>0</v>
      </c>
      <c r="DB173" s="415">
        <f t="shared" si="164"/>
        <v>0</v>
      </c>
      <c r="DC173" s="415">
        <f t="shared" si="164"/>
        <v>0</v>
      </c>
      <c r="DD173" s="415">
        <f t="shared" si="164"/>
        <v>0</v>
      </c>
      <c r="DE173" s="415">
        <f t="shared" si="164"/>
        <v>0</v>
      </c>
      <c r="DF173" s="415">
        <f t="shared" si="164"/>
        <v>0</v>
      </c>
      <c r="DG173" s="415">
        <f t="shared" si="164"/>
        <v>0</v>
      </c>
      <c r="DH173" s="415">
        <f t="shared" si="164"/>
        <v>0</v>
      </c>
      <c r="DI173" s="415">
        <f t="shared" si="164"/>
        <v>0</v>
      </c>
      <c r="DJ173" s="415">
        <f t="shared" si="164"/>
        <v>0</v>
      </c>
      <c r="DK173" s="415">
        <f t="shared" si="164"/>
        <v>0</v>
      </c>
      <c r="DL173" s="415">
        <f t="shared" si="164"/>
        <v>0</v>
      </c>
      <c r="DM173" s="415">
        <f t="shared" si="164"/>
        <v>0</v>
      </c>
      <c r="DN173" s="415">
        <f t="shared" si="164"/>
        <v>0</v>
      </c>
      <c r="DO173" s="415">
        <f t="shared" si="164"/>
        <v>0</v>
      </c>
      <c r="DP173" s="415">
        <f t="shared" si="164"/>
        <v>0</v>
      </c>
      <c r="DQ173" s="415">
        <f t="shared" si="164"/>
        <v>0</v>
      </c>
      <c r="DR173" s="415">
        <f t="shared" si="164"/>
        <v>0</v>
      </c>
      <c r="DS173" s="415">
        <f t="shared" si="164"/>
        <v>0</v>
      </c>
      <c r="DT173" s="415">
        <f t="shared" si="164"/>
        <v>0</v>
      </c>
      <c r="DU173" s="415">
        <f t="shared" si="164"/>
        <v>0</v>
      </c>
      <c r="DV173" s="415">
        <f t="shared" si="164"/>
        <v>0</v>
      </c>
      <c r="DW173" s="322" t="s">
        <v>372</v>
      </c>
    </row>
    <row r="174" spans="3:127" ht="17.25" hidden="1" outlineLevel="1" thickTop="1" x14ac:dyDescent="0.3"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0"/>
      <c r="P174" s="360"/>
      <c r="Q174" s="360"/>
      <c r="R174" s="360"/>
      <c r="S174" s="360"/>
      <c r="T174" s="360"/>
      <c r="U174" s="360"/>
      <c r="V174" s="360"/>
      <c r="W174" s="360"/>
      <c r="X174" s="360"/>
      <c r="Y174" s="360"/>
      <c r="Z174" s="360"/>
      <c r="AA174" s="360"/>
      <c r="AB174" s="360"/>
      <c r="AC174" s="360"/>
      <c r="AD174" s="360"/>
      <c r="AE174" s="360"/>
      <c r="AF174" s="360"/>
      <c r="AG174" s="360"/>
      <c r="AH174" s="360"/>
      <c r="AI174" s="360"/>
      <c r="AJ174" s="360"/>
      <c r="AK174" s="360"/>
      <c r="AL174" s="360"/>
      <c r="AM174" s="360"/>
      <c r="AN174" s="360"/>
      <c r="AO174" s="360"/>
      <c r="AP174" s="360"/>
      <c r="AQ174" s="360"/>
      <c r="AR174" s="360"/>
      <c r="AS174" s="360"/>
      <c r="AT174" s="360"/>
      <c r="AU174" s="360"/>
      <c r="AV174" s="360"/>
      <c r="AW174" s="360"/>
      <c r="AX174" s="360"/>
      <c r="AY174" s="360"/>
      <c r="AZ174" s="360"/>
      <c r="BA174" s="360"/>
      <c r="BB174" s="360"/>
      <c r="BC174" s="360"/>
      <c r="BD174" s="360"/>
      <c r="BE174" s="360"/>
      <c r="BF174" s="360"/>
      <c r="BG174" s="360"/>
      <c r="BH174" s="360"/>
      <c r="BI174" s="360"/>
      <c r="BJ174" s="360"/>
      <c r="BK174" s="360"/>
      <c r="BL174" s="360"/>
      <c r="BM174" s="360"/>
      <c r="BN174" s="360"/>
      <c r="BO174" s="360"/>
      <c r="BP174" s="360"/>
      <c r="BQ174" s="360"/>
      <c r="BR174" s="360"/>
      <c r="BS174" s="360"/>
      <c r="BT174" s="360"/>
      <c r="BU174" s="360"/>
      <c r="BV174" s="360"/>
      <c r="BW174" s="360"/>
      <c r="BX174" s="360"/>
      <c r="BY174" s="360"/>
      <c r="BZ174" s="360"/>
      <c r="CA174" s="360"/>
      <c r="CB174" s="360"/>
      <c r="CC174" s="360"/>
      <c r="CD174" s="360"/>
      <c r="CE174" s="360"/>
      <c r="CF174" s="360"/>
      <c r="CG174" s="360"/>
      <c r="CH174" s="360"/>
      <c r="CI174" s="360"/>
      <c r="CJ174" s="360"/>
      <c r="CK174" s="360"/>
      <c r="CL174" s="360"/>
      <c r="CM174" s="360"/>
      <c r="CN174" s="360"/>
      <c r="CO174" s="360"/>
      <c r="CP174" s="360"/>
      <c r="CQ174" s="360"/>
      <c r="CR174" s="360"/>
      <c r="CS174" s="360"/>
      <c r="CT174" s="360"/>
      <c r="CU174" s="360"/>
      <c r="CV174" s="360"/>
      <c r="CW174" s="360"/>
      <c r="CX174" s="360"/>
      <c r="CY174" s="360"/>
      <c r="CZ174" s="360"/>
      <c r="DA174" s="360"/>
      <c r="DB174" s="360"/>
      <c r="DC174" s="360"/>
      <c r="DD174" s="360"/>
      <c r="DE174" s="360"/>
      <c r="DF174" s="360"/>
      <c r="DG174" s="360"/>
      <c r="DH174" s="360"/>
      <c r="DI174" s="360"/>
      <c r="DJ174" s="360"/>
      <c r="DK174" s="360"/>
      <c r="DL174" s="360"/>
      <c r="DM174" s="360"/>
      <c r="DN174" s="360"/>
      <c r="DO174" s="360"/>
      <c r="DP174" s="360"/>
      <c r="DQ174" s="360"/>
      <c r="DR174" s="360"/>
      <c r="DS174" s="360"/>
      <c r="DT174" s="360"/>
      <c r="DU174" s="360"/>
      <c r="DV174" s="360"/>
      <c r="DW174" s="322" t="s">
        <v>372</v>
      </c>
    </row>
    <row r="175" spans="3:127" hidden="1" outlineLevel="1" x14ac:dyDescent="0.3">
      <c r="C175" s="382" t="s">
        <v>411</v>
      </c>
      <c r="D175" s="395"/>
      <c r="E175" s="471"/>
      <c r="F175" s="463"/>
      <c r="G175" s="463"/>
      <c r="H175" s="463"/>
      <c r="I175" s="463"/>
      <c r="J175" s="463"/>
      <c r="K175" s="463"/>
      <c r="L175" s="463"/>
      <c r="M175" s="463"/>
      <c r="N175" s="463"/>
      <c r="O175" s="463"/>
      <c r="P175" s="463"/>
      <c r="Q175" s="463"/>
      <c r="R175" s="463"/>
      <c r="S175" s="463"/>
      <c r="T175" s="463"/>
      <c r="U175" s="463"/>
      <c r="V175" s="463"/>
      <c r="W175" s="463"/>
      <c r="X175" s="463"/>
      <c r="Y175" s="463"/>
      <c r="Z175" s="463"/>
      <c r="AA175" s="463"/>
      <c r="AB175" s="463"/>
      <c r="AC175" s="463"/>
      <c r="AD175" s="463"/>
      <c r="AE175" s="463"/>
      <c r="AF175" s="463"/>
      <c r="AG175" s="463"/>
      <c r="AH175" s="463"/>
      <c r="AI175" s="463"/>
      <c r="AJ175" s="463"/>
      <c r="AK175" s="463"/>
      <c r="AL175" s="463"/>
      <c r="AM175" s="374"/>
      <c r="AN175" s="374"/>
      <c r="AO175" s="374"/>
      <c r="AP175" s="472"/>
      <c r="AQ175" s="472"/>
      <c r="AR175" s="472"/>
      <c r="AS175" s="472"/>
      <c r="AT175" s="472"/>
      <c r="AU175" s="472"/>
      <c r="AV175" s="473" t="s">
        <v>372</v>
      </c>
      <c r="AW175" s="360"/>
      <c r="AX175" s="360"/>
      <c r="AY175" s="360"/>
      <c r="AZ175" s="360"/>
      <c r="BA175" s="360"/>
      <c r="BB175" s="360"/>
      <c r="BC175" s="360"/>
      <c r="BD175" s="360"/>
      <c r="BE175" s="360"/>
      <c r="BF175" s="360"/>
      <c r="BG175" s="360"/>
      <c r="BH175" s="360"/>
      <c r="BI175" s="360"/>
      <c r="BJ175" s="360"/>
      <c r="BK175" s="360"/>
      <c r="BL175" s="360"/>
      <c r="BM175" s="360"/>
      <c r="BN175" s="360"/>
      <c r="BO175" s="360"/>
      <c r="BP175" s="360"/>
      <c r="BQ175" s="360"/>
      <c r="BR175" s="360"/>
      <c r="BS175" s="360"/>
      <c r="BT175" s="360"/>
      <c r="BU175" s="360"/>
      <c r="BV175" s="360"/>
      <c r="BW175" s="360"/>
      <c r="BX175" s="360"/>
      <c r="BY175" s="360"/>
      <c r="BZ175" s="360"/>
      <c r="CA175" s="360"/>
      <c r="CB175" s="360"/>
      <c r="CC175" s="360"/>
      <c r="CD175" s="360"/>
      <c r="CE175" s="360"/>
      <c r="CF175" s="360"/>
      <c r="CG175" s="360"/>
      <c r="CH175" s="360"/>
      <c r="CI175" s="360"/>
      <c r="CJ175" s="360"/>
      <c r="CK175" s="360"/>
      <c r="CL175" s="360"/>
      <c r="CM175" s="360"/>
      <c r="CN175" s="360"/>
      <c r="CO175" s="360"/>
      <c r="CP175" s="360"/>
      <c r="CQ175" s="360"/>
      <c r="CR175" s="360"/>
      <c r="CS175" s="360"/>
      <c r="CT175" s="360"/>
      <c r="CU175" s="360"/>
      <c r="CV175" s="360"/>
      <c r="CW175" s="360"/>
      <c r="CX175" s="360"/>
      <c r="CY175" s="360"/>
      <c r="CZ175" s="360"/>
      <c r="DA175" s="360"/>
      <c r="DB175" s="360"/>
      <c r="DC175" s="360"/>
      <c r="DD175" s="360"/>
      <c r="DE175" s="360"/>
      <c r="DF175" s="360"/>
      <c r="DG175" s="360"/>
      <c r="DH175" s="360"/>
      <c r="DI175" s="360"/>
      <c r="DJ175" s="360"/>
      <c r="DK175" s="360"/>
      <c r="DL175" s="360"/>
      <c r="DM175" s="360"/>
      <c r="DN175" s="360"/>
      <c r="DO175" s="360"/>
      <c r="DP175" s="360"/>
      <c r="DQ175" s="360"/>
      <c r="DR175" s="360"/>
      <c r="DS175" s="360"/>
      <c r="DT175" s="360"/>
      <c r="DU175" s="360"/>
      <c r="DV175" s="360"/>
      <c r="DW175" s="322" t="s">
        <v>372</v>
      </c>
    </row>
    <row r="176" spans="3:127" hidden="1" outlineLevel="1" x14ac:dyDescent="0.3">
      <c r="C176" s="374" t="s">
        <v>400</v>
      </c>
      <c r="D176" s="474"/>
      <c r="E176" s="467">
        <f>SUM(F176:AL176)</f>
        <v>1367250</v>
      </c>
      <c r="F176" s="466">
        <f t="shared" ref="F176:BQ176" si="165">F168</f>
        <v>1367250</v>
      </c>
      <c r="G176" s="466">
        <f t="shared" si="165"/>
        <v>0</v>
      </c>
      <c r="H176" s="466">
        <f t="shared" si="165"/>
        <v>0</v>
      </c>
      <c r="I176" s="466">
        <f t="shared" si="165"/>
        <v>0</v>
      </c>
      <c r="J176" s="466">
        <f t="shared" si="165"/>
        <v>0</v>
      </c>
      <c r="K176" s="466">
        <f t="shared" si="165"/>
        <v>0</v>
      </c>
      <c r="L176" s="466">
        <f t="shared" si="165"/>
        <v>0</v>
      </c>
      <c r="M176" s="466">
        <f t="shared" si="165"/>
        <v>0</v>
      </c>
      <c r="N176" s="466">
        <f t="shared" si="165"/>
        <v>0</v>
      </c>
      <c r="O176" s="466">
        <f t="shared" si="165"/>
        <v>0</v>
      </c>
      <c r="P176" s="466">
        <f t="shared" si="165"/>
        <v>0</v>
      </c>
      <c r="Q176" s="466">
        <f t="shared" si="165"/>
        <v>0</v>
      </c>
      <c r="R176" s="466">
        <f t="shared" si="165"/>
        <v>0</v>
      </c>
      <c r="S176" s="466">
        <f t="shared" si="165"/>
        <v>0</v>
      </c>
      <c r="T176" s="466">
        <f t="shared" si="165"/>
        <v>0</v>
      </c>
      <c r="U176" s="466">
        <f t="shared" si="165"/>
        <v>0</v>
      </c>
      <c r="V176" s="466">
        <f t="shared" si="165"/>
        <v>0</v>
      </c>
      <c r="W176" s="466">
        <f t="shared" si="165"/>
        <v>0</v>
      </c>
      <c r="X176" s="466">
        <f t="shared" si="165"/>
        <v>0</v>
      </c>
      <c r="Y176" s="466">
        <f t="shared" si="165"/>
        <v>0</v>
      </c>
      <c r="Z176" s="466">
        <f t="shared" si="165"/>
        <v>0</v>
      </c>
      <c r="AA176" s="466">
        <f t="shared" si="165"/>
        <v>0</v>
      </c>
      <c r="AB176" s="466">
        <f t="shared" si="165"/>
        <v>0</v>
      </c>
      <c r="AC176" s="466">
        <f t="shared" si="165"/>
        <v>0</v>
      </c>
      <c r="AD176" s="466">
        <f t="shared" si="165"/>
        <v>0</v>
      </c>
      <c r="AE176" s="466">
        <f t="shared" si="165"/>
        <v>0</v>
      </c>
      <c r="AF176" s="466">
        <f t="shared" si="165"/>
        <v>0</v>
      </c>
      <c r="AG176" s="466">
        <f t="shared" si="165"/>
        <v>0</v>
      </c>
      <c r="AH176" s="466">
        <f t="shared" si="165"/>
        <v>0</v>
      </c>
      <c r="AI176" s="466">
        <f t="shared" si="165"/>
        <v>0</v>
      </c>
      <c r="AJ176" s="466">
        <f t="shared" si="165"/>
        <v>0</v>
      </c>
      <c r="AK176" s="466">
        <f t="shared" si="165"/>
        <v>0</v>
      </c>
      <c r="AL176" s="466">
        <f t="shared" si="165"/>
        <v>0</v>
      </c>
      <c r="AM176" s="466">
        <f t="shared" si="165"/>
        <v>0</v>
      </c>
      <c r="AN176" s="466">
        <f t="shared" si="165"/>
        <v>0</v>
      </c>
      <c r="AO176" s="466">
        <f t="shared" si="165"/>
        <v>0</v>
      </c>
      <c r="AP176" s="466">
        <f t="shared" si="165"/>
        <v>0</v>
      </c>
      <c r="AQ176" s="466">
        <f t="shared" si="165"/>
        <v>0</v>
      </c>
      <c r="AR176" s="466">
        <f t="shared" si="165"/>
        <v>0</v>
      </c>
      <c r="AS176" s="466">
        <f t="shared" si="165"/>
        <v>0</v>
      </c>
      <c r="AT176" s="466">
        <f t="shared" si="165"/>
        <v>0</v>
      </c>
      <c r="AU176" s="466">
        <f t="shared" si="165"/>
        <v>0</v>
      </c>
      <c r="AV176" s="466">
        <f t="shared" si="165"/>
        <v>0</v>
      </c>
      <c r="AW176" s="466">
        <f t="shared" si="165"/>
        <v>0</v>
      </c>
      <c r="AX176" s="466">
        <f t="shared" si="165"/>
        <v>0</v>
      </c>
      <c r="AY176" s="466">
        <f t="shared" si="165"/>
        <v>0</v>
      </c>
      <c r="AZ176" s="466">
        <f t="shared" si="165"/>
        <v>0</v>
      </c>
      <c r="BA176" s="466">
        <f t="shared" si="165"/>
        <v>0</v>
      </c>
      <c r="BB176" s="466">
        <f t="shared" si="165"/>
        <v>0</v>
      </c>
      <c r="BC176" s="466">
        <f t="shared" si="165"/>
        <v>0</v>
      </c>
      <c r="BD176" s="466">
        <f t="shared" si="165"/>
        <v>0</v>
      </c>
      <c r="BE176" s="466">
        <f t="shared" si="165"/>
        <v>0</v>
      </c>
      <c r="BF176" s="466">
        <f t="shared" si="165"/>
        <v>0</v>
      </c>
      <c r="BG176" s="466">
        <f t="shared" si="165"/>
        <v>0</v>
      </c>
      <c r="BH176" s="466">
        <f t="shared" si="165"/>
        <v>0</v>
      </c>
      <c r="BI176" s="466">
        <f t="shared" si="165"/>
        <v>0</v>
      </c>
      <c r="BJ176" s="466">
        <f t="shared" si="165"/>
        <v>0</v>
      </c>
      <c r="BK176" s="466">
        <f t="shared" si="165"/>
        <v>0</v>
      </c>
      <c r="BL176" s="466">
        <f t="shared" si="165"/>
        <v>0</v>
      </c>
      <c r="BM176" s="466">
        <f t="shared" si="165"/>
        <v>0</v>
      </c>
      <c r="BN176" s="466">
        <f t="shared" si="165"/>
        <v>0</v>
      </c>
      <c r="BO176" s="466">
        <f t="shared" si="165"/>
        <v>0</v>
      </c>
      <c r="BP176" s="466">
        <f t="shared" si="165"/>
        <v>0</v>
      </c>
      <c r="BQ176" s="466">
        <f t="shared" si="165"/>
        <v>0</v>
      </c>
      <c r="BR176" s="466">
        <f t="shared" ref="BR176:DV176" si="166">BR168</f>
        <v>0</v>
      </c>
      <c r="BS176" s="466">
        <f t="shared" si="166"/>
        <v>0</v>
      </c>
      <c r="BT176" s="466">
        <f t="shared" si="166"/>
        <v>0</v>
      </c>
      <c r="BU176" s="466">
        <f t="shared" si="166"/>
        <v>0</v>
      </c>
      <c r="BV176" s="466">
        <f t="shared" si="166"/>
        <v>0</v>
      </c>
      <c r="BW176" s="466">
        <f t="shared" si="166"/>
        <v>0</v>
      </c>
      <c r="BX176" s="466">
        <f t="shared" si="166"/>
        <v>0</v>
      </c>
      <c r="BY176" s="466">
        <f t="shared" si="166"/>
        <v>0</v>
      </c>
      <c r="BZ176" s="466">
        <f t="shared" si="166"/>
        <v>0</v>
      </c>
      <c r="CA176" s="466">
        <f t="shared" si="166"/>
        <v>0</v>
      </c>
      <c r="CB176" s="466">
        <f t="shared" si="166"/>
        <v>0</v>
      </c>
      <c r="CC176" s="466">
        <f t="shared" si="166"/>
        <v>0</v>
      </c>
      <c r="CD176" s="466">
        <f t="shared" si="166"/>
        <v>0</v>
      </c>
      <c r="CE176" s="466">
        <f t="shared" si="166"/>
        <v>0</v>
      </c>
      <c r="CF176" s="466">
        <f t="shared" si="166"/>
        <v>0</v>
      </c>
      <c r="CG176" s="466">
        <f t="shared" si="166"/>
        <v>0</v>
      </c>
      <c r="CH176" s="466">
        <f t="shared" si="166"/>
        <v>0</v>
      </c>
      <c r="CI176" s="466">
        <f t="shared" si="166"/>
        <v>0</v>
      </c>
      <c r="CJ176" s="466">
        <f t="shared" si="166"/>
        <v>0</v>
      </c>
      <c r="CK176" s="466">
        <f t="shared" si="166"/>
        <v>0</v>
      </c>
      <c r="CL176" s="466">
        <f t="shared" si="166"/>
        <v>0</v>
      </c>
      <c r="CM176" s="466">
        <f t="shared" si="166"/>
        <v>0</v>
      </c>
      <c r="CN176" s="466">
        <f t="shared" si="166"/>
        <v>0</v>
      </c>
      <c r="CO176" s="466">
        <f t="shared" si="166"/>
        <v>0</v>
      </c>
      <c r="CP176" s="466">
        <f t="shared" si="166"/>
        <v>0</v>
      </c>
      <c r="CQ176" s="466">
        <f t="shared" si="166"/>
        <v>0</v>
      </c>
      <c r="CR176" s="466">
        <f t="shared" si="166"/>
        <v>0</v>
      </c>
      <c r="CS176" s="466">
        <f t="shared" si="166"/>
        <v>0</v>
      </c>
      <c r="CT176" s="466">
        <f t="shared" si="166"/>
        <v>0</v>
      </c>
      <c r="CU176" s="466">
        <f t="shared" si="166"/>
        <v>0</v>
      </c>
      <c r="CV176" s="466">
        <f t="shared" si="166"/>
        <v>0</v>
      </c>
      <c r="CW176" s="466">
        <f t="shared" si="166"/>
        <v>0</v>
      </c>
      <c r="CX176" s="466">
        <f t="shared" si="166"/>
        <v>0</v>
      </c>
      <c r="CY176" s="466">
        <f t="shared" si="166"/>
        <v>0</v>
      </c>
      <c r="CZ176" s="466">
        <f t="shared" si="166"/>
        <v>0</v>
      </c>
      <c r="DA176" s="466">
        <f t="shared" si="166"/>
        <v>0</v>
      </c>
      <c r="DB176" s="466">
        <f t="shared" si="166"/>
        <v>0</v>
      </c>
      <c r="DC176" s="466">
        <f t="shared" si="166"/>
        <v>0</v>
      </c>
      <c r="DD176" s="466">
        <f t="shared" si="166"/>
        <v>0</v>
      </c>
      <c r="DE176" s="466">
        <f t="shared" si="166"/>
        <v>0</v>
      </c>
      <c r="DF176" s="466">
        <f t="shared" si="166"/>
        <v>0</v>
      </c>
      <c r="DG176" s="466">
        <f t="shared" si="166"/>
        <v>0</v>
      </c>
      <c r="DH176" s="466">
        <f t="shared" si="166"/>
        <v>0</v>
      </c>
      <c r="DI176" s="466">
        <f t="shared" si="166"/>
        <v>0</v>
      </c>
      <c r="DJ176" s="466">
        <f t="shared" si="166"/>
        <v>0</v>
      </c>
      <c r="DK176" s="466">
        <f t="shared" si="166"/>
        <v>0</v>
      </c>
      <c r="DL176" s="466">
        <f t="shared" si="166"/>
        <v>0</v>
      </c>
      <c r="DM176" s="466">
        <f t="shared" si="166"/>
        <v>0</v>
      </c>
      <c r="DN176" s="466">
        <f t="shared" si="166"/>
        <v>0</v>
      </c>
      <c r="DO176" s="466">
        <f t="shared" si="166"/>
        <v>0</v>
      </c>
      <c r="DP176" s="466">
        <f t="shared" si="166"/>
        <v>0</v>
      </c>
      <c r="DQ176" s="466">
        <f t="shared" si="166"/>
        <v>0</v>
      </c>
      <c r="DR176" s="466">
        <f t="shared" si="166"/>
        <v>0</v>
      </c>
      <c r="DS176" s="466">
        <f t="shared" si="166"/>
        <v>0</v>
      </c>
      <c r="DT176" s="466">
        <f t="shared" si="166"/>
        <v>0</v>
      </c>
      <c r="DU176" s="466">
        <f t="shared" si="166"/>
        <v>0</v>
      </c>
      <c r="DV176" s="466">
        <f t="shared" si="166"/>
        <v>0</v>
      </c>
      <c r="DW176" s="322" t="s">
        <v>372</v>
      </c>
    </row>
    <row r="177" spans="3:127" hidden="1" outlineLevel="1" x14ac:dyDescent="0.3">
      <c r="C177" s="374" t="s">
        <v>351</v>
      </c>
      <c r="D177" s="470"/>
      <c r="E177" s="463"/>
      <c r="F177" s="465">
        <v>0</v>
      </c>
      <c r="G177" s="467">
        <f t="shared" ref="G177:BR177" si="167">F182</f>
        <v>2734500</v>
      </c>
      <c r="H177" s="467">
        <f t="shared" si="167"/>
        <v>2724844.3756249999</v>
      </c>
      <c r="I177" s="467">
        <f t="shared" si="167"/>
        <v>2715188.7512499997</v>
      </c>
      <c r="J177" s="467">
        <f t="shared" si="167"/>
        <v>2705533.1268749996</v>
      </c>
      <c r="K177" s="467">
        <f t="shared" si="167"/>
        <v>2695877.5024999995</v>
      </c>
      <c r="L177" s="467">
        <f t="shared" si="167"/>
        <v>2686221.8781249993</v>
      </c>
      <c r="M177" s="467">
        <f t="shared" si="167"/>
        <v>2676566.2537499992</v>
      </c>
      <c r="N177" s="467">
        <f t="shared" si="167"/>
        <v>2666910.6293749991</v>
      </c>
      <c r="O177" s="467">
        <f t="shared" si="167"/>
        <v>2657255.004999999</v>
      </c>
      <c r="P177" s="467">
        <f t="shared" si="167"/>
        <v>2647599.3806249988</v>
      </c>
      <c r="Q177" s="467">
        <f t="shared" si="167"/>
        <v>2637943.7562499987</v>
      </c>
      <c r="R177" s="467">
        <f t="shared" si="167"/>
        <v>2628288.1318749986</v>
      </c>
      <c r="S177" s="467">
        <f t="shared" si="167"/>
        <v>2618632.5074999984</v>
      </c>
      <c r="T177" s="467">
        <f t="shared" si="167"/>
        <v>2608306.0737687484</v>
      </c>
      <c r="U177" s="467">
        <f t="shared" si="167"/>
        <v>2597979.6400374984</v>
      </c>
      <c r="V177" s="467">
        <f t="shared" si="167"/>
        <v>2587653.2063062484</v>
      </c>
      <c r="W177" s="467">
        <f t="shared" si="167"/>
        <v>2577326.7725749984</v>
      </c>
      <c r="X177" s="467">
        <f t="shared" si="167"/>
        <v>2567000.3388437484</v>
      </c>
      <c r="Y177" s="467">
        <f t="shared" si="167"/>
        <v>2556673.9051124984</v>
      </c>
      <c r="Z177" s="467">
        <f t="shared" si="167"/>
        <v>2546347.4713812484</v>
      </c>
      <c r="AA177" s="467">
        <f t="shared" si="167"/>
        <v>2536021.0376499984</v>
      </c>
      <c r="AB177" s="467">
        <f t="shared" si="167"/>
        <v>2525694.6039187484</v>
      </c>
      <c r="AC177" s="467">
        <f t="shared" si="167"/>
        <v>2515368.1701874984</v>
      </c>
      <c r="AD177" s="467">
        <f t="shared" si="167"/>
        <v>2505041.7364562484</v>
      </c>
      <c r="AE177" s="467">
        <f t="shared" si="167"/>
        <v>2494715.3027249984</v>
      </c>
      <c r="AF177" s="467">
        <f t="shared" si="167"/>
        <v>2483697.9353568112</v>
      </c>
      <c r="AG177" s="467">
        <f t="shared" si="167"/>
        <v>2472680.5679886239</v>
      </c>
      <c r="AH177" s="467">
        <f t="shared" si="167"/>
        <v>2461663.2006204366</v>
      </c>
      <c r="AI177" s="467">
        <f t="shared" si="167"/>
        <v>2450645.8332522493</v>
      </c>
      <c r="AJ177" s="467">
        <f t="shared" si="167"/>
        <v>2439628.465884062</v>
      </c>
      <c r="AK177" s="467">
        <f t="shared" si="167"/>
        <v>2428611.0985158747</v>
      </c>
      <c r="AL177" s="467">
        <f t="shared" si="167"/>
        <v>2417593.7311476874</v>
      </c>
      <c r="AM177" s="467">
        <f t="shared" si="167"/>
        <v>2406576.3637795001</v>
      </c>
      <c r="AN177" s="467">
        <f t="shared" si="167"/>
        <v>2395558.9964113128</v>
      </c>
      <c r="AO177" s="467">
        <f t="shared" si="167"/>
        <v>2384541.6290431255</v>
      </c>
      <c r="AP177" s="467">
        <f t="shared" si="167"/>
        <v>2373524.2616749383</v>
      </c>
      <c r="AQ177" s="467">
        <f t="shared" si="167"/>
        <v>2362506.894306751</v>
      </c>
      <c r="AR177" s="467">
        <f t="shared" si="167"/>
        <v>2350777.8652925179</v>
      </c>
      <c r="AS177" s="467">
        <f t="shared" si="167"/>
        <v>2339048.8362782849</v>
      </c>
      <c r="AT177" s="467">
        <f t="shared" si="167"/>
        <v>2327319.8072640519</v>
      </c>
      <c r="AU177" s="467">
        <f t="shared" si="167"/>
        <v>2315590.7782498188</v>
      </c>
      <c r="AV177" s="467">
        <f t="shared" si="167"/>
        <v>2303861.7492355858</v>
      </c>
      <c r="AW177" s="467">
        <f t="shared" si="167"/>
        <v>2292132.7202213528</v>
      </c>
      <c r="AX177" s="467">
        <f t="shared" si="167"/>
        <v>2280403.6912071197</v>
      </c>
      <c r="AY177" s="467">
        <f t="shared" si="167"/>
        <v>2268674.6621928867</v>
      </c>
      <c r="AZ177" s="467">
        <f t="shared" si="167"/>
        <v>2256945.6331786537</v>
      </c>
      <c r="BA177" s="467">
        <f t="shared" si="167"/>
        <v>2245216.6041644206</v>
      </c>
      <c r="BB177" s="467">
        <f t="shared" si="167"/>
        <v>2233487.5751501876</v>
      </c>
      <c r="BC177" s="467">
        <f t="shared" si="167"/>
        <v>2221758.5461359546</v>
      </c>
      <c r="BD177" s="467">
        <f t="shared" si="167"/>
        <v>2215250.6876287092</v>
      </c>
      <c r="BE177" s="467">
        <f t="shared" si="167"/>
        <v>2208742.8291214639</v>
      </c>
      <c r="BF177" s="467">
        <f t="shared" si="167"/>
        <v>2202234.9706142186</v>
      </c>
      <c r="BG177" s="467">
        <f t="shared" si="167"/>
        <v>2195727.1121069733</v>
      </c>
      <c r="BH177" s="467">
        <f t="shared" si="167"/>
        <v>2189219.253599728</v>
      </c>
      <c r="BI177" s="467">
        <f t="shared" si="167"/>
        <v>2182711.3950924827</v>
      </c>
      <c r="BJ177" s="467">
        <f t="shared" si="167"/>
        <v>2176203.5365852374</v>
      </c>
      <c r="BK177" s="467">
        <f t="shared" si="167"/>
        <v>2169695.6780779921</v>
      </c>
      <c r="BL177" s="467">
        <f t="shared" si="167"/>
        <v>2163187.8195707467</v>
      </c>
      <c r="BM177" s="467">
        <f t="shared" si="167"/>
        <v>2156679.9610635014</v>
      </c>
      <c r="BN177" s="467">
        <f t="shared" si="167"/>
        <v>2150172.1025562561</v>
      </c>
      <c r="BO177" s="467">
        <f t="shared" si="167"/>
        <v>1058337.9976367466</v>
      </c>
      <c r="BP177" s="467">
        <f t="shared" si="167"/>
        <v>1058337.9976367466</v>
      </c>
      <c r="BQ177" s="467">
        <f t="shared" si="167"/>
        <v>1058337.9976367466</v>
      </c>
      <c r="BR177" s="467">
        <f t="shared" si="167"/>
        <v>1058337.9976367466</v>
      </c>
      <c r="BS177" s="467">
        <f t="shared" ref="BS177:DV177" si="168">BR182</f>
        <v>1058337.9976367466</v>
      </c>
      <c r="BT177" s="467">
        <f t="shared" si="168"/>
        <v>1058337.9976367466</v>
      </c>
      <c r="BU177" s="467">
        <f t="shared" si="168"/>
        <v>1058337.9976367466</v>
      </c>
      <c r="BV177" s="467">
        <f t="shared" si="168"/>
        <v>1058337.9976367466</v>
      </c>
      <c r="BW177" s="467">
        <f t="shared" si="168"/>
        <v>1058337.9976367466</v>
      </c>
      <c r="BX177" s="467">
        <f t="shared" si="168"/>
        <v>1058337.9976367466</v>
      </c>
      <c r="BY177" s="467">
        <f t="shared" si="168"/>
        <v>1058337.9976367466</v>
      </c>
      <c r="BZ177" s="467">
        <f t="shared" si="168"/>
        <v>1058337.9976367466</v>
      </c>
      <c r="CA177" s="467">
        <f t="shared" si="168"/>
        <v>1058337.9976367466</v>
      </c>
      <c r="CB177" s="467">
        <f t="shared" si="168"/>
        <v>1058337.9976367466</v>
      </c>
      <c r="CC177" s="467">
        <f t="shared" si="168"/>
        <v>1058337.9976367466</v>
      </c>
      <c r="CD177" s="467">
        <f t="shared" si="168"/>
        <v>1058337.9976367466</v>
      </c>
      <c r="CE177" s="467">
        <f t="shared" si="168"/>
        <v>1058337.9976367466</v>
      </c>
      <c r="CF177" s="467">
        <f t="shared" si="168"/>
        <v>1058337.9976367466</v>
      </c>
      <c r="CG177" s="467">
        <f t="shared" si="168"/>
        <v>1058337.9976367466</v>
      </c>
      <c r="CH177" s="467">
        <f t="shared" si="168"/>
        <v>1058337.9976367466</v>
      </c>
      <c r="CI177" s="467">
        <f t="shared" si="168"/>
        <v>1058337.9976367466</v>
      </c>
      <c r="CJ177" s="467">
        <f t="shared" si="168"/>
        <v>1058337.9976367466</v>
      </c>
      <c r="CK177" s="467">
        <f t="shared" si="168"/>
        <v>1058337.9976367466</v>
      </c>
      <c r="CL177" s="467">
        <f t="shared" si="168"/>
        <v>1058337.9976367466</v>
      </c>
      <c r="CM177" s="467">
        <f t="shared" si="168"/>
        <v>1058337.9976367466</v>
      </c>
      <c r="CN177" s="467">
        <f t="shared" si="168"/>
        <v>1058337.9976367466</v>
      </c>
      <c r="CO177" s="467">
        <f t="shared" si="168"/>
        <v>1058337.9976367466</v>
      </c>
      <c r="CP177" s="467">
        <f t="shared" si="168"/>
        <v>1058337.9976367466</v>
      </c>
      <c r="CQ177" s="467">
        <f t="shared" si="168"/>
        <v>1058337.9976367466</v>
      </c>
      <c r="CR177" s="467">
        <f t="shared" si="168"/>
        <v>1058337.9976367466</v>
      </c>
      <c r="CS177" s="467">
        <f t="shared" si="168"/>
        <v>1058337.9976367466</v>
      </c>
      <c r="CT177" s="467">
        <f t="shared" si="168"/>
        <v>1058337.9976367466</v>
      </c>
      <c r="CU177" s="467">
        <f t="shared" si="168"/>
        <v>1058337.9976367466</v>
      </c>
      <c r="CV177" s="467">
        <f t="shared" si="168"/>
        <v>1058337.9976367466</v>
      </c>
      <c r="CW177" s="467">
        <f t="shared" si="168"/>
        <v>1058337.9976367466</v>
      </c>
      <c r="CX177" s="467">
        <f t="shared" si="168"/>
        <v>1058337.9976367466</v>
      </c>
      <c r="CY177" s="467">
        <f t="shared" si="168"/>
        <v>1058337.9976367466</v>
      </c>
      <c r="CZ177" s="467">
        <f t="shared" si="168"/>
        <v>1058337.9976367466</v>
      </c>
      <c r="DA177" s="467">
        <f t="shared" si="168"/>
        <v>1058337.9976367466</v>
      </c>
      <c r="DB177" s="467">
        <f t="shared" si="168"/>
        <v>1058337.9976367466</v>
      </c>
      <c r="DC177" s="467">
        <f t="shared" si="168"/>
        <v>1058337.9976367466</v>
      </c>
      <c r="DD177" s="467">
        <f t="shared" si="168"/>
        <v>1058337.9976367466</v>
      </c>
      <c r="DE177" s="467">
        <f t="shared" si="168"/>
        <v>1058337.9976367466</v>
      </c>
      <c r="DF177" s="467">
        <f t="shared" si="168"/>
        <v>1058337.9976367466</v>
      </c>
      <c r="DG177" s="467">
        <f t="shared" si="168"/>
        <v>1058337.9976367466</v>
      </c>
      <c r="DH177" s="467">
        <f t="shared" si="168"/>
        <v>1058337.9976367466</v>
      </c>
      <c r="DI177" s="467">
        <f t="shared" si="168"/>
        <v>1058337.9976367466</v>
      </c>
      <c r="DJ177" s="467">
        <f t="shared" si="168"/>
        <v>1058337.9976367466</v>
      </c>
      <c r="DK177" s="467">
        <f t="shared" si="168"/>
        <v>1058337.9976367466</v>
      </c>
      <c r="DL177" s="467">
        <f t="shared" si="168"/>
        <v>1058337.9976367466</v>
      </c>
      <c r="DM177" s="467">
        <f t="shared" si="168"/>
        <v>1058337.9976367466</v>
      </c>
      <c r="DN177" s="467">
        <f t="shared" si="168"/>
        <v>1058337.9976367466</v>
      </c>
      <c r="DO177" s="467">
        <f t="shared" si="168"/>
        <v>1058337.9976367466</v>
      </c>
      <c r="DP177" s="467">
        <f t="shared" si="168"/>
        <v>1058337.9976367466</v>
      </c>
      <c r="DQ177" s="467">
        <f t="shared" si="168"/>
        <v>1058337.9976367466</v>
      </c>
      <c r="DR177" s="467">
        <f t="shared" si="168"/>
        <v>1058337.9976367466</v>
      </c>
      <c r="DS177" s="467">
        <f t="shared" si="168"/>
        <v>1058337.9976367466</v>
      </c>
      <c r="DT177" s="467">
        <f t="shared" si="168"/>
        <v>1058337.9976367466</v>
      </c>
      <c r="DU177" s="467">
        <f t="shared" si="168"/>
        <v>1058337.9976367466</v>
      </c>
      <c r="DV177" s="467">
        <f t="shared" si="168"/>
        <v>1058337.9976367466</v>
      </c>
      <c r="DW177" s="322" t="s">
        <v>372</v>
      </c>
    </row>
    <row r="178" spans="3:127" hidden="1" outlineLevel="1" x14ac:dyDescent="0.3">
      <c r="C178" s="476" t="s">
        <v>403</v>
      </c>
      <c r="D178" s="477">
        <f>F40</f>
        <v>2</v>
      </c>
      <c r="E178" s="463">
        <f>SUM(F178:AL178)</f>
        <v>2734500</v>
      </c>
      <c r="F178" s="468">
        <f t="shared" ref="F178:BQ178" si="169">F176*$D$178</f>
        <v>2734500</v>
      </c>
      <c r="G178" s="468">
        <f t="shared" si="169"/>
        <v>0</v>
      </c>
      <c r="H178" s="468">
        <f t="shared" si="169"/>
        <v>0</v>
      </c>
      <c r="I178" s="468">
        <f t="shared" si="169"/>
        <v>0</v>
      </c>
      <c r="J178" s="468">
        <f t="shared" si="169"/>
        <v>0</v>
      </c>
      <c r="K178" s="468">
        <f t="shared" si="169"/>
        <v>0</v>
      </c>
      <c r="L178" s="468">
        <f t="shared" si="169"/>
        <v>0</v>
      </c>
      <c r="M178" s="468">
        <f t="shared" si="169"/>
        <v>0</v>
      </c>
      <c r="N178" s="468">
        <f t="shared" si="169"/>
        <v>0</v>
      </c>
      <c r="O178" s="468">
        <f t="shared" si="169"/>
        <v>0</v>
      </c>
      <c r="P178" s="468">
        <f t="shared" si="169"/>
        <v>0</v>
      </c>
      <c r="Q178" s="468">
        <f t="shared" si="169"/>
        <v>0</v>
      </c>
      <c r="R178" s="468">
        <f t="shared" si="169"/>
        <v>0</v>
      </c>
      <c r="S178" s="468">
        <f t="shared" si="169"/>
        <v>0</v>
      </c>
      <c r="T178" s="468">
        <f t="shared" si="169"/>
        <v>0</v>
      </c>
      <c r="U178" s="468">
        <f t="shared" si="169"/>
        <v>0</v>
      </c>
      <c r="V178" s="468">
        <f t="shared" si="169"/>
        <v>0</v>
      </c>
      <c r="W178" s="468">
        <f t="shared" si="169"/>
        <v>0</v>
      </c>
      <c r="X178" s="468">
        <f t="shared" si="169"/>
        <v>0</v>
      </c>
      <c r="Y178" s="468">
        <f t="shared" si="169"/>
        <v>0</v>
      </c>
      <c r="Z178" s="468">
        <f t="shared" si="169"/>
        <v>0</v>
      </c>
      <c r="AA178" s="468">
        <f t="shared" si="169"/>
        <v>0</v>
      </c>
      <c r="AB178" s="468">
        <f t="shared" si="169"/>
        <v>0</v>
      </c>
      <c r="AC178" s="468">
        <f t="shared" si="169"/>
        <v>0</v>
      </c>
      <c r="AD178" s="468">
        <f t="shared" si="169"/>
        <v>0</v>
      </c>
      <c r="AE178" s="468">
        <f t="shared" si="169"/>
        <v>0</v>
      </c>
      <c r="AF178" s="468">
        <f t="shared" si="169"/>
        <v>0</v>
      </c>
      <c r="AG178" s="468">
        <f t="shared" si="169"/>
        <v>0</v>
      </c>
      <c r="AH178" s="468">
        <f t="shared" si="169"/>
        <v>0</v>
      </c>
      <c r="AI178" s="468">
        <f t="shared" si="169"/>
        <v>0</v>
      </c>
      <c r="AJ178" s="468">
        <f t="shared" si="169"/>
        <v>0</v>
      </c>
      <c r="AK178" s="468">
        <f t="shared" si="169"/>
        <v>0</v>
      </c>
      <c r="AL178" s="468">
        <f t="shared" si="169"/>
        <v>0</v>
      </c>
      <c r="AM178" s="468">
        <f t="shared" si="169"/>
        <v>0</v>
      </c>
      <c r="AN178" s="468">
        <f t="shared" si="169"/>
        <v>0</v>
      </c>
      <c r="AO178" s="468">
        <f t="shared" si="169"/>
        <v>0</v>
      </c>
      <c r="AP178" s="468">
        <f t="shared" si="169"/>
        <v>0</v>
      </c>
      <c r="AQ178" s="468">
        <f t="shared" si="169"/>
        <v>0</v>
      </c>
      <c r="AR178" s="468">
        <f t="shared" si="169"/>
        <v>0</v>
      </c>
      <c r="AS178" s="468">
        <f t="shared" si="169"/>
        <v>0</v>
      </c>
      <c r="AT178" s="468">
        <f t="shared" si="169"/>
        <v>0</v>
      </c>
      <c r="AU178" s="468">
        <f t="shared" si="169"/>
        <v>0</v>
      </c>
      <c r="AV178" s="468">
        <f t="shared" si="169"/>
        <v>0</v>
      </c>
      <c r="AW178" s="468">
        <f t="shared" si="169"/>
        <v>0</v>
      </c>
      <c r="AX178" s="468">
        <f t="shared" si="169"/>
        <v>0</v>
      </c>
      <c r="AY178" s="468">
        <f t="shared" si="169"/>
        <v>0</v>
      </c>
      <c r="AZ178" s="468">
        <f t="shared" si="169"/>
        <v>0</v>
      </c>
      <c r="BA178" s="468">
        <f t="shared" si="169"/>
        <v>0</v>
      </c>
      <c r="BB178" s="468">
        <f t="shared" si="169"/>
        <v>0</v>
      </c>
      <c r="BC178" s="468">
        <f t="shared" si="169"/>
        <v>0</v>
      </c>
      <c r="BD178" s="468">
        <f t="shared" si="169"/>
        <v>0</v>
      </c>
      <c r="BE178" s="468">
        <f t="shared" si="169"/>
        <v>0</v>
      </c>
      <c r="BF178" s="468">
        <f t="shared" si="169"/>
        <v>0</v>
      </c>
      <c r="BG178" s="468">
        <f t="shared" si="169"/>
        <v>0</v>
      </c>
      <c r="BH178" s="468">
        <f t="shared" si="169"/>
        <v>0</v>
      </c>
      <c r="BI178" s="468">
        <f t="shared" si="169"/>
        <v>0</v>
      </c>
      <c r="BJ178" s="468">
        <f t="shared" si="169"/>
        <v>0</v>
      </c>
      <c r="BK178" s="468">
        <f t="shared" si="169"/>
        <v>0</v>
      </c>
      <c r="BL178" s="468">
        <f t="shared" si="169"/>
        <v>0</v>
      </c>
      <c r="BM178" s="468">
        <f t="shared" si="169"/>
        <v>0</v>
      </c>
      <c r="BN178" s="468">
        <f t="shared" si="169"/>
        <v>0</v>
      </c>
      <c r="BO178" s="468">
        <f t="shared" si="169"/>
        <v>0</v>
      </c>
      <c r="BP178" s="468">
        <f t="shared" si="169"/>
        <v>0</v>
      </c>
      <c r="BQ178" s="468">
        <f t="shared" si="169"/>
        <v>0</v>
      </c>
      <c r="BR178" s="468">
        <f t="shared" ref="BR178:DV178" si="170">BR176*$D$178</f>
        <v>0</v>
      </c>
      <c r="BS178" s="468">
        <f t="shared" si="170"/>
        <v>0</v>
      </c>
      <c r="BT178" s="468">
        <f t="shared" si="170"/>
        <v>0</v>
      </c>
      <c r="BU178" s="468">
        <f t="shared" si="170"/>
        <v>0</v>
      </c>
      <c r="BV178" s="468">
        <f t="shared" si="170"/>
        <v>0</v>
      </c>
      <c r="BW178" s="468">
        <f t="shared" si="170"/>
        <v>0</v>
      </c>
      <c r="BX178" s="468">
        <f t="shared" si="170"/>
        <v>0</v>
      </c>
      <c r="BY178" s="468">
        <f t="shared" si="170"/>
        <v>0</v>
      </c>
      <c r="BZ178" s="468">
        <f t="shared" si="170"/>
        <v>0</v>
      </c>
      <c r="CA178" s="468">
        <f t="shared" si="170"/>
        <v>0</v>
      </c>
      <c r="CB178" s="468">
        <f t="shared" si="170"/>
        <v>0</v>
      </c>
      <c r="CC178" s="468">
        <f t="shared" si="170"/>
        <v>0</v>
      </c>
      <c r="CD178" s="468">
        <f t="shared" si="170"/>
        <v>0</v>
      </c>
      <c r="CE178" s="468">
        <f t="shared" si="170"/>
        <v>0</v>
      </c>
      <c r="CF178" s="468">
        <f t="shared" si="170"/>
        <v>0</v>
      </c>
      <c r="CG178" s="468">
        <f t="shared" si="170"/>
        <v>0</v>
      </c>
      <c r="CH178" s="468">
        <f t="shared" si="170"/>
        <v>0</v>
      </c>
      <c r="CI178" s="468">
        <f t="shared" si="170"/>
        <v>0</v>
      </c>
      <c r="CJ178" s="468">
        <f t="shared" si="170"/>
        <v>0</v>
      </c>
      <c r="CK178" s="468">
        <f t="shared" si="170"/>
        <v>0</v>
      </c>
      <c r="CL178" s="468">
        <f t="shared" si="170"/>
        <v>0</v>
      </c>
      <c r="CM178" s="468">
        <f t="shared" si="170"/>
        <v>0</v>
      </c>
      <c r="CN178" s="468">
        <f t="shared" si="170"/>
        <v>0</v>
      </c>
      <c r="CO178" s="468">
        <f t="shared" si="170"/>
        <v>0</v>
      </c>
      <c r="CP178" s="468">
        <f t="shared" si="170"/>
        <v>0</v>
      </c>
      <c r="CQ178" s="468">
        <f t="shared" si="170"/>
        <v>0</v>
      </c>
      <c r="CR178" s="468">
        <f t="shared" si="170"/>
        <v>0</v>
      </c>
      <c r="CS178" s="468">
        <f t="shared" si="170"/>
        <v>0</v>
      </c>
      <c r="CT178" s="468">
        <f t="shared" si="170"/>
        <v>0</v>
      </c>
      <c r="CU178" s="468">
        <f t="shared" si="170"/>
        <v>0</v>
      </c>
      <c r="CV178" s="468">
        <f t="shared" si="170"/>
        <v>0</v>
      </c>
      <c r="CW178" s="468">
        <f t="shared" si="170"/>
        <v>0</v>
      </c>
      <c r="CX178" s="468">
        <f t="shared" si="170"/>
        <v>0</v>
      </c>
      <c r="CY178" s="468">
        <f t="shared" si="170"/>
        <v>0</v>
      </c>
      <c r="CZ178" s="468">
        <f t="shared" si="170"/>
        <v>0</v>
      </c>
      <c r="DA178" s="468">
        <f t="shared" si="170"/>
        <v>0</v>
      </c>
      <c r="DB178" s="468">
        <f t="shared" si="170"/>
        <v>0</v>
      </c>
      <c r="DC178" s="468">
        <f t="shared" si="170"/>
        <v>0</v>
      </c>
      <c r="DD178" s="468">
        <f t="shared" si="170"/>
        <v>0</v>
      </c>
      <c r="DE178" s="468">
        <f t="shared" si="170"/>
        <v>0</v>
      </c>
      <c r="DF178" s="468">
        <f t="shared" si="170"/>
        <v>0</v>
      </c>
      <c r="DG178" s="468">
        <f t="shared" si="170"/>
        <v>0</v>
      </c>
      <c r="DH178" s="468">
        <f t="shared" si="170"/>
        <v>0</v>
      </c>
      <c r="DI178" s="468">
        <f t="shared" si="170"/>
        <v>0</v>
      </c>
      <c r="DJ178" s="468">
        <f t="shared" si="170"/>
        <v>0</v>
      </c>
      <c r="DK178" s="468">
        <f t="shared" si="170"/>
        <v>0</v>
      </c>
      <c r="DL178" s="468">
        <f t="shared" si="170"/>
        <v>0</v>
      </c>
      <c r="DM178" s="468">
        <f t="shared" si="170"/>
        <v>0</v>
      </c>
      <c r="DN178" s="468">
        <f t="shared" si="170"/>
        <v>0</v>
      </c>
      <c r="DO178" s="468">
        <f t="shared" si="170"/>
        <v>0</v>
      </c>
      <c r="DP178" s="468">
        <f t="shared" si="170"/>
        <v>0</v>
      </c>
      <c r="DQ178" s="468">
        <f t="shared" si="170"/>
        <v>0</v>
      </c>
      <c r="DR178" s="468">
        <f t="shared" si="170"/>
        <v>0</v>
      </c>
      <c r="DS178" s="468">
        <f t="shared" si="170"/>
        <v>0</v>
      </c>
      <c r="DT178" s="468">
        <f t="shared" si="170"/>
        <v>0</v>
      </c>
      <c r="DU178" s="468">
        <f t="shared" si="170"/>
        <v>0</v>
      </c>
      <c r="DV178" s="468">
        <f t="shared" si="170"/>
        <v>0</v>
      </c>
      <c r="DW178" s="322" t="s">
        <v>372</v>
      </c>
    </row>
    <row r="179" spans="3:127" hidden="1" outlineLevel="1" x14ac:dyDescent="0.3">
      <c r="C179" s="469" t="str">
        <f>C170</f>
        <v>8.0% Accrual / 0.0x MOIC Distribution</v>
      </c>
      <c r="D179" s="478"/>
      <c r="E179" s="463">
        <f>SUM(F179:AL179)</f>
        <v>-327923.63622050011</v>
      </c>
      <c r="F179" s="468">
        <f t="shared" ref="F179:BQ180" si="171">F170</f>
        <v>0</v>
      </c>
      <c r="G179" s="468">
        <f t="shared" si="171"/>
        <v>-9655.6243749999994</v>
      </c>
      <c r="H179" s="468">
        <f t="shared" si="171"/>
        <v>-9655.6243749999994</v>
      </c>
      <c r="I179" s="468">
        <f t="shared" si="171"/>
        <v>-9655.6243749999994</v>
      </c>
      <c r="J179" s="468">
        <f t="shared" si="171"/>
        <v>-9655.6243749999994</v>
      </c>
      <c r="K179" s="468">
        <f t="shared" si="171"/>
        <v>-9655.6243749999994</v>
      </c>
      <c r="L179" s="468">
        <f t="shared" si="171"/>
        <v>-9655.6243749999994</v>
      </c>
      <c r="M179" s="468">
        <f t="shared" si="171"/>
        <v>-9655.6243749999994</v>
      </c>
      <c r="N179" s="468">
        <f t="shared" si="171"/>
        <v>-9655.6243749999994</v>
      </c>
      <c r="O179" s="468">
        <f t="shared" si="171"/>
        <v>-9655.6243749999994</v>
      </c>
      <c r="P179" s="468">
        <f t="shared" si="171"/>
        <v>-9655.6243749999994</v>
      </c>
      <c r="Q179" s="468">
        <f t="shared" si="171"/>
        <v>-9655.6243749999994</v>
      </c>
      <c r="R179" s="468">
        <f t="shared" si="171"/>
        <v>-9655.6243749999994</v>
      </c>
      <c r="S179" s="468">
        <f t="shared" si="171"/>
        <v>-10326.433731250003</v>
      </c>
      <c r="T179" s="468">
        <f t="shared" si="171"/>
        <v>-10326.433731250003</v>
      </c>
      <c r="U179" s="468">
        <f t="shared" si="171"/>
        <v>-10326.433731250003</v>
      </c>
      <c r="V179" s="468">
        <f t="shared" si="171"/>
        <v>-10326.433731250003</v>
      </c>
      <c r="W179" s="468">
        <f t="shared" si="171"/>
        <v>-10326.433731250003</v>
      </c>
      <c r="X179" s="468">
        <f t="shared" si="171"/>
        <v>-10326.433731250003</v>
      </c>
      <c r="Y179" s="468">
        <f t="shared" si="171"/>
        <v>-10326.433731250003</v>
      </c>
      <c r="Z179" s="468">
        <f t="shared" si="171"/>
        <v>-10326.433731250003</v>
      </c>
      <c r="AA179" s="468">
        <f t="shared" si="171"/>
        <v>-10326.433731250003</v>
      </c>
      <c r="AB179" s="468">
        <f t="shared" si="171"/>
        <v>-10326.433731250003</v>
      </c>
      <c r="AC179" s="468">
        <f t="shared" si="171"/>
        <v>-10326.433731250003</v>
      </c>
      <c r="AD179" s="468">
        <f t="shared" si="171"/>
        <v>-10326.433731250003</v>
      </c>
      <c r="AE179" s="468">
        <f t="shared" si="171"/>
        <v>-11017.367368187497</v>
      </c>
      <c r="AF179" s="468">
        <f t="shared" si="171"/>
        <v>-11017.367368187497</v>
      </c>
      <c r="AG179" s="468">
        <f t="shared" si="171"/>
        <v>-11017.367368187497</v>
      </c>
      <c r="AH179" s="468">
        <f t="shared" si="171"/>
        <v>-11017.367368187497</v>
      </c>
      <c r="AI179" s="468">
        <f t="shared" si="171"/>
        <v>-11017.367368187497</v>
      </c>
      <c r="AJ179" s="468">
        <f t="shared" si="171"/>
        <v>-11017.367368187497</v>
      </c>
      <c r="AK179" s="468">
        <f t="shared" si="171"/>
        <v>-11017.367368187497</v>
      </c>
      <c r="AL179" s="468">
        <f t="shared" si="171"/>
        <v>-11017.367368187497</v>
      </c>
      <c r="AM179" s="468">
        <f t="shared" si="171"/>
        <v>-11017.367368187497</v>
      </c>
      <c r="AN179" s="468">
        <f t="shared" si="171"/>
        <v>-11017.367368187497</v>
      </c>
      <c r="AO179" s="468">
        <f t="shared" si="171"/>
        <v>-11017.367368187497</v>
      </c>
      <c r="AP179" s="468">
        <f t="shared" si="171"/>
        <v>-11017.367368187497</v>
      </c>
      <c r="AQ179" s="468">
        <f t="shared" si="171"/>
        <v>-11729.029014233121</v>
      </c>
      <c r="AR179" s="468">
        <f t="shared" si="171"/>
        <v>-11729.029014233121</v>
      </c>
      <c r="AS179" s="468">
        <f t="shared" si="171"/>
        <v>-11729.029014233121</v>
      </c>
      <c r="AT179" s="468">
        <f t="shared" si="171"/>
        <v>-11729.029014233121</v>
      </c>
      <c r="AU179" s="468">
        <f t="shared" si="171"/>
        <v>-11729.029014233121</v>
      </c>
      <c r="AV179" s="468">
        <f t="shared" si="171"/>
        <v>-11729.029014233121</v>
      </c>
      <c r="AW179" s="468">
        <f t="shared" si="171"/>
        <v>-11729.029014233121</v>
      </c>
      <c r="AX179" s="468">
        <f t="shared" si="171"/>
        <v>-11729.029014233121</v>
      </c>
      <c r="AY179" s="468">
        <f t="shared" si="171"/>
        <v>-11729.029014233121</v>
      </c>
      <c r="AZ179" s="468">
        <f t="shared" si="171"/>
        <v>-11729.029014233121</v>
      </c>
      <c r="BA179" s="468">
        <f t="shared" si="171"/>
        <v>-11729.029014233121</v>
      </c>
      <c r="BB179" s="468">
        <f t="shared" si="171"/>
        <v>-11729.029014233121</v>
      </c>
      <c r="BC179" s="468">
        <f t="shared" si="171"/>
        <v>-6507.8585072451388</v>
      </c>
      <c r="BD179" s="468">
        <f t="shared" si="171"/>
        <v>-6507.8585072451388</v>
      </c>
      <c r="BE179" s="468">
        <f t="shared" si="171"/>
        <v>-6507.8585072451388</v>
      </c>
      <c r="BF179" s="468">
        <f t="shared" si="171"/>
        <v>-6507.8585072451388</v>
      </c>
      <c r="BG179" s="468">
        <f t="shared" si="171"/>
        <v>-6507.8585072451388</v>
      </c>
      <c r="BH179" s="468">
        <f t="shared" si="171"/>
        <v>-6507.8585072451388</v>
      </c>
      <c r="BI179" s="468">
        <f t="shared" si="171"/>
        <v>-6507.8585072451388</v>
      </c>
      <c r="BJ179" s="468">
        <f t="shared" si="171"/>
        <v>-6507.8585072451388</v>
      </c>
      <c r="BK179" s="468">
        <f t="shared" si="171"/>
        <v>-6507.8585072451388</v>
      </c>
      <c r="BL179" s="468">
        <f t="shared" si="171"/>
        <v>-6507.8585072451388</v>
      </c>
      <c r="BM179" s="468">
        <f t="shared" si="171"/>
        <v>-6507.8585072451388</v>
      </c>
      <c r="BN179" s="468">
        <f t="shared" si="171"/>
        <v>-1287486.8650543864</v>
      </c>
      <c r="BO179" s="468">
        <f t="shared" si="171"/>
        <v>0</v>
      </c>
      <c r="BP179" s="468">
        <f t="shared" si="171"/>
        <v>0</v>
      </c>
      <c r="BQ179" s="468">
        <f t="shared" si="171"/>
        <v>0</v>
      </c>
      <c r="BR179" s="468">
        <f t="shared" ref="BR179:DV180" si="172">BR170</f>
        <v>0</v>
      </c>
      <c r="BS179" s="468">
        <f t="shared" si="172"/>
        <v>0</v>
      </c>
      <c r="BT179" s="468">
        <f t="shared" si="172"/>
        <v>0</v>
      </c>
      <c r="BU179" s="468">
        <f t="shared" si="172"/>
        <v>0</v>
      </c>
      <c r="BV179" s="468">
        <f t="shared" si="172"/>
        <v>0</v>
      </c>
      <c r="BW179" s="468">
        <f t="shared" si="172"/>
        <v>0</v>
      </c>
      <c r="BX179" s="468">
        <f t="shared" si="172"/>
        <v>0</v>
      </c>
      <c r="BY179" s="468">
        <f t="shared" si="172"/>
        <v>0</v>
      </c>
      <c r="BZ179" s="468">
        <f t="shared" si="172"/>
        <v>0</v>
      </c>
      <c r="CA179" s="468">
        <f t="shared" si="172"/>
        <v>0</v>
      </c>
      <c r="CB179" s="468">
        <f t="shared" si="172"/>
        <v>0</v>
      </c>
      <c r="CC179" s="468">
        <f t="shared" si="172"/>
        <v>0</v>
      </c>
      <c r="CD179" s="468">
        <f t="shared" si="172"/>
        <v>0</v>
      </c>
      <c r="CE179" s="468">
        <f t="shared" si="172"/>
        <v>0</v>
      </c>
      <c r="CF179" s="468">
        <f t="shared" si="172"/>
        <v>0</v>
      </c>
      <c r="CG179" s="468">
        <f t="shared" si="172"/>
        <v>0</v>
      </c>
      <c r="CH179" s="468">
        <f t="shared" si="172"/>
        <v>0</v>
      </c>
      <c r="CI179" s="468">
        <f t="shared" si="172"/>
        <v>0</v>
      </c>
      <c r="CJ179" s="468">
        <f t="shared" si="172"/>
        <v>0</v>
      </c>
      <c r="CK179" s="468">
        <f t="shared" si="172"/>
        <v>0</v>
      </c>
      <c r="CL179" s="468">
        <f t="shared" si="172"/>
        <v>0</v>
      </c>
      <c r="CM179" s="468">
        <f t="shared" si="172"/>
        <v>0</v>
      </c>
      <c r="CN179" s="468">
        <f t="shared" si="172"/>
        <v>0</v>
      </c>
      <c r="CO179" s="468">
        <f t="shared" si="172"/>
        <v>0</v>
      </c>
      <c r="CP179" s="468">
        <f t="shared" si="172"/>
        <v>0</v>
      </c>
      <c r="CQ179" s="468">
        <f t="shared" si="172"/>
        <v>0</v>
      </c>
      <c r="CR179" s="468">
        <f t="shared" si="172"/>
        <v>0</v>
      </c>
      <c r="CS179" s="468">
        <f t="shared" si="172"/>
        <v>0</v>
      </c>
      <c r="CT179" s="468">
        <f t="shared" si="172"/>
        <v>0</v>
      </c>
      <c r="CU179" s="468">
        <f t="shared" si="172"/>
        <v>0</v>
      </c>
      <c r="CV179" s="468">
        <f t="shared" si="172"/>
        <v>0</v>
      </c>
      <c r="CW179" s="468">
        <f t="shared" si="172"/>
        <v>0</v>
      </c>
      <c r="CX179" s="468">
        <f t="shared" si="172"/>
        <v>0</v>
      </c>
      <c r="CY179" s="468">
        <f t="shared" si="172"/>
        <v>0</v>
      </c>
      <c r="CZ179" s="468">
        <f t="shared" si="172"/>
        <v>0</v>
      </c>
      <c r="DA179" s="468">
        <f t="shared" si="172"/>
        <v>0</v>
      </c>
      <c r="DB179" s="468">
        <f t="shared" si="172"/>
        <v>0</v>
      </c>
      <c r="DC179" s="468">
        <f t="shared" si="172"/>
        <v>0</v>
      </c>
      <c r="DD179" s="468">
        <f t="shared" si="172"/>
        <v>0</v>
      </c>
      <c r="DE179" s="468">
        <f t="shared" si="172"/>
        <v>0</v>
      </c>
      <c r="DF179" s="468">
        <f t="shared" si="172"/>
        <v>0</v>
      </c>
      <c r="DG179" s="468">
        <f t="shared" si="172"/>
        <v>0</v>
      </c>
      <c r="DH179" s="468">
        <f t="shared" si="172"/>
        <v>0</v>
      </c>
      <c r="DI179" s="468">
        <f t="shared" si="172"/>
        <v>0</v>
      </c>
      <c r="DJ179" s="468">
        <f t="shared" si="172"/>
        <v>0</v>
      </c>
      <c r="DK179" s="468">
        <f t="shared" si="172"/>
        <v>0</v>
      </c>
      <c r="DL179" s="468">
        <f t="shared" si="172"/>
        <v>0</v>
      </c>
      <c r="DM179" s="468">
        <f t="shared" si="172"/>
        <v>0</v>
      </c>
      <c r="DN179" s="468">
        <f t="shared" si="172"/>
        <v>0</v>
      </c>
      <c r="DO179" s="468">
        <f t="shared" si="172"/>
        <v>0</v>
      </c>
      <c r="DP179" s="468">
        <f t="shared" si="172"/>
        <v>0</v>
      </c>
      <c r="DQ179" s="468">
        <f t="shared" si="172"/>
        <v>0</v>
      </c>
      <c r="DR179" s="468">
        <f t="shared" si="172"/>
        <v>0</v>
      </c>
      <c r="DS179" s="468">
        <f t="shared" si="172"/>
        <v>0</v>
      </c>
      <c r="DT179" s="468">
        <f t="shared" si="172"/>
        <v>0</v>
      </c>
      <c r="DU179" s="468">
        <f t="shared" si="172"/>
        <v>0</v>
      </c>
      <c r="DV179" s="468">
        <f t="shared" si="172"/>
        <v>0</v>
      </c>
      <c r="DW179" s="322" t="s">
        <v>372</v>
      </c>
    </row>
    <row r="180" spans="3:127" hidden="1" outlineLevel="1" x14ac:dyDescent="0.3">
      <c r="C180" s="476" t="str">
        <f>C171</f>
        <v>15.00% Accrual Distribution / 1.7x MOIC Distribution</v>
      </c>
      <c r="D180" s="478"/>
      <c r="E180" s="463"/>
      <c r="F180" s="468">
        <f t="shared" si="171"/>
        <v>0</v>
      </c>
      <c r="G180" s="468">
        <f t="shared" si="171"/>
        <v>0</v>
      </c>
      <c r="H180" s="468">
        <f t="shared" si="171"/>
        <v>0</v>
      </c>
      <c r="I180" s="468">
        <f t="shared" si="171"/>
        <v>0</v>
      </c>
      <c r="J180" s="468">
        <f t="shared" si="171"/>
        <v>0</v>
      </c>
      <c r="K180" s="468">
        <f t="shared" si="171"/>
        <v>0</v>
      </c>
      <c r="L180" s="468">
        <f t="shared" si="171"/>
        <v>0</v>
      </c>
      <c r="M180" s="468">
        <f t="shared" si="171"/>
        <v>0</v>
      </c>
      <c r="N180" s="468">
        <f t="shared" si="171"/>
        <v>0</v>
      </c>
      <c r="O180" s="468">
        <f t="shared" si="171"/>
        <v>0</v>
      </c>
      <c r="P180" s="468">
        <f t="shared" si="171"/>
        <v>0</v>
      </c>
      <c r="Q180" s="468">
        <f t="shared" si="171"/>
        <v>0</v>
      </c>
      <c r="R180" s="468">
        <f t="shared" si="171"/>
        <v>0</v>
      </c>
      <c r="S180" s="468">
        <f t="shared" si="171"/>
        <v>0</v>
      </c>
      <c r="T180" s="468">
        <f t="shared" si="171"/>
        <v>0</v>
      </c>
      <c r="U180" s="468">
        <f t="shared" si="171"/>
        <v>0</v>
      </c>
      <c r="V180" s="468">
        <f t="shared" si="171"/>
        <v>0</v>
      </c>
      <c r="W180" s="468">
        <f t="shared" si="171"/>
        <v>0</v>
      </c>
      <c r="X180" s="468">
        <f t="shared" si="171"/>
        <v>0</v>
      </c>
      <c r="Y180" s="468">
        <f t="shared" si="171"/>
        <v>0</v>
      </c>
      <c r="Z180" s="468">
        <f t="shared" si="171"/>
        <v>0</v>
      </c>
      <c r="AA180" s="468">
        <f t="shared" si="171"/>
        <v>0</v>
      </c>
      <c r="AB180" s="468">
        <f t="shared" si="171"/>
        <v>0</v>
      </c>
      <c r="AC180" s="468">
        <f t="shared" si="171"/>
        <v>0</v>
      </c>
      <c r="AD180" s="468">
        <f t="shared" si="171"/>
        <v>0</v>
      </c>
      <c r="AE180" s="468">
        <f t="shared" si="171"/>
        <v>0</v>
      </c>
      <c r="AF180" s="468">
        <f t="shared" si="171"/>
        <v>0</v>
      </c>
      <c r="AG180" s="468">
        <f t="shared" si="171"/>
        <v>0</v>
      </c>
      <c r="AH180" s="468">
        <f t="shared" si="171"/>
        <v>0</v>
      </c>
      <c r="AI180" s="468">
        <f t="shared" si="171"/>
        <v>0</v>
      </c>
      <c r="AJ180" s="468">
        <f t="shared" si="171"/>
        <v>0</v>
      </c>
      <c r="AK180" s="468">
        <f t="shared" si="171"/>
        <v>0</v>
      </c>
      <c r="AL180" s="468">
        <f t="shared" si="171"/>
        <v>0</v>
      </c>
      <c r="AM180" s="468">
        <f t="shared" si="171"/>
        <v>0</v>
      </c>
      <c r="AN180" s="468">
        <f t="shared" si="171"/>
        <v>0</v>
      </c>
      <c r="AO180" s="468">
        <f t="shared" si="171"/>
        <v>0</v>
      </c>
      <c r="AP180" s="468">
        <f t="shared" si="171"/>
        <v>0</v>
      </c>
      <c r="AQ180" s="468">
        <f t="shared" si="171"/>
        <v>0</v>
      </c>
      <c r="AR180" s="468">
        <f t="shared" si="171"/>
        <v>0</v>
      </c>
      <c r="AS180" s="468">
        <f t="shared" si="171"/>
        <v>0</v>
      </c>
      <c r="AT180" s="468">
        <f t="shared" si="171"/>
        <v>0</v>
      </c>
      <c r="AU180" s="468">
        <f t="shared" si="171"/>
        <v>0</v>
      </c>
      <c r="AV180" s="468">
        <f t="shared" si="171"/>
        <v>0</v>
      </c>
      <c r="AW180" s="468">
        <f t="shared" si="171"/>
        <v>0</v>
      </c>
      <c r="AX180" s="468">
        <f t="shared" si="171"/>
        <v>0</v>
      </c>
      <c r="AY180" s="468">
        <f t="shared" si="171"/>
        <v>0</v>
      </c>
      <c r="AZ180" s="468">
        <f t="shared" si="171"/>
        <v>0</v>
      </c>
      <c r="BA180" s="468">
        <f t="shared" si="171"/>
        <v>0</v>
      </c>
      <c r="BB180" s="468">
        <f t="shared" si="171"/>
        <v>0</v>
      </c>
      <c r="BC180" s="468">
        <f t="shared" si="171"/>
        <v>0</v>
      </c>
      <c r="BD180" s="468">
        <f t="shared" si="171"/>
        <v>0</v>
      </c>
      <c r="BE180" s="468">
        <f t="shared" si="171"/>
        <v>0</v>
      </c>
      <c r="BF180" s="468">
        <f t="shared" si="171"/>
        <v>0</v>
      </c>
      <c r="BG180" s="468">
        <f t="shared" si="171"/>
        <v>0</v>
      </c>
      <c r="BH180" s="468">
        <f t="shared" si="171"/>
        <v>0</v>
      </c>
      <c r="BI180" s="468">
        <f t="shared" si="171"/>
        <v>0</v>
      </c>
      <c r="BJ180" s="468">
        <f t="shared" si="171"/>
        <v>0</v>
      </c>
      <c r="BK180" s="468">
        <f t="shared" si="171"/>
        <v>0</v>
      </c>
      <c r="BL180" s="468">
        <f t="shared" si="171"/>
        <v>0</v>
      </c>
      <c r="BM180" s="468">
        <f t="shared" si="171"/>
        <v>0</v>
      </c>
      <c r="BN180" s="468">
        <f t="shared" si="171"/>
        <v>-598971.85878531402</v>
      </c>
      <c r="BO180" s="468">
        <f t="shared" si="171"/>
        <v>0</v>
      </c>
      <c r="BP180" s="468">
        <f t="shared" si="171"/>
        <v>0</v>
      </c>
      <c r="BQ180" s="468">
        <f t="shared" si="171"/>
        <v>0</v>
      </c>
      <c r="BR180" s="468">
        <f t="shared" si="172"/>
        <v>0</v>
      </c>
      <c r="BS180" s="468">
        <f t="shared" si="172"/>
        <v>0</v>
      </c>
      <c r="BT180" s="468">
        <f t="shared" si="172"/>
        <v>0</v>
      </c>
      <c r="BU180" s="468">
        <f t="shared" si="172"/>
        <v>0</v>
      </c>
      <c r="BV180" s="468">
        <f t="shared" si="172"/>
        <v>0</v>
      </c>
      <c r="BW180" s="468">
        <f t="shared" si="172"/>
        <v>0</v>
      </c>
      <c r="BX180" s="468">
        <f t="shared" si="172"/>
        <v>0</v>
      </c>
      <c r="BY180" s="468">
        <f t="shared" si="172"/>
        <v>0</v>
      </c>
      <c r="BZ180" s="468">
        <f t="shared" si="172"/>
        <v>0</v>
      </c>
      <c r="CA180" s="468">
        <f t="shared" si="172"/>
        <v>0</v>
      </c>
      <c r="CB180" s="468">
        <f t="shared" si="172"/>
        <v>0</v>
      </c>
      <c r="CC180" s="468">
        <f t="shared" si="172"/>
        <v>0</v>
      </c>
      <c r="CD180" s="468">
        <f t="shared" si="172"/>
        <v>0</v>
      </c>
      <c r="CE180" s="468">
        <f t="shared" si="172"/>
        <v>0</v>
      </c>
      <c r="CF180" s="468">
        <f t="shared" si="172"/>
        <v>0</v>
      </c>
      <c r="CG180" s="468">
        <f t="shared" si="172"/>
        <v>0</v>
      </c>
      <c r="CH180" s="468">
        <f t="shared" si="172"/>
        <v>0</v>
      </c>
      <c r="CI180" s="468">
        <f t="shared" si="172"/>
        <v>0</v>
      </c>
      <c r="CJ180" s="468">
        <f t="shared" si="172"/>
        <v>0</v>
      </c>
      <c r="CK180" s="468">
        <f t="shared" si="172"/>
        <v>0</v>
      </c>
      <c r="CL180" s="468">
        <f t="shared" si="172"/>
        <v>0</v>
      </c>
      <c r="CM180" s="468">
        <f t="shared" si="172"/>
        <v>0</v>
      </c>
      <c r="CN180" s="468">
        <f t="shared" si="172"/>
        <v>0</v>
      </c>
      <c r="CO180" s="468">
        <f t="shared" si="172"/>
        <v>0</v>
      </c>
      <c r="CP180" s="468">
        <f t="shared" si="172"/>
        <v>0</v>
      </c>
      <c r="CQ180" s="468">
        <f t="shared" si="172"/>
        <v>0</v>
      </c>
      <c r="CR180" s="468">
        <f t="shared" si="172"/>
        <v>0</v>
      </c>
      <c r="CS180" s="468">
        <f t="shared" si="172"/>
        <v>0</v>
      </c>
      <c r="CT180" s="468">
        <f t="shared" si="172"/>
        <v>0</v>
      </c>
      <c r="CU180" s="468">
        <f t="shared" si="172"/>
        <v>0</v>
      </c>
      <c r="CV180" s="468">
        <f t="shared" si="172"/>
        <v>0</v>
      </c>
      <c r="CW180" s="468">
        <f t="shared" si="172"/>
        <v>0</v>
      </c>
      <c r="CX180" s="468">
        <f t="shared" si="172"/>
        <v>0</v>
      </c>
      <c r="CY180" s="468">
        <f t="shared" si="172"/>
        <v>0</v>
      </c>
      <c r="CZ180" s="468">
        <f t="shared" si="172"/>
        <v>0</v>
      </c>
      <c r="DA180" s="468">
        <f t="shared" si="172"/>
        <v>0</v>
      </c>
      <c r="DB180" s="468">
        <f t="shared" si="172"/>
        <v>0</v>
      </c>
      <c r="DC180" s="468">
        <f t="shared" si="172"/>
        <v>0</v>
      </c>
      <c r="DD180" s="468">
        <f t="shared" si="172"/>
        <v>0</v>
      </c>
      <c r="DE180" s="468">
        <f t="shared" si="172"/>
        <v>0</v>
      </c>
      <c r="DF180" s="468">
        <f t="shared" si="172"/>
        <v>0</v>
      </c>
      <c r="DG180" s="468">
        <f t="shared" si="172"/>
        <v>0</v>
      </c>
      <c r="DH180" s="468">
        <f t="shared" si="172"/>
        <v>0</v>
      </c>
      <c r="DI180" s="468">
        <f t="shared" si="172"/>
        <v>0</v>
      </c>
      <c r="DJ180" s="468">
        <f t="shared" si="172"/>
        <v>0</v>
      </c>
      <c r="DK180" s="468">
        <f t="shared" si="172"/>
        <v>0</v>
      </c>
      <c r="DL180" s="468">
        <f t="shared" si="172"/>
        <v>0</v>
      </c>
      <c r="DM180" s="468">
        <f t="shared" si="172"/>
        <v>0</v>
      </c>
      <c r="DN180" s="468">
        <f t="shared" si="172"/>
        <v>0</v>
      </c>
      <c r="DO180" s="468">
        <f t="shared" si="172"/>
        <v>0</v>
      </c>
      <c r="DP180" s="468">
        <f t="shared" si="172"/>
        <v>0</v>
      </c>
      <c r="DQ180" s="468">
        <f t="shared" si="172"/>
        <v>0</v>
      </c>
      <c r="DR180" s="468">
        <f t="shared" si="172"/>
        <v>0</v>
      </c>
      <c r="DS180" s="468">
        <f t="shared" si="172"/>
        <v>0</v>
      </c>
      <c r="DT180" s="468">
        <f t="shared" si="172"/>
        <v>0</v>
      </c>
      <c r="DU180" s="468">
        <f t="shared" si="172"/>
        <v>0</v>
      </c>
      <c r="DV180" s="468">
        <f t="shared" si="172"/>
        <v>0</v>
      </c>
      <c r="DW180" s="322" t="s">
        <v>372</v>
      </c>
    </row>
    <row r="181" spans="3:127" hidden="1" outlineLevel="1" x14ac:dyDescent="0.3">
      <c r="C181" s="476" t="str">
        <f>TEXT(D178,"0.0x")&amp;" Accrual Distribution"</f>
        <v>2.0x Accrual Distribution</v>
      </c>
      <c r="D181" s="484"/>
      <c r="E181" s="463">
        <f>SUM(F181:AL181)</f>
        <v>0</v>
      </c>
      <c r="F181" s="468">
        <f>-MIN(SUM(F177:F180),-F193)</f>
        <v>0</v>
      </c>
      <c r="G181" s="468">
        <f t="shared" ref="G181:BR181" si="173">-MIN(SUM(G177:G180),-G193)</f>
        <v>0</v>
      </c>
      <c r="H181" s="468">
        <f t="shared" si="173"/>
        <v>0</v>
      </c>
      <c r="I181" s="468">
        <f t="shared" si="173"/>
        <v>0</v>
      </c>
      <c r="J181" s="468">
        <f t="shared" si="173"/>
        <v>0</v>
      </c>
      <c r="K181" s="468">
        <f t="shared" si="173"/>
        <v>0</v>
      </c>
      <c r="L181" s="468">
        <f t="shared" si="173"/>
        <v>0</v>
      </c>
      <c r="M181" s="468">
        <f t="shared" si="173"/>
        <v>0</v>
      </c>
      <c r="N181" s="468">
        <f t="shared" si="173"/>
        <v>0</v>
      </c>
      <c r="O181" s="468">
        <f t="shared" si="173"/>
        <v>0</v>
      </c>
      <c r="P181" s="468">
        <f t="shared" si="173"/>
        <v>0</v>
      </c>
      <c r="Q181" s="468">
        <f t="shared" si="173"/>
        <v>0</v>
      </c>
      <c r="R181" s="468">
        <f t="shared" si="173"/>
        <v>0</v>
      </c>
      <c r="S181" s="468">
        <f t="shared" si="173"/>
        <v>0</v>
      </c>
      <c r="T181" s="468">
        <f t="shared" si="173"/>
        <v>0</v>
      </c>
      <c r="U181" s="468">
        <f t="shared" si="173"/>
        <v>0</v>
      </c>
      <c r="V181" s="468">
        <f t="shared" si="173"/>
        <v>0</v>
      </c>
      <c r="W181" s="468">
        <f t="shared" si="173"/>
        <v>0</v>
      </c>
      <c r="X181" s="468">
        <f t="shared" si="173"/>
        <v>0</v>
      </c>
      <c r="Y181" s="468">
        <f t="shared" si="173"/>
        <v>0</v>
      </c>
      <c r="Z181" s="468">
        <f t="shared" si="173"/>
        <v>0</v>
      </c>
      <c r="AA181" s="468">
        <f t="shared" si="173"/>
        <v>0</v>
      </c>
      <c r="AB181" s="468">
        <f t="shared" si="173"/>
        <v>0</v>
      </c>
      <c r="AC181" s="468">
        <f t="shared" si="173"/>
        <v>0</v>
      </c>
      <c r="AD181" s="468">
        <f t="shared" si="173"/>
        <v>0</v>
      </c>
      <c r="AE181" s="468">
        <f t="shared" si="173"/>
        <v>0</v>
      </c>
      <c r="AF181" s="468">
        <f t="shared" si="173"/>
        <v>0</v>
      </c>
      <c r="AG181" s="468">
        <f t="shared" si="173"/>
        <v>0</v>
      </c>
      <c r="AH181" s="468">
        <f t="shared" si="173"/>
        <v>0</v>
      </c>
      <c r="AI181" s="468">
        <f t="shared" si="173"/>
        <v>0</v>
      </c>
      <c r="AJ181" s="468">
        <f t="shared" si="173"/>
        <v>0</v>
      </c>
      <c r="AK181" s="468">
        <f t="shared" si="173"/>
        <v>0</v>
      </c>
      <c r="AL181" s="468">
        <f t="shared" si="173"/>
        <v>0</v>
      </c>
      <c r="AM181" s="468">
        <f t="shared" si="173"/>
        <v>0</v>
      </c>
      <c r="AN181" s="468">
        <f t="shared" si="173"/>
        <v>0</v>
      </c>
      <c r="AO181" s="468">
        <f t="shared" si="173"/>
        <v>0</v>
      </c>
      <c r="AP181" s="468">
        <f t="shared" si="173"/>
        <v>0</v>
      </c>
      <c r="AQ181" s="468">
        <f t="shared" si="173"/>
        <v>0</v>
      </c>
      <c r="AR181" s="468">
        <f t="shared" si="173"/>
        <v>0</v>
      </c>
      <c r="AS181" s="468">
        <f t="shared" si="173"/>
        <v>0</v>
      </c>
      <c r="AT181" s="468">
        <f t="shared" si="173"/>
        <v>0</v>
      </c>
      <c r="AU181" s="468">
        <f t="shared" si="173"/>
        <v>0</v>
      </c>
      <c r="AV181" s="468">
        <f t="shared" si="173"/>
        <v>0</v>
      </c>
      <c r="AW181" s="468">
        <f t="shared" si="173"/>
        <v>0</v>
      </c>
      <c r="AX181" s="468">
        <f t="shared" si="173"/>
        <v>0</v>
      </c>
      <c r="AY181" s="468">
        <f t="shared" si="173"/>
        <v>0</v>
      </c>
      <c r="AZ181" s="468">
        <f t="shared" si="173"/>
        <v>0</v>
      </c>
      <c r="BA181" s="468">
        <f t="shared" si="173"/>
        <v>0</v>
      </c>
      <c r="BB181" s="468">
        <f t="shared" si="173"/>
        <v>0</v>
      </c>
      <c r="BC181" s="468">
        <f t="shared" si="173"/>
        <v>0</v>
      </c>
      <c r="BD181" s="468">
        <f t="shared" si="173"/>
        <v>0</v>
      </c>
      <c r="BE181" s="468">
        <f t="shared" si="173"/>
        <v>0</v>
      </c>
      <c r="BF181" s="468">
        <f t="shared" si="173"/>
        <v>0</v>
      </c>
      <c r="BG181" s="468">
        <f t="shared" si="173"/>
        <v>0</v>
      </c>
      <c r="BH181" s="468">
        <f t="shared" si="173"/>
        <v>0</v>
      </c>
      <c r="BI181" s="468">
        <f t="shared" si="173"/>
        <v>0</v>
      </c>
      <c r="BJ181" s="468">
        <f t="shared" si="173"/>
        <v>0</v>
      </c>
      <c r="BK181" s="468">
        <f t="shared" si="173"/>
        <v>0</v>
      </c>
      <c r="BL181" s="468">
        <f t="shared" si="173"/>
        <v>0</v>
      </c>
      <c r="BM181" s="468">
        <f t="shared" si="173"/>
        <v>0</v>
      </c>
      <c r="BN181" s="468">
        <f t="shared" si="173"/>
        <v>794624.61892019084</v>
      </c>
      <c r="BO181" s="468">
        <f t="shared" si="173"/>
        <v>0</v>
      </c>
      <c r="BP181" s="468">
        <f t="shared" si="173"/>
        <v>0</v>
      </c>
      <c r="BQ181" s="468">
        <f t="shared" si="173"/>
        <v>0</v>
      </c>
      <c r="BR181" s="468">
        <f t="shared" si="173"/>
        <v>0</v>
      </c>
      <c r="BS181" s="468">
        <f t="shared" ref="BS181:DV181" si="174">-MIN(SUM(BS177:BS180),-BS193)</f>
        <v>0</v>
      </c>
      <c r="BT181" s="468">
        <f t="shared" si="174"/>
        <v>0</v>
      </c>
      <c r="BU181" s="468">
        <f t="shared" si="174"/>
        <v>0</v>
      </c>
      <c r="BV181" s="468">
        <f t="shared" si="174"/>
        <v>0</v>
      </c>
      <c r="BW181" s="468">
        <f t="shared" si="174"/>
        <v>0</v>
      </c>
      <c r="BX181" s="468">
        <f t="shared" si="174"/>
        <v>0</v>
      </c>
      <c r="BY181" s="468">
        <f t="shared" si="174"/>
        <v>0</v>
      </c>
      <c r="BZ181" s="468">
        <f t="shared" si="174"/>
        <v>0</v>
      </c>
      <c r="CA181" s="468">
        <f t="shared" si="174"/>
        <v>0</v>
      </c>
      <c r="CB181" s="468">
        <f t="shared" si="174"/>
        <v>0</v>
      </c>
      <c r="CC181" s="468">
        <f t="shared" si="174"/>
        <v>0</v>
      </c>
      <c r="CD181" s="468">
        <f t="shared" si="174"/>
        <v>0</v>
      </c>
      <c r="CE181" s="468">
        <f t="shared" si="174"/>
        <v>0</v>
      </c>
      <c r="CF181" s="468">
        <f t="shared" si="174"/>
        <v>0</v>
      </c>
      <c r="CG181" s="468">
        <f t="shared" si="174"/>
        <v>0</v>
      </c>
      <c r="CH181" s="468">
        <f t="shared" si="174"/>
        <v>0</v>
      </c>
      <c r="CI181" s="468">
        <f t="shared" si="174"/>
        <v>0</v>
      </c>
      <c r="CJ181" s="468">
        <f t="shared" si="174"/>
        <v>0</v>
      </c>
      <c r="CK181" s="468">
        <f t="shared" si="174"/>
        <v>0</v>
      </c>
      <c r="CL181" s="468">
        <f t="shared" si="174"/>
        <v>0</v>
      </c>
      <c r="CM181" s="468">
        <f t="shared" si="174"/>
        <v>0</v>
      </c>
      <c r="CN181" s="468">
        <f t="shared" si="174"/>
        <v>0</v>
      </c>
      <c r="CO181" s="468">
        <f t="shared" si="174"/>
        <v>0</v>
      </c>
      <c r="CP181" s="468">
        <f t="shared" si="174"/>
        <v>0</v>
      </c>
      <c r="CQ181" s="468">
        <f t="shared" si="174"/>
        <v>0</v>
      </c>
      <c r="CR181" s="468">
        <f t="shared" si="174"/>
        <v>0</v>
      </c>
      <c r="CS181" s="468">
        <f t="shared" si="174"/>
        <v>0</v>
      </c>
      <c r="CT181" s="468">
        <f t="shared" si="174"/>
        <v>0</v>
      </c>
      <c r="CU181" s="468">
        <f t="shared" si="174"/>
        <v>0</v>
      </c>
      <c r="CV181" s="468">
        <f t="shared" si="174"/>
        <v>0</v>
      </c>
      <c r="CW181" s="468">
        <f t="shared" si="174"/>
        <v>0</v>
      </c>
      <c r="CX181" s="468">
        <f t="shared" si="174"/>
        <v>0</v>
      </c>
      <c r="CY181" s="468">
        <f t="shared" si="174"/>
        <v>0</v>
      </c>
      <c r="CZ181" s="468">
        <f t="shared" si="174"/>
        <v>0</v>
      </c>
      <c r="DA181" s="468">
        <f t="shared" si="174"/>
        <v>0</v>
      </c>
      <c r="DB181" s="468">
        <f t="shared" si="174"/>
        <v>0</v>
      </c>
      <c r="DC181" s="468">
        <f t="shared" si="174"/>
        <v>0</v>
      </c>
      <c r="DD181" s="468">
        <f t="shared" si="174"/>
        <v>0</v>
      </c>
      <c r="DE181" s="468">
        <f t="shared" si="174"/>
        <v>0</v>
      </c>
      <c r="DF181" s="468">
        <f t="shared" si="174"/>
        <v>0</v>
      </c>
      <c r="DG181" s="468">
        <f t="shared" si="174"/>
        <v>0</v>
      </c>
      <c r="DH181" s="468">
        <f t="shared" si="174"/>
        <v>0</v>
      </c>
      <c r="DI181" s="468">
        <f t="shared" si="174"/>
        <v>0</v>
      </c>
      <c r="DJ181" s="468">
        <f t="shared" si="174"/>
        <v>0</v>
      </c>
      <c r="DK181" s="468">
        <f t="shared" si="174"/>
        <v>0</v>
      </c>
      <c r="DL181" s="468">
        <f t="shared" si="174"/>
        <v>0</v>
      </c>
      <c r="DM181" s="468">
        <f t="shared" si="174"/>
        <v>0</v>
      </c>
      <c r="DN181" s="468">
        <f t="shared" si="174"/>
        <v>0</v>
      </c>
      <c r="DO181" s="468">
        <f t="shared" si="174"/>
        <v>0</v>
      </c>
      <c r="DP181" s="468">
        <f t="shared" si="174"/>
        <v>0</v>
      </c>
      <c r="DQ181" s="468">
        <f t="shared" si="174"/>
        <v>0</v>
      </c>
      <c r="DR181" s="468">
        <f t="shared" si="174"/>
        <v>0</v>
      </c>
      <c r="DS181" s="468">
        <f t="shared" si="174"/>
        <v>0</v>
      </c>
      <c r="DT181" s="468">
        <f t="shared" si="174"/>
        <v>0</v>
      </c>
      <c r="DU181" s="468">
        <f t="shared" si="174"/>
        <v>0</v>
      </c>
      <c r="DV181" s="468">
        <f t="shared" si="174"/>
        <v>0</v>
      </c>
      <c r="DW181" s="322" t="s">
        <v>372</v>
      </c>
    </row>
    <row r="182" spans="3:127" ht="17.25" hidden="1" outlineLevel="1" thickBot="1" x14ac:dyDescent="0.35">
      <c r="C182" s="365" t="s">
        <v>352</v>
      </c>
      <c r="D182" s="470"/>
      <c r="E182" s="414">
        <f>SUM(E178:E181)</f>
        <v>2406576.3637795001</v>
      </c>
      <c r="F182" s="414">
        <f t="shared" ref="F182:BQ182" si="175">SUM(F177:F181)</f>
        <v>2734500</v>
      </c>
      <c r="G182" s="414">
        <f t="shared" si="175"/>
        <v>2724844.3756249999</v>
      </c>
      <c r="H182" s="414">
        <f t="shared" si="175"/>
        <v>2715188.7512499997</v>
      </c>
      <c r="I182" s="414">
        <f t="shared" si="175"/>
        <v>2705533.1268749996</v>
      </c>
      <c r="J182" s="414">
        <f t="shared" si="175"/>
        <v>2695877.5024999995</v>
      </c>
      <c r="K182" s="414">
        <f t="shared" si="175"/>
        <v>2686221.8781249993</v>
      </c>
      <c r="L182" s="414">
        <f t="shared" si="175"/>
        <v>2676566.2537499992</v>
      </c>
      <c r="M182" s="414">
        <f t="shared" si="175"/>
        <v>2666910.6293749991</v>
      </c>
      <c r="N182" s="414">
        <f t="shared" si="175"/>
        <v>2657255.004999999</v>
      </c>
      <c r="O182" s="414">
        <f t="shared" si="175"/>
        <v>2647599.3806249988</v>
      </c>
      <c r="P182" s="414">
        <f t="shared" si="175"/>
        <v>2637943.7562499987</v>
      </c>
      <c r="Q182" s="414">
        <f t="shared" si="175"/>
        <v>2628288.1318749986</v>
      </c>
      <c r="R182" s="414">
        <f t="shared" si="175"/>
        <v>2618632.5074999984</v>
      </c>
      <c r="S182" s="414">
        <f t="shared" si="175"/>
        <v>2608306.0737687484</v>
      </c>
      <c r="T182" s="414">
        <f t="shared" si="175"/>
        <v>2597979.6400374984</v>
      </c>
      <c r="U182" s="414">
        <f t="shared" si="175"/>
        <v>2587653.2063062484</v>
      </c>
      <c r="V182" s="414">
        <f t="shared" si="175"/>
        <v>2577326.7725749984</v>
      </c>
      <c r="W182" s="414">
        <f t="shared" si="175"/>
        <v>2567000.3388437484</v>
      </c>
      <c r="X182" s="414">
        <f t="shared" si="175"/>
        <v>2556673.9051124984</v>
      </c>
      <c r="Y182" s="414">
        <f t="shared" si="175"/>
        <v>2546347.4713812484</v>
      </c>
      <c r="Z182" s="414">
        <f t="shared" si="175"/>
        <v>2536021.0376499984</v>
      </c>
      <c r="AA182" s="414">
        <f t="shared" si="175"/>
        <v>2525694.6039187484</v>
      </c>
      <c r="AB182" s="414">
        <f t="shared" si="175"/>
        <v>2515368.1701874984</v>
      </c>
      <c r="AC182" s="414">
        <f t="shared" si="175"/>
        <v>2505041.7364562484</v>
      </c>
      <c r="AD182" s="414">
        <f t="shared" si="175"/>
        <v>2494715.3027249984</v>
      </c>
      <c r="AE182" s="414">
        <f t="shared" si="175"/>
        <v>2483697.9353568112</v>
      </c>
      <c r="AF182" s="414">
        <f t="shared" si="175"/>
        <v>2472680.5679886239</v>
      </c>
      <c r="AG182" s="414">
        <f t="shared" si="175"/>
        <v>2461663.2006204366</v>
      </c>
      <c r="AH182" s="414">
        <f t="shared" si="175"/>
        <v>2450645.8332522493</v>
      </c>
      <c r="AI182" s="414">
        <f t="shared" si="175"/>
        <v>2439628.465884062</v>
      </c>
      <c r="AJ182" s="414">
        <f t="shared" si="175"/>
        <v>2428611.0985158747</v>
      </c>
      <c r="AK182" s="414">
        <f t="shared" si="175"/>
        <v>2417593.7311476874</v>
      </c>
      <c r="AL182" s="414">
        <f t="shared" si="175"/>
        <v>2406576.3637795001</v>
      </c>
      <c r="AM182" s="414">
        <f t="shared" si="175"/>
        <v>2395558.9964113128</v>
      </c>
      <c r="AN182" s="414">
        <f t="shared" si="175"/>
        <v>2384541.6290431255</v>
      </c>
      <c r="AO182" s="414">
        <f t="shared" si="175"/>
        <v>2373524.2616749383</v>
      </c>
      <c r="AP182" s="414">
        <f t="shared" si="175"/>
        <v>2362506.894306751</v>
      </c>
      <c r="AQ182" s="414">
        <f t="shared" si="175"/>
        <v>2350777.8652925179</v>
      </c>
      <c r="AR182" s="414">
        <f t="shared" si="175"/>
        <v>2339048.8362782849</v>
      </c>
      <c r="AS182" s="414">
        <f t="shared" si="175"/>
        <v>2327319.8072640519</v>
      </c>
      <c r="AT182" s="414">
        <f t="shared" si="175"/>
        <v>2315590.7782498188</v>
      </c>
      <c r="AU182" s="414">
        <f t="shared" si="175"/>
        <v>2303861.7492355858</v>
      </c>
      <c r="AV182" s="414">
        <f t="shared" si="175"/>
        <v>2292132.7202213528</v>
      </c>
      <c r="AW182" s="414">
        <f t="shared" si="175"/>
        <v>2280403.6912071197</v>
      </c>
      <c r="AX182" s="414">
        <f t="shared" si="175"/>
        <v>2268674.6621928867</v>
      </c>
      <c r="AY182" s="414">
        <f t="shared" si="175"/>
        <v>2256945.6331786537</v>
      </c>
      <c r="AZ182" s="414">
        <f t="shared" si="175"/>
        <v>2245216.6041644206</v>
      </c>
      <c r="BA182" s="414">
        <f t="shared" si="175"/>
        <v>2233487.5751501876</v>
      </c>
      <c r="BB182" s="414">
        <f t="shared" si="175"/>
        <v>2221758.5461359546</v>
      </c>
      <c r="BC182" s="414">
        <f t="shared" si="175"/>
        <v>2215250.6876287092</v>
      </c>
      <c r="BD182" s="414">
        <f t="shared" si="175"/>
        <v>2208742.8291214639</v>
      </c>
      <c r="BE182" s="414">
        <f t="shared" si="175"/>
        <v>2202234.9706142186</v>
      </c>
      <c r="BF182" s="414">
        <f t="shared" si="175"/>
        <v>2195727.1121069733</v>
      </c>
      <c r="BG182" s="414">
        <f t="shared" si="175"/>
        <v>2189219.253599728</v>
      </c>
      <c r="BH182" s="414">
        <f t="shared" si="175"/>
        <v>2182711.3950924827</v>
      </c>
      <c r="BI182" s="414">
        <f t="shared" si="175"/>
        <v>2176203.5365852374</v>
      </c>
      <c r="BJ182" s="414">
        <f t="shared" si="175"/>
        <v>2169695.6780779921</v>
      </c>
      <c r="BK182" s="414">
        <f t="shared" si="175"/>
        <v>2163187.8195707467</v>
      </c>
      <c r="BL182" s="414">
        <f t="shared" si="175"/>
        <v>2156679.9610635014</v>
      </c>
      <c r="BM182" s="414">
        <f t="shared" si="175"/>
        <v>2150172.1025562561</v>
      </c>
      <c r="BN182" s="414">
        <f t="shared" si="175"/>
        <v>1058337.9976367466</v>
      </c>
      <c r="BO182" s="414">
        <f t="shared" si="175"/>
        <v>1058337.9976367466</v>
      </c>
      <c r="BP182" s="414">
        <f t="shared" si="175"/>
        <v>1058337.9976367466</v>
      </c>
      <c r="BQ182" s="414">
        <f t="shared" si="175"/>
        <v>1058337.9976367466</v>
      </c>
      <c r="BR182" s="414">
        <f t="shared" ref="BR182:DV182" si="176">SUM(BR177:BR181)</f>
        <v>1058337.9976367466</v>
      </c>
      <c r="BS182" s="414">
        <f t="shared" si="176"/>
        <v>1058337.9976367466</v>
      </c>
      <c r="BT182" s="414">
        <f t="shared" si="176"/>
        <v>1058337.9976367466</v>
      </c>
      <c r="BU182" s="414">
        <f t="shared" si="176"/>
        <v>1058337.9976367466</v>
      </c>
      <c r="BV182" s="414">
        <f t="shared" si="176"/>
        <v>1058337.9976367466</v>
      </c>
      <c r="BW182" s="414">
        <f t="shared" si="176"/>
        <v>1058337.9976367466</v>
      </c>
      <c r="BX182" s="414">
        <f t="shared" si="176"/>
        <v>1058337.9976367466</v>
      </c>
      <c r="BY182" s="414">
        <f t="shared" si="176"/>
        <v>1058337.9976367466</v>
      </c>
      <c r="BZ182" s="414">
        <f t="shared" si="176"/>
        <v>1058337.9976367466</v>
      </c>
      <c r="CA182" s="414">
        <f t="shared" si="176"/>
        <v>1058337.9976367466</v>
      </c>
      <c r="CB182" s="414">
        <f t="shared" si="176"/>
        <v>1058337.9976367466</v>
      </c>
      <c r="CC182" s="414">
        <f t="shared" si="176"/>
        <v>1058337.9976367466</v>
      </c>
      <c r="CD182" s="414">
        <f t="shared" si="176"/>
        <v>1058337.9976367466</v>
      </c>
      <c r="CE182" s="414">
        <f t="shared" si="176"/>
        <v>1058337.9976367466</v>
      </c>
      <c r="CF182" s="414">
        <f t="shared" si="176"/>
        <v>1058337.9976367466</v>
      </c>
      <c r="CG182" s="414">
        <f t="shared" si="176"/>
        <v>1058337.9976367466</v>
      </c>
      <c r="CH182" s="414">
        <f t="shared" si="176"/>
        <v>1058337.9976367466</v>
      </c>
      <c r="CI182" s="414">
        <f t="shared" si="176"/>
        <v>1058337.9976367466</v>
      </c>
      <c r="CJ182" s="414">
        <f t="shared" si="176"/>
        <v>1058337.9976367466</v>
      </c>
      <c r="CK182" s="414">
        <f t="shared" si="176"/>
        <v>1058337.9976367466</v>
      </c>
      <c r="CL182" s="414">
        <f t="shared" si="176"/>
        <v>1058337.9976367466</v>
      </c>
      <c r="CM182" s="414">
        <f t="shared" si="176"/>
        <v>1058337.9976367466</v>
      </c>
      <c r="CN182" s="414">
        <f t="shared" si="176"/>
        <v>1058337.9976367466</v>
      </c>
      <c r="CO182" s="414">
        <f t="shared" si="176"/>
        <v>1058337.9976367466</v>
      </c>
      <c r="CP182" s="414">
        <f t="shared" si="176"/>
        <v>1058337.9976367466</v>
      </c>
      <c r="CQ182" s="414">
        <f t="shared" si="176"/>
        <v>1058337.9976367466</v>
      </c>
      <c r="CR182" s="414">
        <f t="shared" si="176"/>
        <v>1058337.9976367466</v>
      </c>
      <c r="CS182" s="414">
        <f t="shared" si="176"/>
        <v>1058337.9976367466</v>
      </c>
      <c r="CT182" s="414">
        <f t="shared" si="176"/>
        <v>1058337.9976367466</v>
      </c>
      <c r="CU182" s="414">
        <f t="shared" si="176"/>
        <v>1058337.9976367466</v>
      </c>
      <c r="CV182" s="414">
        <f t="shared" si="176"/>
        <v>1058337.9976367466</v>
      </c>
      <c r="CW182" s="414">
        <f t="shared" si="176"/>
        <v>1058337.9976367466</v>
      </c>
      <c r="CX182" s="414">
        <f t="shared" si="176"/>
        <v>1058337.9976367466</v>
      </c>
      <c r="CY182" s="414">
        <f t="shared" si="176"/>
        <v>1058337.9976367466</v>
      </c>
      <c r="CZ182" s="414">
        <f t="shared" si="176"/>
        <v>1058337.9976367466</v>
      </c>
      <c r="DA182" s="414">
        <f t="shared" si="176"/>
        <v>1058337.9976367466</v>
      </c>
      <c r="DB182" s="414">
        <f t="shared" si="176"/>
        <v>1058337.9976367466</v>
      </c>
      <c r="DC182" s="414">
        <f t="shared" si="176"/>
        <v>1058337.9976367466</v>
      </c>
      <c r="DD182" s="414">
        <f t="shared" si="176"/>
        <v>1058337.9976367466</v>
      </c>
      <c r="DE182" s="414">
        <f t="shared" si="176"/>
        <v>1058337.9976367466</v>
      </c>
      <c r="DF182" s="414">
        <f t="shared" si="176"/>
        <v>1058337.9976367466</v>
      </c>
      <c r="DG182" s="414">
        <f t="shared" si="176"/>
        <v>1058337.9976367466</v>
      </c>
      <c r="DH182" s="414">
        <f t="shared" si="176"/>
        <v>1058337.9976367466</v>
      </c>
      <c r="DI182" s="414">
        <f t="shared" si="176"/>
        <v>1058337.9976367466</v>
      </c>
      <c r="DJ182" s="414">
        <f t="shared" si="176"/>
        <v>1058337.9976367466</v>
      </c>
      <c r="DK182" s="414">
        <f t="shared" si="176"/>
        <v>1058337.9976367466</v>
      </c>
      <c r="DL182" s="414">
        <f t="shared" si="176"/>
        <v>1058337.9976367466</v>
      </c>
      <c r="DM182" s="414">
        <f t="shared" si="176"/>
        <v>1058337.9976367466</v>
      </c>
      <c r="DN182" s="414">
        <f t="shared" si="176"/>
        <v>1058337.9976367466</v>
      </c>
      <c r="DO182" s="414">
        <f t="shared" si="176"/>
        <v>1058337.9976367466</v>
      </c>
      <c r="DP182" s="414">
        <f t="shared" si="176"/>
        <v>1058337.9976367466</v>
      </c>
      <c r="DQ182" s="414">
        <f t="shared" si="176"/>
        <v>1058337.9976367466</v>
      </c>
      <c r="DR182" s="414">
        <f t="shared" si="176"/>
        <v>1058337.9976367466</v>
      </c>
      <c r="DS182" s="414">
        <f t="shared" si="176"/>
        <v>1058337.9976367466</v>
      </c>
      <c r="DT182" s="414">
        <f t="shared" si="176"/>
        <v>1058337.9976367466</v>
      </c>
      <c r="DU182" s="414">
        <f t="shared" si="176"/>
        <v>1058337.9976367466</v>
      </c>
      <c r="DV182" s="414">
        <f t="shared" si="176"/>
        <v>1058337.9976367466</v>
      </c>
      <c r="DW182" s="322" t="s">
        <v>372</v>
      </c>
    </row>
    <row r="183" spans="3:127" ht="17.25" hidden="1" outlineLevel="1" thickTop="1" x14ac:dyDescent="0.3">
      <c r="C183" s="365"/>
      <c r="D183" s="470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08"/>
      <c r="P183" s="408"/>
      <c r="Q183" s="408"/>
      <c r="R183" s="408"/>
      <c r="S183" s="408"/>
      <c r="T183" s="408"/>
      <c r="U183" s="408"/>
      <c r="V183" s="408"/>
      <c r="W183" s="408"/>
      <c r="X183" s="408"/>
      <c r="Y183" s="408"/>
      <c r="Z183" s="408"/>
      <c r="AA183" s="408"/>
      <c r="AB183" s="408"/>
      <c r="AC183" s="408"/>
      <c r="AD183" s="408"/>
      <c r="AE183" s="408"/>
      <c r="AF183" s="408"/>
      <c r="AG183" s="408"/>
      <c r="AH183" s="408"/>
      <c r="AI183" s="408"/>
      <c r="AJ183" s="408"/>
      <c r="AK183" s="408"/>
      <c r="AL183" s="408"/>
      <c r="AM183" s="374"/>
      <c r="AN183" s="374"/>
      <c r="AO183" s="374"/>
      <c r="AP183" s="472"/>
      <c r="AQ183" s="472"/>
      <c r="AR183" s="472"/>
      <c r="AS183" s="472"/>
      <c r="AT183" s="472"/>
      <c r="AU183" s="472"/>
      <c r="AV183" s="473"/>
      <c r="AW183" s="360"/>
      <c r="AX183" s="360"/>
      <c r="AY183" s="360"/>
      <c r="AZ183" s="360"/>
      <c r="BA183" s="360"/>
      <c r="BB183" s="360"/>
      <c r="BC183" s="360"/>
      <c r="BD183" s="360"/>
      <c r="BE183" s="360"/>
      <c r="BF183" s="360"/>
      <c r="BG183" s="360"/>
      <c r="BH183" s="360"/>
      <c r="BI183" s="360"/>
      <c r="BJ183" s="360"/>
      <c r="BK183" s="360"/>
      <c r="BL183" s="360"/>
      <c r="BM183" s="360"/>
      <c r="BN183" s="360"/>
      <c r="BO183" s="360"/>
      <c r="BP183" s="360"/>
      <c r="BQ183" s="360"/>
      <c r="BR183" s="360"/>
      <c r="BS183" s="360"/>
      <c r="BT183" s="360"/>
      <c r="BU183" s="360"/>
      <c r="BV183" s="360"/>
      <c r="BW183" s="360"/>
      <c r="BX183" s="360"/>
      <c r="BY183" s="360"/>
      <c r="BZ183" s="360"/>
      <c r="CA183" s="360"/>
      <c r="CB183" s="360"/>
      <c r="CC183" s="360"/>
      <c r="CD183" s="360"/>
      <c r="CE183" s="360"/>
      <c r="CF183" s="360"/>
      <c r="CG183" s="360"/>
      <c r="CH183" s="360"/>
      <c r="CI183" s="360"/>
      <c r="CJ183" s="360"/>
      <c r="CK183" s="360"/>
      <c r="CL183" s="360"/>
      <c r="CM183" s="360"/>
      <c r="CN183" s="360"/>
      <c r="CO183" s="360"/>
      <c r="CP183" s="360"/>
      <c r="CQ183" s="360"/>
      <c r="CR183" s="360"/>
      <c r="CS183" s="360"/>
      <c r="CT183" s="360"/>
      <c r="CU183" s="360"/>
      <c r="CV183" s="360"/>
      <c r="CW183" s="360"/>
      <c r="CX183" s="360"/>
      <c r="CY183" s="360"/>
      <c r="CZ183" s="360"/>
      <c r="DA183" s="360"/>
      <c r="DB183" s="360"/>
      <c r="DC183" s="360"/>
      <c r="DD183" s="360"/>
      <c r="DE183" s="360"/>
      <c r="DF183" s="360"/>
      <c r="DG183" s="360"/>
      <c r="DH183" s="360"/>
      <c r="DI183" s="360"/>
      <c r="DJ183" s="360"/>
      <c r="DK183" s="360"/>
      <c r="DL183" s="360"/>
      <c r="DM183" s="360"/>
      <c r="DN183" s="360"/>
      <c r="DO183" s="360"/>
      <c r="DP183" s="360"/>
      <c r="DQ183" s="360"/>
      <c r="DR183" s="360"/>
      <c r="DS183" s="360"/>
      <c r="DT183" s="360"/>
      <c r="DU183" s="360"/>
      <c r="DV183" s="360"/>
      <c r="DW183" s="322" t="s">
        <v>372</v>
      </c>
    </row>
    <row r="184" spans="3:127" hidden="1" outlineLevel="1" x14ac:dyDescent="0.3">
      <c r="C184" s="479" t="s">
        <v>404</v>
      </c>
      <c r="D184" s="480"/>
      <c r="E184" s="481"/>
      <c r="F184" s="481"/>
      <c r="G184" s="481"/>
      <c r="H184" s="481"/>
      <c r="I184" s="481"/>
      <c r="J184" s="481"/>
      <c r="K184" s="481"/>
      <c r="L184" s="481"/>
      <c r="M184" s="481"/>
      <c r="N184" s="481"/>
      <c r="O184" s="481"/>
      <c r="P184" s="481"/>
      <c r="Q184" s="481"/>
      <c r="R184" s="481"/>
      <c r="S184" s="481"/>
      <c r="T184" s="481"/>
      <c r="U184" s="481"/>
      <c r="V184" s="481"/>
      <c r="W184" s="481"/>
      <c r="X184" s="481"/>
      <c r="Y184" s="481"/>
      <c r="Z184" s="481"/>
      <c r="AA184" s="481"/>
      <c r="AB184" s="481"/>
      <c r="AC184" s="481"/>
      <c r="AD184" s="481"/>
      <c r="AE184" s="481"/>
      <c r="AF184" s="481"/>
      <c r="AG184" s="481"/>
      <c r="AH184" s="481"/>
      <c r="AI184" s="481"/>
      <c r="AJ184" s="481"/>
      <c r="AK184" s="481"/>
      <c r="AL184" s="481"/>
      <c r="AM184" s="481"/>
      <c r="AN184" s="481"/>
      <c r="AO184" s="481"/>
      <c r="AP184" s="481"/>
      <c r="AQ184" s="481"/>
      <c r="AR184" s="481"/>
      <c r="AS184" s="481"/>
      <c r="AT184" s="481"/>
      <c r="AU184" s="481"/>
      <c r="AV184" s="481"/>
      <c r="AW184" s="481"/>
      <c r="AX184" s="481"/>
      <c r="AY184" s="481"/>
      <c r="AZ184" s="481"/>
      <c r="BA184" s="481"/>
      <c r="BB184" s="481"/>
      <c r="BC184" s="481"/>
      <c r="BD184" s="481"/>
      <c r="BE184" s="481"/>
      <c r="BF184" s="481"/>
      <c r="BG184" s="481"/>
      <c r="BH184" s="481"/>
      <c r="BI184" s="481"/>
      <c r="BJ184" s="481"/>
      <c r="BK184" s="481"/>
      <c r="BL184" s="481"/>
      <c r="BM184" s="481"/>
      <c r="BN184" s="481"/>
      <c r="BO184" s="481"/>
      <c r="BP184" s="481"/>
      <c r="BQ184" s="481"/>
      <c r="BR184" s="481"/>
      <c r="BS184" s="481"/>
      <c r="BT184" s="481"/>
      <c r="BU184" s="481"/>
      <c r="BV184" s="481"/>
      <c r="BW184" s="481"/>
      <c r="BX184" s="481"/>
      <c r="BY184" s="481"/>
      <c r="BZ184" s="481"/>
      <c r="CA184" s="481"/>
      <c r="CB184" s="481"/>
      <c r="CC184" s="481"/>
      <c r="CD184" s="481"/>
      <c r="CE184" s="481"/>
      <c r="CF184" s="481"/>
      <c r="CG184" s="481"/>
      <c r="CH184" s="481"/>
      <c r="CI184" s="481"/>
      <c r="CJ184" s="481"/>
      <c r="CK184" s="481"/>
      <c r="CL184" s="481"/>
      <c r="CM184" s="481"/>
      <c r="CN184" s="481"/>
      <c r="CO184" s="481"/>
      <c r="CP184" s="481"/>
      <c r="CQ184" s="481"/>
      <c r="CR184" s="481"/>
      <c r="CS184" s="481"/>
      <c r="CT184" s="481"/>
      <c r="CU184" s="481"/>
      <c r="CV184" s="481"/>
      <c r="CW184" s="481"/>
      <c r="CX184" s="481"/>
      <c r="CY184" s="481"/>
      <c r="CZ184" s="481"/>
      <c r="DA184" s="481"/>
      <c r="DB184" s="481"/>
      <c r="DC184" s="481"/>
      <c r="DD184" s="481"/>
      <c r="DE184" s="481"/>
      <c r="DF184" s="481"/>
      <c r="DG184" s="481"/>
      <c r="DH184" s="481"/>
      <c r="DI184" s="481"/>
      <c r="DJ184" s="481"/>
      <c r="DK184" s="481"/>
      <c r="DL184" s="481"/>
      <c r="DM184" s="481"/>
      <c r="DN184" s="481"/>
      <c r="DO184" s="481"/>
      <c r="DP184" s="481"/>
      <c r="DQ184" s="481"/>
      <c r="DR184" s="481"/>
      <c r="DS184" s="481"/>
      <c r="DT184" s="481"/>
      <c r="DU184" s="481"/>
      <c r="DV184" s="481"/>
      <c r="DW184" s="322" t="s">
        <v>372</v>
      </c>
    </row>
    <row r="185" spans="3:127" hidden="1" outlineLevel="1" x14ac:dyDescent="0.3">
      <c r="C185" s="479" t="str">
        <f>"IRR and Equity Multiple Test for "&amp;C86</f>
        <v>IRR and Equity Multiple Test for LP</v>
      </c>
      <c r="D185" s="480"/>
      <c r="E185" s="481"/>
      <c r="F185" s="481">
        <f t="shared" ref="F185:AK185" si="177">MAX(SUM(F167:F171),SUM(F177:F180))</f>
        <v>2734500</v>
      </c>
      <c r="G185" s="481">
        <f t="shared" si="177"/>
        <v>2724844.3756249999</v>
      </c>
      <c r="H185" s="481">
        <f t="shared" si="177"/>
        <v>2715188.7512499997</v>
      </c>
      <c r="I185" s="481">
        <f t="shared" si="177"/>
        <v>2705533.1268749996</v>
      </c>
      <c r="J185" s="481">
        <f t="shared" si="177"/>
        <v>2695877.5024999995</v>
      </c>
      <c r="K185" s="481">
        <f t="shared" si="177"/>
        <v>2686221.8781249993</v>
      </c>
      <c r="L185" s="481">
        <f t="shared" si="177"/>
        <v>2676566.2537499992</v>
      </c>
      <c r="M185" s="481">
        <f t="shared" si="177"/>
        <v>2666910.6293749991</v>
      </c>
      <c r="N185" s="481">
        <f t="shared" si="177"/>
        <v>2657255.004999999</v>
      </c>
      <c r="O185" s="481">
        <f t="shared" si="177"/>
        <v>2647599.3806249988</v>
      </c>
      <c r="P185" s="481">
        <f t="shared" si="177"/>
        <v>2637943.7562499987</v>
      </c>
      <c r="Q185" s="481">
        <f t="shared" si="177"/>
        <v>2628288.1318749986</v>
      </c>
      <c r="R185" s="481">
        <f t="shared" si="177"/>
        <v>2618632.5074999984</v>
      </c>
      <c r="S185" s="481">
        <f t="shared" si="177"/>
        <v>2608306.0737687484</v>
      </c>
      <c r="T185" s="481">
        <f t="shared" si="177"/>
        <v>2597979.6400374984</v>
      </c>
      <c r="U185" s="481">
        <f t="shared" si="177"/>
        <v>2587653.2063062484</v>
      </c>
      <c r="V185" s="481">
        <f t="shared" si="177"/>
        <v>2577326.7725749984</v>
      </c>
      <c r="W185" s="481">
        <f t="shared" si="177"/>
        <v>2567000.3388437484</v>
      </c>
      <c r="X185" s="481">
        <f t="shared" si="177"/>
        <v>2556673.9051124984</v>
      </c>
      <c r="Y185" s="481">
        <f t="shared" si="177"/>
        <v>2546347.4713812484</v>
      </c>
      <c r="Z185" s="481">
        <f t="shared" si="177"/>
        <v>2536021.0376499984</v>
      </c>
      <c r="AA185" s="481">
        <f t="shared" si="177"/>
        <v>2525694.6039187484</v>
      </c>
      <c r="AB185" s="481">
        <f t="shared" si="177"/>
        <v>2515368.1701874984</v>
      </c>
      <c r="AC185" s="481">
        <f t="shared" si="177"/>
        <v>2505041.7364562484</v>
      </c>
      <c r="AD185" s="481">
        <f t="shared" si="177"/>
        <v>2494715.3027249984</v>
      </c>
      <c r="AE185" s="481">
        <f t="shared" si="177"/>
        <v>2483697.9353568112</v>
      </c>
      <c r="AF185" s="481">
        <f t="shared" si="177"/>
        <v>2472680.5679886239</v>
      </c>
      <c r="AG185" s="481">
        <f t="shared" si="177"/>
        <v>2461663.2006204366</v>
      </c>
      <c r="AH185" s="481">
        <f t="shared" si="177"/>
        <v>2450645.8332522493</v>
      </c>
      <c r="AI185" s="481">
        <f t="shared" si="177"/>
        <v>2439628.465884062</v>
      </c>
      <c r="AJ185" s="481">
        <f t="shared" si="177"/>
        <v>2428611.0985158747</v>
      </c>
      <c r="AK185" s="481">
        <f t="shared" si="177"/>
        <v>2417593.7311476874</v>
      </c>
      <c r="AL185" s="481">
        <f t="shared" ref="AL185:CW185" si="178">MAX(SUM(AL167:AL171),SUM(AL177:AL180))</f>
        <v>2406576.3637795001</v>
      </c>
      <c r="AM185" s="481">
        <f t="shared" si="178"/>
        <v>2395558.9964113128</v>
      </c>
      <c r="AN185" s="481">
        <f t="shared" si="178"/>
        <v>2384541.6290431255</v>
      </c>
      <c r="AO185" s="481">
        <f t="shared" si="178"/>
        <v>2373524.2616749383</v>
      </c>
      <c r="AP185" s="481">
        <f t="shared" si="178"/>
        <v>2362506.894306751</v>
      </c>
      <c r="AQ185" s="481">
        <f t="shared" si="178"/>
        <v>2350777.8652925179</v>
      </c>
      <c r="AR185" s="481">
        <f t="shared" si="178"/>
        <v>2339048.8362782849</v>
      </c>
      <c r="AS185" s="481">
        <f t="shared" si="178"/>
        <v>2327319.8072640519</v>
      </c>
      <c r="AT185" s="481">
        <f t="shared" si="178"/>
        <v>2315590.7782498188</v>
      </c>
      <c r="AU185" s="481">
        <f t="shared" si="178"/>
        <v>2303861.7492355858</v>
      </c>
      <c r="AV185" s="481">
        <f t="shared" si="178"/>
        <v>2292132.7202213528</v>
      </c>
      <c r="AW185" s="481">
        <f t="shared" si="178"/>
        <v>2280403.6912071197</v>
      </c>
      <c r="AX185" s="481">
        <f t="shared" si="178"/>
        <v>2268674.6621928867</v>
      </c>
      <c r="AY185" s="481">
        <f t="shared" si="178"/>
        <v>2256945.6331786537</v>
      </c>
      <c r="AZ185" s="481">
        <f t="shared" si="178"/>
        <v>2245216.6041644206</v>
      </c>
      <c r="BA185" s="481">
        <f t="shared" si="178"/>
        <v>2233487.5751501876</v>
      </c>
      <c r="BB185" s="481">
        <f t="shared" si="178"/>
        <v>2221758.5461359546</v>
      </c>
      <c r="BC185" s="481">
        <f t="shared" si="178"/>
        <v>2215250.6876287092</v>
      </c>
      <c r="BD185" s="481">
        <f t="shared" si="178"/>
        <v>2208742.8291214639</v>
      </c>
      <c r="BE185" s="481">
        <f t="shared" si="178"/>
        <v>2202234.9706142186</v>
      </c>
      <c r="BF185" s="481">
        <f t="shared" si="178"/>
        <v>2195727.1121069733</v>
      </c>
      <c r="BG185" s="481">
        <f t="shared" si="178"/>
        <v>2189219.253599728</v>
      </c>
      <c r="BH185" s="481">
        <f t="shared" si="178"/>
        <v>2243400.7617051215</v>
      </c>
      <c r="BI185" s="481">
        <f t="shared" si="178"/>
        <v>2236892.9031978762</v>
      </c>
      <c r="BJ185" s="481">
        <f t="shared" si="178"/>
        <v>2230385.0446906309</v>
      </c>
      <c r="BK185" s="481">
        <f t="shared" si="178"/>
        <v>2327891.5036406009</v>
      </c>
      <c r="BL185" s="481">
        <f t="shared" si="178"/>
        <v>2321383.6451333556</v>
      </c>
      <c r="BM185" s="481">
        <f t="shared" si="178"/>
        <v>2314875.7866261103</v>
      </c>
      <c r="BN185" s="481">
        <f t="shared" si="178"/>
        <v>536371.61777112889</v>
      </c>
      <c r="BO185" s="481">
        <f t="shared" si="178"/>
        <v>1058337.9976367466</v>
      </c>
      <c r="BP185" s="481">
        <f t="shared" si="178"/>
        <v>1058337.9976367466</v>
      </c>
      <c r="BQ185" s="481">
        <f t="shared" si="178"/>
        <v>1058337.9976367466</v>
      </c>
      <c r="BR185" s="481">
        <f t="shared" si="178"/>
        <v>1058337.9976367466</v>
      </c>
      <c r="BS185" s="481">
        <f t="shared" si="178"/>
        <v>1058337.9976367466</v>
      </c>
      <c r="BT185" s="481">
        <f t="shared" si="178"/>
        <v>1058337.9976367466</v>
      </c>
      <c r="BU185" s="481">
        <f t="shared" si="178"/>
        <v>1058337.9976367466</v>
      </c>
      <c r="BV185" s="481">
        <f t="shared" si="178"/>
        <v>1058337.9976367466</v>
      </c>
      <c r="BW185" s="481">
        <f t="shared" si="178"/>
        <v>1058337.9976367466</v>
      </c>
      <c r="BX185" s="481">
        <f t="shared" si="178"/>
        <v>1058337.9976367466</v>
      </c>
      <c r="BY185" s="481">
        <f t="shared" si="178"/>
        <v>1058337.9976367466</v>
      </c>
      <c r="BZ185" s="481">
        <f t="shared" si="178"/>
        <v>1058337.9976367466</v>
      </c>
      <c r="CA185" s="481">
        <f t="shared" si="178"/>
        <v>1058337.9976367466</v>
      </c>
      <c r="CB185" s="481">
        <f t="shared" si="178"/>
        <v>1058337.9976367466</v>
      </c>
      <c r="CC185" s="481">
        <f t="shared" si="178"/>
        <v>1058337.9976367466</v>
      </c>
      <c r="CD185" s="481">
        <f t="shared" si="178"/>
        <v>1058337.9976367466</v>
      </c>
      <c r="CE185" s="481">
        <f t="shared" si="178"/>
        <v>1058337.9976367466</v>
      </c>
      <c r="CF185" s="481">
        <f t="shared" si="178"/>
        <v>1058337.9976367466</v>
      </c>
      <c r="CG185" s="481">
        <f t="shared" si="178"/>
        <v>1058337.9976367466</v>
      </c>
      <c r="CH185" s="481">
        <f t="shared" si="178"/>
        <v>1058337.9976367466</v>
      </c>
      <c r="CI185" s="481">
        <f t="shared" si="178"/>
        <v>1058337.9976367466</v>
      </c>
      <c r="CJ185" s="481">
        <f t="shared" si="178"/>
        <v>1058337.9976367466</v>
      </c>
      <c r="CK185" s="481">
        <f t="shared" si="178"/>
        <v>1058337.9976367466</v>
      </c>
      <c r="CL185" s="481">
        <f t="shared" si="178"/>
        <v>1058337.9976367466</v>
      </c>
      <c r="CM185" s="481">
        <f t="shared" si="178"/>
        <v>1058337.9976367466</v>
      </c>
      <c r="CN185" s="481">
        <f t="shared" si="178"/>
        <v>1058337.9976367466</v>
      </c>
      <c r="CO185" s="481">
        <f t="shared" si="178"/>
        <v>1058337.9976367466</v>
      </c>
      <c r="CP185" s="481">
        <f t="shared" si="178"/>
        <v>1058337.9976367466</v>
      </c>
      <c r="CQ185" s="481">
        <f t="shared" si="178"/>
        <v>1058337.9976367466</v>
      </c>
      <c r="CR185" s="481">
        <f t="shared" si="178"/>
        <v>1058337.9976367466</v>
      </c>
      <c r="CS185" s="481">
        <f t="shared" si="178"/>
        <v>1058337.9976367466</v>
      </c>
      <c r="CT185" s="481">
        <f t="shared" si="178"/>
        <v>1058337.9976367466</v>
      </c>
      <c r="CU185" s="481">
        <f t="shared" si="178"/>
        <v>1058337.9976367466</v>
      </c>
      <c r="CV185" s="481">
        <f t="shared" si="178"/>
        <v>1058337.9976367466</v>
      </c>
      <c r="CW185" s="481">
        <f t="shared" si="178"/>
        <v>1058337.9976367466</v>
      </c>
      <c r="CX185" s="481">
        <f t="shared" ref="CX185:DV185" si="179">MAX(SUM(CX167:CX171),SUM(CX177:CX180))</f>
        <v>1058337.9976367466</v>
      </c>
      <c r="CY185" s="481">
        <f t="shared" si="179"/>
        <v>1058337.9976367466</v>
      </c>
      <c r="CZ185" s="481">
        <f t="shared" si="179"/>
        <v>1058337.9976367466</v>
      </c>
      <c r="DA185" s="481">
        <f t="shared" si="179"/>
        <v>1058337.9976367466</v>
      </c>
      <c r="DB185" s="481">
        <f t="shared" si="179"/>
        <v>1058337.9976367466</v>
      </c>
      <c r="DC185" s="481">
        <f t="shared" si="179"/>
        <v>1058337.9976367466</v>
      </c>
      <c r="DD185" s="481">
        <f t="shared" si="179"/>
        <v>1058337.9976367466</v>
      </c>
      <c r="DE185" s="481">
        <f t="shared" si="179"/>
        <v>1058337.9976367466</v>
      </c>
      <c r="DF185" s="481">
        <f t="shared" si="179"/>
        <v>1058337.9976367466</v>
      </c>
      <c r="DG185" s="481">
        <f t="shared" si="179"/>
        <v>1058337.9976367466</v>
      </c>
      <c r="DH185" s="481">
        <f t="shared" si="179"/>
        <v>1058337.9976367466</v>
      </c>
      <c r="DI185" s="481">
        <f t="shared" si="179"/>
        <v>1058337.9976367466</v>
      </c>
      <c r="DJ185" s="481">
        <f t="shared" si="179"/>
        <v>1058337.9976367466</v>
      </c>
      <c r="DK185" s="481">
        <f t="shared" si="179"/>
        <v>1058337.9976367466</v>
      </c>
      <c r="DL185" s="481">
        <f t="shared" si="179"/>
        <v>1058337.9976367466</v>
      </c>
      <c r="DM185" s="481">
        <f t="shared" si="179"/>
        <v>1058337.9976367466</v>
      </c>
      <c r="DN185" s="481">
        <f t="shared" si="179"/>
        <v>1058337.9976367466</v>
      </c>
      <c r="DO185" s="481">
        <f t="shared" si="179"/>
        <v>1058337.9976367466</v>
      </c>
      <c r="DP185" s="481">
        <f t="shared" si="179"/>
        <v>1058337.9976367466</v>
      </c>
      <c r="DQ185" s="481">
        <f t="shared" si="179"/>
        <v>1058337.9976367466</v>
      </c>
      <c r="DR185" s="481">
        <f t="shared" si="179"/>
        <v>1058337.9976367466</v>
      </c>
      <c r="DS185" s="481">
        <f t="shared" si="179"/>
        <v>1058337.9976367466</v>
      </c>
      <c r="DT185" s="481">
        <f t="shared" si="179"/>
        <v>1058337.9976367466</v>
      </c>
      <c r="DU185" s="481">
        <f t="shared" si="179"/>
        <v>1058337.9976367466</v>
      </c>
      <c r="DV185" s="481">
        <f t="shared" si="179"/>
        <v>1058337.9976367466</v>
      </c>
      <c r="DW185" s="322" t="s">
        <v>372</v>
      </c>
    </row>
    <row r="186" spans="3:127" hidden="1" outlineLevel="1" x14ac:dyDescent="0.3">
      <c r="C186" s="479"/>
      <c r="D186" s="480"/>
      <c r="E186" s="481"/>
      <c r="F186" s="481"/>
      <c r="G186" s="481"/>
      <c r="H186" s="481"/>
      <c r="I186" s="481"/>
      <c r="J186" s="481"/>
      <c r="K186" s="481"/>
      <c r="L186" s="481"/>
      <c r="M186" s="481"/>
      <c r="N186" s="481"/>
      <c r="O186" s="481"/>
      <c r="P186" s="481"/>
      <c r="Q186" s="481"/>
      <c r="R186" s="481"/>
      <c r="S186" s="481"/>
      <c r="T186" s="481"/>
      <c r="U186" s="481"/>
      <c r="V186" s="481"/>
      <c r="W186" s="481"/>
      <c r="X186" s="481"/>
      <c r="Y186" s="481"/>
      <c r="Z186" s="481"/>
      <c r="AA186" s="481"/>
      <c r="AB186" s="481"/>
      <c r="AC186" s="481"/>
      <c r="AD186" s="481"/>
      <c r="AE186" s="481"/>
      <c r="AF186" s="481"/>
      <c r="AG186" s="481"/>
      <c r="AH186" s="481"/>
      <c r="AI186" s="481"/>
      <c r="AJ186" s="481"/>
      <c r="AK186" s="481"/>
      <c r="AL186" s="481"/>
      <c r="AM186" s="481"/>
      <c r="AN186" s="481"/>
      <c r="AO186" s="481"/>
      <c r="AP186" s="481"/>
      <c r="AQ186" s="481"/>
      <c r="AR186" s="481"/>
      <c r="AS186" s="481"/>
      <c r="AT186" s="481"/>
      <c r="AU186" s="481"/>
      <c r="AV186" s="481"/>
      <c r="AW186" s="481"/>
      <c r="AX186" s="481"/>
      <c r="AY186" s="481"/>
      <c r="AZ186" s="481"/>
      <c r="BA186" s="481"/>
      <c r="BB186" s="481"/>
      <c r="BC186" s="481"/>
      <c r="BD186" s="481"/>
      <c r="BE186" s="481"/>
      <c r="BF186" s="481"/>
      <c r="BG186" s="481"/>
      <c r="BH186" s="481"/>
      <c r="BI186" s="481"/>
      <c r="BJ186" s="481"/>
      <c r="BK186" s="481"/>
      <c r="BL186" s="481"/>
      <c r="BM186" s="481"/>
      <c r="BN186" s="481"/>
      <c r="BO186" s="481"/>
      <c r="BP186" s="481"/>
      <c r="BQ186" s="481"/>
      <c r="BR186" s="481"/>
      <c r="BS186" s="481"/>
      <c r="BT186" s="481"/>
      <c r="BU186" s="481"/>
      <c r="BV186" s="481"/>
      <c r="BW186" s="481"/>
      <c r="BX186" s="481"/>
      <c r="BY186" s="481"/>
      <c r="BZ186" s="481"/>
      <c r="CA186" s="481"/>
      <c r="CB186" s="481"/>
      <c r="CC186" s="481"/>
      <c r="CD186" s="481"/>
      <c r="CE186" s="481"/>
      <c r="CF186" s="481"/>
      <c r="CG186" s="481"/>
      <c r="CH186" s="481"/>
      <c r="CI186" s="481"/>
      <c r="CJ186" s="481"/>
      <c r="CK186" s="481"/>
      <c r="CL186" s="481"/>
      <c r="CM186" s="481"/>
      <c r="CN186" s="481"/>
      <c r="CO186" s="481"/>
      <c r="CP186" s="481"/>
      <c r="CQ186" s="481"/>
      <c r="CR186" s="481"/>
      <c r="CS186" s="481"/>
      <c r="CT186" s="481"/>
      <c r="CU186" s="481"/>
      <c r="CV186" s="481"/>
      <c r="CW186" s="481"/>
      <c r="CX186" s="481"/>
      <c r="CY186" s="481"/>
      <c r="CZ186" s="481"/>
      <c r="DA186" s="481"/>
      <c r="DB186" s="481"/>
      <c r="DC186" s="481"/>
      <c r="DD186" s="481"/>
      <c r="DE186" s="481"/>
      <c r="DF186" s="481"/>
      <c r="DG186" s="481"/>
      <c r="DH186" s="481"/>
      <c r="DI186" s="481"/>
      <c r="DJ186" s="481"/>
      <c r="DK186" s="481"/>
      <c r="DL186" s="481"/>
      <c r="DM186" s="481"/>
      <c r="DN186" s="481"/>
      <c r="DO186" s="481"/>
      <c r="DP186" s="481"/>
      <c r="DQ186" s="481"/>
      <c r="DR186" s="481"/>
      <c r="DS186" s="481"/>
      <c r="DT186" s="481"/>
      <c r="DU186" s="481"/>
      <c r="DV186" s="481"/>
      <c r="DW186" s="322" t="s">
        <v>372</v>
      </c>
    </row>
    <row r="187" spans="3:127" ht="17.25" hidden="1" outlineLevel="1" thickBot="1" x14ac:dyDescent="0.35">
      <c r="C187" s="480" t="str">
        <f>"Total Distribution Per Tier III to "&amp;C86</f>
        <v>Total Distribution Per Tier III to LP</v>
      </c>
      <c r="D187" s="480"/>
      <c r="E187" s="491">
        <f>SUM(F187:DV187)</f>
        <v>-536371.61777112889</v>
      </c>
      <c r="F187" s="483">
        <f>-MAX(MIN(F185,F162*$D$190),0)</f>
        <v>0</v>
      </c>
      <c r="G187" s="483">
        <f t="shared" ref="G187:BR187" si="180">-MAX(MIN(G185,G162*$D$190),0)</f>
        <v>0</v>
      </c>
      <c r="H187" s="483">
        <f t="shared" si="180"/>
        <v>0</v>
      </c>
      <c r="I187" s="483">
        <f t="shared" si="180"/>
        <v>0</v>
      </c>
      <c r="J187" s="483">
        <f t="shared" si="180"/>
        <v>0</v>
      </c>
      <c r="K187" s="483">
        <f t="shared" si="180"/>
        <v>0</v>
      </c>
      <c r="L187" s="483">
        <f t="shared" si="180"/>
        <v>0</v>
      </c>
      <c r="M187" s="483">
        <f t="shared" si="180"/>
        <v>0</v>
      </c>
      <c r="N187" s="483">
        <f t="shared" si="180"/>
        <v>0</v>
      </c>
      <c r="O187" s="483">
        <f t="shared" si="180"/>
        <v>0</v>
      </c>
      <c r="P187" s="483">
        <f t="shared" si="180"/>
        <v>0</v>
      </c>
      <c r="Q187" s="483">
        <f t="shared" si="180"/>
        <v>0</v>
      </c>
      <c r="R187" s="483">
        <f t="shared" si="180"/>
        <v>0</v>
      </c>
      <c r="S187" s="483">
        <f t="shared" si="180"/>
        <v>0</v>
      </c>
      <c r="T187" s="483">
        <f t="shared" si="180"/>
        <v>0</v>
      </c>
      <c r="U187" s="483">
        <f t="shared" si="180"/>
        <v>0</v>
      </c>
      <c r="V187" s="483">
        <f t="shared" si="180"/>
        <v>0</v>
      </c>
      <c r="W187" s="483">
        <f t="shared" si="180"/>
        <v>0</v>
      </c>
      <c r="X187" s="483">
        <f t="shared" si="180"/>
        <v>0</v>
      </c>
      <c r="Y187" s="483">
        <f t="shared" si="180"/>
        <v>0</v>
      </c>
      <c r="Z187" s="483">
        <f t="shared" si="180"/>
        <v>0</v>
      </c>
      <c r="AA187" s="483">
        <f t="shared" si="180"/>
        <v>0</v>
      </c>
      <c r="AB187" s="483">
        <f t="shared" si="180"/>
        <v>0</v>
      </c>
      <c r="AC187" s="483">
        <f t="shared" si="180"/>
        <v>0</v>
      </c>
      <c r="AD187" s="483">
        <f t="shared" si="180"/>
        <v>0</v>
      </c>
      <c r="AE187" s="483">
        <f t="shared" si="180"/>
        <v>0</v>
      </c>
      <c r="AF187" s="483">
        <f t="shared" si="180"/>
        <v>0</v>
      </c>
      <c r="AG187" s="483">
        <f t="shared" si="180"/>
        <v>0</v>
      </c>
      <c r="AH187" s="483">
        <f t="shared" si="180"/>
        <v>0</v>
      </c>
      <c r="AI187" s="483">
        <f t="shared" si="180"/>
        <v>0</v>
      </c>
      <c r="AJ187" s="483">
        <f t="shared" si="180"/>
        <v>0</v>
      </c>
      <c r="AK187" s="483">
        <f t="shared" si="180"/>
        <v>0</v>
      </c>
      <c r="AL187" s="483">
        <f t="shared" si="180"/>
        <v>0</v>
      </c>
      <c r="AM187" s="483">
        <f t="shared" si="180"/>
        <v>0</v>
      </c>
      <c r="AN187" s="483">
        <f t="shared" si="180"/>
        <v>0</v>
      </c>
      <c r="AO187" s="483">
        <f t="shared" si="180"/>
        <v>0</v>
      </c>
      <c r="AP187" s="483">
        <f t="shared" si="180"/>
        <v>0</v>
      </c>
      <c r="AQ187" s="483">
        <f t="shared" si="180"/>
        <v>0</v>
      </c>
      <c r="AR187" s="483">
        <f t="shared" si="180"/>
        <v>0</v>
      </c>
      <c r="AS187" s="483">
        <f t="shared" si="180"/>
        <v>0</v>
      </c>
      <c r="AT187" s="483">
        <f t="shared" si="180"/>
        <v>0</v>
      </c>
      <c r="AU187" s="483">
        <f t="shared" si="180"/>
        <v>0</v>
      </c>
      <c r="AV187" s="483">
        <f t="shared" si="180"/>
        <v>0</v>
      </c>
      <c r="AW187" s="483">
        <f t="shared" si="180"/>
        <v>0</v>
      </c>
      <c r="AX187" s="483">
        <f t="shared" si="180"/>
        <v>0</v>
      </c>
      <c r="AY187" s="483">
        <f t="shared" si="180"/>
        <v>0</v>
      </c>
      <c r="AZ187" s="483">
        <f t="shared" si="180"/>
        <v>0</v>
      </c>
      <c r="BA187" s="483">
        <f t="shared" si="180"/>
        <v>0</v>
      </c>
      <c r="BB187" s="483">
        <f t="shared" si="180"/>
        <v>0</v>
      </c>
      <c r="BC187" s="483">
        <f t="shared" si="180"/>
        <v>0</v>
      </c>
      <c r="BD187" s="483">
        <f t="shared" si="180"/>
        <v>0</v>
      </c>
      <c r="BE187" s="483">
        <f t="shared" si="180"/>
        <v>0</v>
      </c>
      <c r="BF187" s="483">
        <f t="shared" si="180"/>
        <v>0</v>
      </c>
      <c r="BG187" s="483">
        <f t="shared" si="180"/>
        <v>0</v>
      </c>
      <c r="BH187" s="483">
        <f t="shared" si="180"/>
        <v>0</v>
      </c>
      <c r="BI187" s="483">
        <f t="shared" si="180"/>
        <v>0</v>
      </c>
      <c r="BJ187" s="483">
        <f t="shared" si="180"/>
        <v>0</v>
      </c>
      <c r="BK187" s="483">
        <f t="shared" si="180"/>
        <v>0</v>
      </c>
      <c r="BL187" s="483">
        <f t="shared" si="180"/>
        <v>0</v>
      </c>
      <c r="BM187" s="483">
        <f t="shared" si="180"/>
        <v>0</v>
      </c>
      <c r="BN187" s="483">
        <f t="shared" si="180"/>
        <v>-536371.61777112889</v>
      </c>
      <c r="BO187" s="483">
        <f t="shared" si="180"/>
        <v>0</v>
      </c>
      <c r="BP187" s="483">
        <f t="shared" si="180"/>
        <v>0</v>
      </c>
      <c r="BQ187" s="483">
        <f t="shared" si="180"/>
        <v>0</v>
      </c>
      <c r="BR187" s="483">
        <f t="shared" si="180"/>
        <v>0</v>
      </c>
      <c r="BS187" s="483">
        <f t="shared" ref="BS187:DV187" si="181">-MAX(MIN(BS185,BS162*$D$190),0)</f>
        <v>0</v>
      </c>
      <c r="BT187" s="483">
        <f t="shared" si="181"/>
        <v>0</v>
      </c>
      <c r="BU187" s="483">
        <f t="shared" si="181"/>
        <v>0</v>
      </c>
      <c r="BV187" s="483">
        <f t="shared" si="181"/>
        <v>0</v>
      </c>
      <c r="BW187" s="483">
        <f t="shared" si="181"/>
        <v>0</v>
      </c>
      <c r="BX187" s="483">
        <f t="shared" si="181"/>
        <v>0</v>
      </c>
      <c r="BY187" s="483">
        <f t="shared" si="181"/>
        <v>0</v>
      </c>
      <c r="BZ187" s="483">
        <f t="shared" si="181"/>
        <v>0</v>
      </c>
      <c r="CA187" s="483">
        <f t="shared" si="181"/>
        <v>0</v>
      </c>
      <c r="CB187" s="483">
        <f t="shared" si="181"/>
        <v>0</v>
      </c>
      <c r="CC187" s="483">
        <f t="shared" si="181"/>
        <v>0</v>
      </c>
      <c r="CD187" s="483">
        <f t="shared" si="181"/>
        <v>0</v>
      </c>
      <c r="CE187" s="483">
        <f t="shared" si="181"/>
        <v>0</v>
      </c>
      <c r="CF187" s="483">
        <f t="shared" si="181"/>
        <v>0</v>
      </c>
      <c r="CG187" s="483">
        <f t="shared" si="181"/>
        <v>0</v>
      </c>
      <c r="CH187" s="483">
        <f t="shared" si="181"/>
        <v>0</v>
      </c>
      <c r="CI187" s="483">
        <f t="shared" si="181"/>
        <v>0</v>
      </c>
      <c r="CJ187" s="483">
        <f t="shared" si="181"/>
        <v>0</v>
      </c>
      <c r="CK187" s="483">
        <f t="shared" si="181"/>
        <v>0</v>
      </c>
      <c r="CL187" s="483">
        <f t="shared" si="181"/>
        <v>0</v>
      </c>
      <c r="CM187" s="483">
        <f t="shared" si="181"/>
        <v>0</v>
      </c>
      <c r="CN187" s="483">
        <f t="shared" si="181"/>
        <v>0</v>
      </c>
      <c r="CO187" s="483">
        <f t="shared" si="181"/>
        <v>0</v>
      </c>
      <c r="CP187" s="483">
        <f t="shared" si="181"/>
        <v>0</v>
      </c>
      <c r="CQ187" s="483">
        <f t="shared" si="181"/>
        <v>0</v>
      </c>
      <c r="CR187" s="483">
        <f t="shared" si="181"/>
        <v>0</v>
      </c>
      <c r="CS187" s="483">
        <f t="shared" si="181"/>
        <v>0</v>
      </c>
      <c r="CT187" s="483">
        <f t="shared" si="181"/>
        <v>0</v>
      </c>
      <c r="CU187" s="483">
        <f t="shared" si="181"/>
        <v>0</v>
      </c>
      <c r="CV187" s="483">
        <f t="shared" si="181"/>
        <v>0</v>
      </c>
      <c r="CW187" s="483">
        <f t="shared" si="181"/>
        <v>0</v>
      </c>
      <c r="CX187" s="483">
        <f t="shared" si="181"/>
        <v>0</v>
      </c>
      <c r="CY187" s="483">
        <f t="shared" si="181"/>
        <v>0</v>
      </c>
      <c r="CZ187" s="483">
        <f t="shared" si="181"/>
        <v>0</v>
      </c>
      <c r="DA187" s="483">
        <f t="shared" si="181"/>
        <v>0</v>
      </c>
      <c r="DB187" s="483">
        <f t="shared" si="181"/>
        <v>0</v>
      </c>
      <c r="DC187" s="483">
        <f t="shared" si="181"/>
        <v>0</v>
      </c>
      <c r="DD187" s="483">
        <f t="shared" si="181"/>
        <v>0</v>
      </c>
      <c r="DE187" s="483">
        <f t="shared" si="181"/>
        <v>0</v>
      </c>
      <c r="DF187" s="483">
        <f t="shared" si="181"/>
        <v>0</v>
      </c>
      <c r="DG187" s="483">
        <f t="shared" si="181"/>
        <v>0</v>
      </c>
      <c r="DH187" s="483">
        <f t="shared" si="181"/>
        <v>0</v>
      </c>
      <c r="DI187" s="483">
        <f t="shared" si="181"/>
        <v>0</v>
      </c>
      <c r="DJ187" s="483">
        <f t="shared" si="181"/>
        <v>0</v>
      </c>
      <c r="DK187" s="483">
        <f t="shared" si="181"/>
        <v>0</v>
      </c>
      <c r="DL187" s="483">
        <f t="shared" si="181"/>
        <v>0</v>
      </c>
      <c r="DM187" s="483">
        <f t="shared" si="181"/>
        <v>0</v>
      </c>
      <c r="DN187" s="483">
        <f t="shared" si="181"/>
        <v>0</v>
      </c>
      <c r="DO187" s="483">
        <f t="shared" si="181"/>
        <v>0</v>
      </c>
      <c r="DP187" s="483">
        <f t="shared" si="181"/>
        <v>0</v>
      </c>
      <c r="DQ187" s="483">
        <f t="shared" si="181"/>
        <v>0</v>
      </c>
      <c r="DR187" s="483">
        <f t="shared" si="181"/>
        <v>0</v>
      </c>
      <c r="DS187" s="483">
        <f t="shared" si="181"/>
        <v>0</v>
      </c>
      <c r="DT187" s="483">
        <f t="shared" si="181"/>
        <v>0</v>
      </c>
      <c r="DU187" s="483">
        <f t="shared" si="181"/>
        <v>0</v>
      </c>
      <c r="DV187" s="483">
        <f t="shared" si="181"/>
        <v>0</v>
      </c>
      <c r="DW187" s="322" t="s">
        <v>372</v>
      </c>
    </row>
    <row r="188" spans="3:127" ht="17.25" hidden="1" outlineLevel="1" thickTop="1" x14ac:dyDescent="0.3">
      <c r="C188" s="360"/>
      <c r="D188" s="360"/>
      <c r="E188" s="360"/>
      <c r="F188" s="360"/>
      <c r="G188" s="360"/>
      <c r="H188" s="360"/>
      <c r="I188" s="360"/>
      <c r="J188" s="360"/>
      <c r="K188" s="360"/>
      <c r="L188" s="360"/>
      <c r="M188" s="360"/>
      <c r="N188" s="360"/>
      <c r="O188" s="360"/>
      <c r="P188" s="360"/>
      <c r="Q188" s="360"/>
      <c r="R188" s="360"/>
      <c r="S188" s="360"/>
      <c r="T188" s="360"/>
      <c r="U188" s="360"/>
      <c r="V188" s="360"/>
      <c r="W188" s="360"/>
      <c r="X188" s="360"/>
      <c r="Y188" s="360"/>
      <c r="Z188" s="360"/>
      <c r="AA188" s="360"/>
      <c r="AB188" s="360"/>
      <c r="AC188" s="360"/>
      <c r="AD188" s="360"/>
      <c r="AE188" s="360"/>
      <c r="AF188" s="360"/>
      <c r="AG188" s="360"/>
      <c r="AH188" s="360"/>
      <c r="AI188" s="360"/>
      <c r="AJ188" s="360"/>
      <c r="AK188" s="360"/>
      <c r="AL188" s="360"/>
      <c r="AM188" s="360"/>
      <c r="AN188" s="360"/>
      <c r="AO188" s="360"/>
      <c r="AP188" s="360"/>
      <c r="AQ188" s="360"/>
      <c r="AR188" s="360"/>
      <c r="AS188" s="360"/>
      <c r="AT188" s="360"/>
      <c r="AU188" s="360"/>
      <c r="AV188" s="360"/>
      <c r="AW188" s="360"/>
      <c r="AX188" s="360"/>
      <c r="AY188" s="360"/>
      <c r="AZ188" s="360"/>
      <c r="BA188" s="360"/>
      <c r="BB188" s="360"/>
      <c r="BC188" s="360"/>
      <c r="BD188" s="360"/>
      <c r="BE188" s="360"/>
      <c r="BF188" s="360"/>
      <c r="BG188" s="360"/>
      <c r="BH188" s="360"/>
      <c r="BI188" s="360"/>
      <c r="BJ188" s="360"/>
      <c r="BK188" s="360"/>
      <c r="BL188" s="360"/>
      <c r="BM188" s="360"/>
      <c r="BN188" s="360"/>
      <c r="BO188" s="360"/>
      <c r="BP188" s="360"/>
      <c r="BQ188" s="360"/>
      <c r="BR188" s="360"/>
      <c r="BS188" s="360"/>
      <c r="BT188" s="360"/>
      <c r="BU188" s="360"/>
      <c r="BV188" s="360"/>
      <c r="BW188" s="360"/>
      <c r="BX188" s="360"/>
      <c r="BY188" s="360"/>
      <c r="BZ188" s="360"/>
      <c r="CA188" s="360"/>
      <c r="CB188" s="360"/>
      <c r="CC188" s="360"/>
      <c r="CD188" s="360"/>
      <c r="CE188" s="360"/>
      <c r="CF188" s="360"/>
      <c r="CG188" s="360"/>
      <c r="CH188" s="360"/>
      <c r="CI188" s="360"/>
      <c r="CJ188" s="360"/>
      <c r="CK188" s="360"/>
      <c r="CL188" s="360"/>
      <c r="CM188" s="360"/>
      <c r="CN188" s="360"/>
      <c r="CO188" s="360"/>
      <c r="CP188" s="360"/>
      <c r="CQ188" s="360"/>
      <c r="CR188" s="360"/>
      <c r="CS188" s="360"/>
      <c r="CT188" s="360"/>
      <c r="CU188" s="360"/>
      <c r="CV188" s="360"/>
      <c r="CW188" s="360"/>
      <c r="CX188" s="360"/>
      <c r="CY188" s="360"/>
      <c r="CZ188" s="360"/>
      <c r="DA188" s="360"/>
      <c r="DB188" s="360"/>
      <c r="DC188" s="360"/>
      <c r="DD188" s="360"/>
      <c r="DE188" s="360"/>
      <c r="DF188" s="360"/>
      <c r="DG188" s="360"/>
      <c r="DH188" s="360"/>
      <c r="DI188" s="360"/>
      <c r="DJ188" s="360"/>
      <c r="DK188" s="360"/>
      <c r="DL188" s="360"/>
      <c r="DM188" s="360"/>
      <c r="DN188" s="360"/>
      <c r="DO188" s="360"/>
      <c r="DP188" s="360"/>
      <c r="DQ188" s="360"/>
      <c r="DR188" s="360"/>
      <c r="DS188" s="360"/>
      <c r="DT188" s="360"/>
      <c r="DU188" s="360"/>
      <c r="DV188" s="360"/>
      <c r="DW188" s="322" t="s">
        <v>372</v>
      </c>
    </row>
    <row r="189" spans="3:127" hidden="1" outlineLevel="1" x14ac:dyDescent="0.3">
      <c r="C189" s="485" t="s">
        <v>405</v>
      </c>
      <c r="D189" s="374"/>
      <c r="E189" s="463"/>
      <c r="F189" s="374"/>
      <c r="G189" s="374"/>
      <c r="H189" s="463"/>
      <c r="I189" s="463"/>
      <c r="J189" s="463"/>
      <c r="K189" s="463"/>
      <c r="L189" s="463"/>
      <c r="M189" s="463"/>
      <c r="N189" s="463"/>
      <c r="O189" s="463"/>
      <c r="P189" s="463"/>
      <c r="Q189" s="463"/>
      <c r="R189" s="463"/>
      <c r="S189" s="463"/>
      <c r="T189" s="463"/>
      <c r="U189" s="463"/>
      <c r="V189" s="463"/>
      <c r="W189" s="463"/>
      <c r="X189" s="463"/>
      <c r="Y189" s="463"/>
      <c r="Z189" s="463"/>
      <c r="AA189" s="463"/>
      <c r="AB189" s="463"/>
      <c r="AC189" s="463"/>
      <c r="AD189" s="463"/>
      <c r="AE189" s="463"/>
      <c r="AF189" s="463"/>
      <c r="AG189" s="463"/>
      <c r="AH189" s="463"/>
      <c r="AI189" s="463"/>
      <c r="AJ189" s="463"/>
      <c r="AK189" s="463"/>
      <c r="AL189" s="463"/>
      <c r="AM189" s="463"/>
      <c r="AN189" s="463"/>
      <c r="AO189" s="463"/>
      <c r="AP189" s="463"/>
      <c r="AQ189" s="463"/>
      <c r="AR189" s="463"/>
      <c r="AS189" s="463"/>
      <c r="AT189" s="463"/>
      <c r="AU189" s="463"/>
      <c r="AV189" s="463"/>
      <c r="AW189" s="463"/>
      <c r="AX189" s="463"/>
      <c r="AY189" s="463"/>
      <c r="AZ189" s="463"/>
      <c r="BA189" s="463"/>
      <c r="BB189" s="463"/>
      <c r="BC189" s="463"/>
      <c r="BD189" s="463"/>
      <c r="BE189" s="463"/>
      <c r="BF189" s="463"/>
      <c r="BG189" s="463"/>
      <c r="BH189" s="463"/>
      <c r="BI189" s="463"/>
      <c r="BJ189" s="463"/>
      <c r="BK189" s="463"/>
      <c r="BL189" s="463"/>
      <c r="BM189" s="463"/>
      <c r="BN189" s="463"/>
      <c r="BO189" s="463"/>
      <c r="BP189" s="463"/>
      <c r="BQ189" s="463"/>
      <c r="BR189" s="463"/>
      <c r="BS189" s="463"/>
      <c r="BT189" s="463"/>
      <c r="BU189" s="463"/>
      <c r="BV189" s="463"/>
      <c r="BW189" s="463"/>
      <c r="BX189" s="463"/>
      <c r="BY189" s="463"/>
      <c r="BZ189" s="463"/>
      <c r="CA189" s="463"/>
      <c r="CB189" s="463"/>
      <c r="CC189" s="463"/>
      <c r="CD189" s="463"/>
      <c r="CE189" s="463"/>
      <c r="CF189" s="463"/>
      <c r="CG189" s="463"/>
      <c r="CH189" s="463"/>
      <c r="CI189" s="463"/>
      <c r="CJ189" s="463"/>
      <c r="CK189" s="463"/>
      <c r="CL189" s="463"/>
      <c r="CM189" s="463"/>
      <c r="CN189" s="463"/>
      <c r="CO189" s="463"/>
      <c r="CP189" s="463"/>
      <c r="CQ189" s="463"/>
      <c r="CR189" s="463"/>
      <c r="CS189" s="463"/>
      <c r="CT189" s="463"/>
      <c r="CU189" s="463"/>
      <c r="CV189" s="463"/>
      <c r="CW189" s="463"/>
      <c r="CX189" s="463"/>
      <c r="CY189" s="463"/>
      <c r="CZ189" s="463"/>
      <c r="DA189" s="463"/>
      <c r="DB189" s="463"/>
      <c r="DC189" s="463"/>
      <c r="DD189" s="463"/>
      <c r="DE189" s="463"/>
      <c r="DF189" s="463"/>
      <c r="DG189" s="463"/>
      <c r="DH189" s="463"/>
      <c r="DI189" s="463"/>
      <c r="DJ189" s="463"/>
      <c r="DK189" s="463"/>
      <c r="DL189" s="463"/>
      <c r="DM189" s="463"/>
      <c r="DN189" s="463"/>
      <c r="DO189" s="463"/>
      <c r="DP189" s="463"/>
      <c r="DQ189" s="463"/>
      <c r="DR189" s="463"/>
      <c r="DS189" s="463"/>
      <c r="DT189" s="463"/>
      <c r="DU189" s="463"/>
      <c r="DV189" s="463"/>
      <c r="DW189" s="322" t="s">
        <v>372</v>
      </c>
    </row>
    <row r="190" spans="3:127" hidden="1" outlineLevel="1" x14ac:dyDescent="0.3">
      <c r="C190" s="374" t="str">
        <f>C157</f>
        <v>LP Equity</v>
      </c>
      <c r="D190" s="486">
        <f>H40</f>
        <v>0.67500000000000004</v>
      </c>
      <c r="E190" s="466">
        <f>SUM(F190:DV190)</f>
        <v>536371.61777112889</v>
      </c>
      <c r="F190" s="466">
        <f t="shared" ref="F190:BQ190" si="182">-F187</f>
        <v>0</v>
      </c>
      <c r="G190" s="466">
        <f t="shared" si="182"/>
        <v>0</v>
      </c>
      <c r="H190" s="466">
        <f t="shared" si="182"/>
        <v>0</v>
      </c>
      <c r="I190" s="466">
        <f t="shared" si="182"/>
        <v>0</v>
      </c>
      <c r="J190" s="466">
        <f t="shared" si="182"/>
        <v>0</v>
      </c>
      <c r="K190" s="466">
        <f t="shared" si="182"/>
        <v>0</v>
      </c>
      <c r="L190" s="466">
        <f t="shared" si="182"/>
        <v>0</v>
      </c>
      <c r="M190" s="466">
        <f t="shared" si="182"/>
        <v>0</v>
      </c>
      <c r="N190" s="466">
        <f t="shared" si="182"/>
        <v>0</v>
      </c>
      <c r="O190" s="466">
        <f t="shared" si="182"/>
        <v>0</v>
      </c>
      <c r="P190" s="466">
        <f t="shared" si="182"/>
        <v>0</v>
      </c>
      <c r="Q190" s="466">
        <f t="shared" si="182"/>
        <v>0</v>
      </c>
      <c r="R190" s="466">
        <f t="shared" si="182"/>
        <v>0</v>
      </c>
      <c r="S190" s="466">
        <f t="shared" si="182"/>
        <v>0</v>
      </c>
      <c r="T190" s="466">
        <f t="shared" si="182"/>
        <v>0</v>
      </c>
      <c r="U190" s="466">
        <f t="shared" si="182"/>
        <v>0</v>
      </c>
      <c r="V190" s="466">
        <f t="shared" si="182"/>
        <v>0</v>
      </c>
      <c r="W190" s="466">
        <f t="shared" si="182"/>
        <v>0</v>
      </c>
      <c r="X190" s="466">
        <f t="shared" si="182"/>
        <v>0</v>
      </c>
      <c r="Y190" s="466">
        <f t="shared" si="182"/>
        <v>0</v>
      </c>
      <c r="Z190" s="466">
        <f t="shared" si="182"/>
        <v>0</v>
      </c>
      <c r="AA190" s="466">
        <f t="shared" si="182"/>
        <v>0</v>
      </c>
      <c r="AB190" s="466">
        <f t="shared" si="182"/>
        <v>0</v>
      </c>
      <c r="AC190" s="466">
        <f t="shared" si="182"/>
        <v>0</v>
      </c>
      <c r="AD190" s="466">
        <f t="shared" si="182"/>
        <v>0</v>
      </c>
      <c r="AE190" s="466">
        <f t="shared" si="182"/>
        <v>0</v>
      </c>
      <c r="AF190" s="466">
        <f t="shared" si="182"/>
        <v>0</v>
      </c>
      <c r="AG190" s="466">
        <f t="shared" si="182"/>
        <v>0</v>
      </c>
      <c r="AH190" s="466">
        <f t="shared" si="182"/>
        <v>0</v>
      </c>
      <c r="AI190" s="466">
        <f t="shared" si="182"/>
        <v>0</v>
      </c>
      <c r="AJ190" s="466">
        <f t="shared" si="182"/>
        <v>0</v>
      </c>
      <c r="AK190" s="466">
        <f t="shared" si="182"/>
        <v>0</v>
      </c>
      <c r="AL190" s="466">
        <f t="shared" si="182"/>
        <v>0</v>
      </c>
      <c r="AM190" s="466">
        <f t="shared" si="182"/>
        <v>0</v>
      </c>
      <c r="AN190" s="466">
        <f t="shared" si="182"/>
        <v>0</v>
      </c>
      <c r="AO190" s="466">
        <f t="shared" si="182"/>
        <v>0</v>
      </c>
      <c r="AP190" s="466">
        <f t="shared" si="182"/>
        <v>0</v>
      </c>
      <c r="AQ190" s="466">
        <f t="shared" si="182"/>
        <v>0</v>
      </c>
      <c r="AR190" s="466">
        <f t="shared" si="182"/>
        <v>0</v>
      </c>
      <c r="AS190" s="466">
        <f t="shared" si="182"/>
        <v>0</v>
      </c>
      <c r="AT190" s="466">
        <f t="shared" si="182"/>
        <v>0</v>
      </c>
      <c r="AU190" s="466">
        <f t="shared" si="182"/>
        <v>0</v>
      </c>
      <c r="AV190" s="466">
        <f t="shared" si="182"/>
        <v>0</v>
      </c>
      <c r="AW190" s="466">
        <f t="shared" si="182"/>
        <v>0</v>
      </c>
      <c r="AX190" s="466">
        <f t="shared" si="182"/>
        <v>0</v>
      </c>
      <c r="AY190" s="466">
        <f t="shared" si="182"/>
        <v>0</v>
      </c>
      <c r="AZ190" s="466">
        <f t="shared" si="182"/>
        <v>0</v>
      </c>
      <c r="BA190" s="466">
        <f t="shared" si="182"/>
        <v>0</v>
      </c>
      <c r="BB190" s="466">
        <f t="shared" si="182"/>
        <v>0</v>
      </c>
      <c r="BC190" s="466">
        <f t="shared" si="182"/>
        <v>0</v>
      </c>
      <c r="BD190" s="466">
        <f t="shared" si="182"/>
        <v>0</v>
      </c>
      <c r="BE190" s="466">
        <f t="shared" si="182"/>
        <v>0</v>
      </c>
      <c r="BF190" s="466">
        <f t="shared" si="182"/>
        <v>0</v>
      </c>
      <c r="BG190" s="466">
        <f t="shared" si="182"/>
        <v>0</v>
      </c>
      <c r="BH190" s="466">
        <f t="shared" si="182"/>
        <v>0</v>
      </c>
      <c r="BI190" s="466">
        <f t="shared" si="182"/>
        <v>0</v>
      </c>
      <c r="BJ190" s="466">
        <f t="shared" si="182"/>
        <v>0</v>
      </c>
      <c r="BK190" s="466">
        <f t="shared" si="182"/>
        <v>0</v>
      </c>
      <c r="BL190" s="466">
        <f t="shared" si="182"/>
        <v>0</v>
      </c>
      <c r="BM190" s="466">
        <f t="shared" si="182"/>
        <v>0</v>
      </c>
      <c r="BN190" s="466">
        <f t="shared" si="182"/>
        <v>536371.61777112889</v>
      </c>
      <c r="BO190" s="466">
        <f t="shared" si="182"/>
        <v>0</v>
      </c>
      <c r="BP190" s="466">
        <f t="shared" si="182"/>
        <v>0</v>
      </c>
      <c r="BQ190" s="466">
        <f t="shared" si="182"/>
        <v>0</v>
      </c>
      <c r="BR190" s="466">
        <f t="shared" ref="BR190:DV190" si="183">-BR187</f>
        <v>0</v>
      </c>
      <c r="BS190" s="466">
        <f t="shared" si="183"/>
        <v>0</v>
      </c>
      <c r="BT190" s="466">
        <f t="shared" si="183"/>
        <v>0</v>
      </c>
      <c r="BU190" s="466">
        <f t="shared" si="183"/>
        <v>0</v>
      </c>
      <c r="BV190" s="466">
        <f t="shared" si="183"/>
        <v>0</v>
      </c>
      <c r="BW190" s="466">
        <f t="shared" si="183"/>
        <v>0</v>
      </c>
      <c r="BX190" s="466">
        <f t="shared" si="183"/>
        <v>0</v>
      </c>
      <c r="BY190" s="466">
        <f t="shared" si="183"/>
        <v>0</v>
      </c>
      <c r="BZ190" s="466">
        <f t="shared" si="183"/>
        <v>0</v>
      </c>
      <c r="CA190" s="466">
        <f t="shared" si="183"/>
        <v>0</v>
      </c>
      <c r="CB190" s="466">
        <f t="shared" si="183"/>
        <v>0</v>
      </c>
      <c r="CC190" s="466">
        <f t="shared" si="183"/>
        <v>0</v>
      </c>
      <c r="CD190" s="466">
        <f t="shared" si="183"/>
        <v>0</v>
      </c>
      <c r="CE190" s="466">
        <f t="shared" si="183"/>
        <v>0</v>
      </c>
      <c r="CF190" s="466">
        <f t="shared" si="183"/>
        <v>0</v>
      </c>
      <c r="CG190" s="466">
        <f t="shared" si="183"/>
        <v>0</v>
      </c>
      <c r="CH190" s="466">
        <f t="shared" si="183"/>
        <v>0</v>
      </c>
      <c r="CI190" s="466">
        <f t="shared" si="183"/>
        <v>0</v>
      </c>
      <c r="CJ190" s="466">
        <f t="shared" si="183"/>
        <v>0</v>
      </c>
      <c r="CK190" s="466">
        <f t="shared" si="183"/>
        <v>0</v>
      </c>
      <c r="CL190" s="466">
        <f t="shared" si="183"/>
        <v>0</v>
      </c>
      <c r="CM190" s="466">
        <f t="shared" si="183"/>
        <v>0</v>
      </c>
      <c r="CN190" s="466">
        <f t="shared" si="183"/>
        <v>0</v>
      </c>
      <c r="CO190" s="466">
        <f t="shared" si="183"/>
        <v>0</v>
      </c>
      <c r="CP190" s="466">
        <f t="shared" si="183"/>
        <v>0</v>
      </c>
      <c r="CQ190" s="466">
        <f t="shared" si="183"/>
        <v>0</v>
      </c>
      <c r="CR190" s="466">
        <f t="shared" si="183"/>
        <v>0</v>
      </c>
      <c r="CS190" s="466">
        <f t="shared" si="183"/>
        <v>0</v>
      </c>
      <c r="CT190" s="466">
        <f t="shared" si="183"/>
        <v>0</v>
      </c>
      <c r="CU190" s="466">
        <f t="shared" si="183"/>
        <v>0</v>
      </c>
      <c r="CV190" s="466">
        <f t="shared" si="183"/>
        <v>0</v>
      </c>
      <c r="CW190" s="466">
        <f t="shared" si="183"/>
        <v>0</v>
      </c>
      <c r="CX190" s="466">
        <f t="shared" si="183"/>
        <v>0</v>
      </c>
      <c r="CY190" s="466">
        <f t="shared" si="183"/>
        <v>0</v>
      </c>
      <c r="CZ190" s="466">
        <f t="shared" si="183"/>
        <v>0</v>
      </c>
      <c r="DA190" s="466">
        <f t="shared" si="183"/>
        <v>0</v>
      </c>
      <c r="DB190" s="466">
        <f t="shared" si="183"/>
        <v>0</v>
      </c>
      <c r="DC190" s="466">
        <f t="shared" si="183"/>
        <v>0</v>
      </c>
      <c r="DD190" s="466">
        <f t="shared" si="183"/>
        <v>0</v>
      </c>
      <c r="DE190" s="466">
        <f t="shared" si="183"/>
        <v>0</v>
      </c>
      <c r="DF190" s="466">
        <f t="shared" si="183"/>
        <v>0</v>
      </c>
      <c r="DG190" s="466">
        <f t="shared" si="183"/>
        <v>0</v>
      </c>
      <c r="DH190" s="466">
        <f t="shared" si="183"/>
        <v>0</v>
      </c>
      <c r="DI190" s="466">
        <f t="shared" si="183"/>
        <v>0</v>
      </c>
      <c r="DJ190" s="466">
        <f t="shared" si="183"/>
        <v>0</v>
      </c>
      <c r="DK190" s="466">
        <f t="shared" si="183"/>
        <v>0</v>
      </c>
      <c r="DL190" s="466">
        <f t="shared" si="183"/>
        <v>0</v>
      </c>
      <c r="DM190" s="466">
        <f t="shared" si="183"/>
        <v>0</v>
      </c>
      <c r="DN190" s="466">
        <f t="shared" si="183"/>
        <v>0</v>
      </c>
      <c r="DO190" s="466">
        <f t="shared" si="183"/>
        <v>0</v>
      </c>
      <c r="DP190" s="466">
        <f t="shared" si="183"/>
        <v>0</v>
      </c>
      <c r="DQ190" s="466">
        <f t="shared" si="183"/>
        <v>0</v>
      </c>
      <c r="DR190" s="466">
        <f t="shared" si="183"/>
        <v>0</v>
      </c>
      <c r="DS190" s="466">
        <f t="shared" si="183"/>
        <v>0</v>
      </c>
      <c r="DT190" s="466">
        <f t="shared" si="183"/>
        <v>0</v>
      </c>
      <c r="DU190" s="466">
        <f t="shared" si="183"/>
        <v>0</v>
      </c>
      <c r="DV190" s="466">
        <f t="shared" si="183"/>
        <v>0</v>
      </c>
      <c r="DW190" s="322" t="s">
        <v>372</v>
      </c>
    </row>
    <row r="191" spans="3:127" hidden="1" outlineLevel="1" x14ac:dyDescent="0.3">
      <c r="C191" s="374" t="str">
        <f>C158</f>
        <v>Granite Park Equity</v>
      </c>
      <c r="D191" s="486">
        <f>1-SUM(D190,D192)</f>
        <v>7.4999999999999956E-2</v>
      </c>
      <c r="E191" s="468">
        <f>SUM(F191:DV191)</f>
        <v>59596.846419014277</v>
      </c>
      <c r="F191" s="468">
        <v>0</v>
      </c>
      <c r="G191" s="468">
        <f t="shared" ref="G191:BR191" si="184">(G190/$D$190)*$D$191</f>
        <v>0</v>
      </c>
      <c r="H191" s="468">
        <f t="shared" si="184"/>
        <v>0</v>
      </c>
      <c r="I191" s="468">
        <f t="shared" si="184"/>
        <v>0</v>
      </c>
      <c r="J191" s="468">
        <f t="shared" si="184"/>
        <v>0</v>
      </c>
      <c r="K191" s="468">
        <f t="shared" si="184"/>
        <v>0</v>
      </c>
      <c r="L191" s="468">
        <f t="shared" si="184"/>
        <v>0</v>
      </c>
      <c r="M191" s="468">
        <f t="shared" si="184"/>
        <v>0</v>
      </c>
      <c r="N191" s="468">
        <f t="shared" si="184"/>
        <v>0</v>
      </c>
      <c r="O191" s="468">
        <f t="shared" si="184"/>
        <v>0</v>
      </c>
      <c r="P191" s="468">
        <f t="shared" si="184"/>
        <v>0</v>
      </c>
      <c r="Q191" s="468">
        <f t="shared" si="184"/>
        <v>0</v>
      </c>
      <c r="R191" s="468">
        <f t="shared" si="184"/>
        <v>0</v>
      </c>
      <c r="S191" s="468">
        <f t="shared" si="184"/>
        <v>0</v>
      </c>
      <c r="T191" s="468">
        <f t="shared" si="184"/>
        <v>0</v>
      </c>
      <c r="U191" s="468">
        <f t="shared" si="184"/>
        <v>0</v>
      </c>
      <c r="V191" s="468">
        <f t="shared" si="184"/>
        <v>0</v>
      </c>
      <c r="W191" s="468">
        <f t="shared" si="184"/>
        <v>0</v>
      </c>
      <c r="X191" s="468">
        <f t="shared" si="184"/>
        <v>0</v>
      </c>
      <c r="Y191" s="468">
        <f t="shared" si="184"/>
        <v>0</v>
      </c>
      <c r="Z191" s="468">
        <f t="shared" si="184"/>
        <v>0</v>
      </c>
      <c r="AA191" s="468">
        <f t="shared" si="184"/>
        <v>0</v>
      </c>
      <c r="AB191" s="468">
        <f t="shared" si="184"/>
        <v>0</v>
      </c>
      <c r="AC191" s="468">
        <f t="shared" si="184"/>
        <v>0</v>
      </c>
      <c r="AD191" s="468">
        <f t="shared" si="184"/>
        <v>0</v>
      </c>
      <c r="AE191" s="468">
        <f t="shared" si="184"/>
        <v>0</v>
      </c>
      <c r="AF191" s="468">
        <f t="shared" si="184"/>
        <v>0</v>
      </c>
      <c r="AG191" s="468">
        <f t="shared" si="184"/>
        <v>0</v>
      </c>
      <c r="AH191" s="468">
        <f t="shared" si="184"/>
        <v>0</v>
      </c>
      <c r="AI191" s="468">
        <f t="shared" si="184"/>
        <v>0</v>
      </c>
      <c r="AJ191" s="468">
        <f t="shared" si="184"/>
        <v>0</v>
      </c>
      <c r="AK191" s="468">
        <f t="shared" si="184"/>
        <v>0</v>
      </c>
      <c r="AL191" s="468">
        <f t="shared" si="184"/>
        <v>0</v>
      </c>
      <c r="AM191" s="468">
        <f t="shared" si="184"/>
        <v>0</v>
      </c>
      <c r="AN191" s="468">
        <f t="shared" si="184"/>
        <v>0</v>
      </c>
      <c r="AO191" s="468">
        <f t="shared" si="184"/>
        <v>0</v>
      </c>
      <c r="AP191" s="468">
        <f t="shared" si="184"/>
        <v>0</v>
      </c>
      <c r="AQ191" s="468">
        <f t="shared" si="184"/>
        <v>0</v>
      </c>
      <c r="AR191" s="468">
        <f t="shared" si="184"/>
        <v>0</v>
      </c>
      <c r="AS191" s="468">
        <f t="shared" si="184"/>
        <v>0</v>
      </c>
      <c r="AT191" s="468">
        <f t="shared" si="184"/>
        <v>0</v>
      </c>
      <c r="AU191" s="468">
        <f t="shared" si="184"/>
        <v>0</v>
      </c>
      <c r="AV191" s="468">
        <f t="shared" si="184"/>
        <v>0</v>
      </c>
      <c r="AW191" s="468">
        <f t="shared" si="184"/>
        <v>0</v>
      </c>
      <c r="AX191" s="468">
        <f t="shared" si="184"/>
        <v>0</v>
      </c>
      <c r="AY191" s="468">
        <f t="shared" si="184"/>
        <v>0</v>
      </c>
      <c r="AZ191" s="468">
        <f t="shared" si="184"/>
        <v>0</v>
      </c>
      <c r="BA191" s="468">
        <f t="shared" si="184"/>
        <v>0</v>
      </c>
      <c r="BB191" s="468">
        <f t="shared" si="184"/>
        <v>0</v>
      </c>
      <c r="BC191" s="468">
        <f t="shared" si="184"/>
        <v>0</v>
      </c>
      <c r="BD191" s="468">
        <f t="shared" si="184"/>
        <v>0</v>
      </c>
      <c r="BE191" s="468">
        <f t="shared" si="184"/>
        <v>0</v>
      </c>
      <c r="BF191" s="468">
        <f t="shared" si="184"/>
        <v>0</v>
      </c>
      <c r="BG191" s="468">
        <f t="shared" si="184"/>
        <v>0</v>
      </c>
      <c r="BH191" s="468">
        <f t="shared" si="184"/>
        <v>0</v>
      </c>
      <c r="BI191" s="468">
        <f t="shared" si="184"/>
        <v>0</v>
      </c>
      <c r="BJ191" s="468">
        <f t="shared" si="184"/>
        <v>0</v>
      </c>
      <c r="BK191" s="468">
        <f t="shared" si="184"/>
        <v>0</v>
      </c>
      <c r="BL191" s="468">
        <f t="shared" si="184"/>
        <v>0</v>
      </c>
      <c r="BM191" s="468">
        <f t="shared" si="184"/>
        <v>0</v>
      </c>
      <c r="BN191" s="468">
        <f t="shared" si="184"/>
        <v>59596.846419014277</v>
      </c>
      <c r="BO191" s="468">
        <f t="shared" si="184"/>
        <v>0</v>
      </c>
      <c r="BP191" s="468">
        <f t="shared" si="184"/>
        <v>0</v>
      </c>
      <c r="BQ191" s="468">
        <f t="shared" si="184"/>
        <v>0</v>
      </c>
      <c r="BR191" s="468">
        <f t="shared" si="184"/>
        <v>0</v>
      </c>
      <c r="BS191" s="468">
        <f t="shared" ref="BS191:DV191" si="185">(BS190/$D$190)*$D$191</f>
        <v>0</v>
      </c>
      <c r="BT191" s="468">
        <f t="shared" si="185"/>
        <v>0</v>
      </c>
      <c r="BU191" s="468">
        <f t="shared" si="185"/>
        <v>0</v>
      </c>
      <c r="BV191" s="468">
        <f t="shared" si="185"/>
        <v>0</v>
      </c>
      <c r="BW191" s="468">
        <f t="shared" si="185"/>
        <v>0</v>
      </c>
      <c r="BX191" s="468">
        <f t="shared" si="185"/>
        <v>0</v>
      </c>
      <c r="BY191" s="468">
        <f t="shared" si="185"/>
        <v>0</v>
      </c>
      <c r="BZ191" s="468">
        <f t="shared" si="185"/>
        <v>0</v>
      </c>
      <c r="CA191" s="468">
        <f t="shared" si="185"/>
        <v>0</v>
      </c>
      <c r="CB191" s="468">
        <f t="shared" si="185"/>
        <v>0</v>
      </c>
      <c r="CC191" s="468">
        <f t="shared" si="185"/>
        <v>0</v>
      </c>
      <c r="CD191" s="468">
        <f t="shared" si="185"/>
        <v>0</v>
      </c>
      <c r="CE191" s="468">
        <f t="shared" si="185"/>
        <v>0</v>
      </c>
      <c r="CF191" s="468">
        <f t="shared" si="185"/>
        <v>0</v>
      </c>
      <c r="CG191" s="468">
        <f t="shared" si="185"/>
        <v>0</v>
      </c>
      <c r="CH191" s="468">
        <f t="shared" si="185"/>
        <v>0</v>
      </c>
      <c r="CI191" s="468">
        <f t="shared" si="185"/>
        <v>0</v>
      </c>
      <c r="CJ191" s="468">
        <f t="shared" si="185"/>
        <v>0</v>
      </c>
      <c r="CK191" s="468">
        <f t="shared" si="185"/>
        <v>0</v>
      </c>
      <c r="CL191" s="468">
        <f t="shared" si="185"/>
        <v>0</v>
      </c>
      <c r="CM191" s="468">
        <f t="shared" si="185"/>
        <v>0</v>
      </c>
      <c r="CN191" s="468">
        <f t="shared" si="185"/>
        <v>0</v>
      </c>
      <c r="CO191" s="468">
        <f t="shared" si="185"/>
        <v>0</v>
      </c>
      <c r="CP191" s="468">
        <f t="shared" si="185"/>
        <v>0</v>
      </c>
      <c r="CQ191" s="468">
        <f t="shared" si="185"/>
        <v>0</v>
      </c>
      <c r="CR191" s="468">
        <f t="shared" si="185"/>
        <v>0</v>
      </c>
      <c r="CS191" s="468">
        <f t="shared" si="185"/>
        <v>0</v>
      </c>
      <c r="CT191" s="468">
        <f t="shared" si="185"/>
        <v>0</v>
      </c>
      <c r="CU191" s="468">
        <f t="shared" si="185"/>
        <v>0</v>
      </c>
      <c r="CV191" s="468">
        <f t="shared" si="185"/>
        <v>0</v>
      </c>
      <c r="CW191" s="468">
        <f t="shared" si="185"/>
        <v>0</v>
      </c>
      <c r="CX191" s="468">
        <f t="shared" si="185"/>
        <v>0</v>
      </c>
      <c r="CY191" s="468">
        <f t="shared" si="185"/>
        <v>0</v>
      </c>
      <c r="CZ191" s="468">
        <f t="shared" si="185"/>
        <v>0</v>
      </c>
      <c r="DA191" s="468">
        <f t="shared" si="185"/>
        <v>0</v>
      </c>
      <c r="DB191" s="468">
        <f t="shared" si="185"/>
        <v>0</v>
      </c>
      <c r="DC191" s="468">
        <f t="shared" si="185"/>
        <v>0</v>
      </c>
      <c r="DD191" s="468">
        <f t="shared" si="185"/>
        <v>0</v>
      </c>
      <c r="DE191" s="468">
        <f t="shared" si="185"/>
        <v>0</v>
      </c>
      <c r="DF191" s="468">
        <f t="shared" si="185"/>
        <v>0</v>
      </c>
      <c r="DG191" s="468">
        <f t="shared" si="185"/>
        <v>0</v>
      </c>
      <c r="DH191" s="468">
        <f t="shared" si="185"/>
        <v>0</v>
      </c>
      <c r="DI191" s="468">
        <f t="shared" si="185"/>
        <v>0</v>
      </c>
      <c r="DJ191" s="468">
        <f t="shared" si="185"/>
        <v>0</v>
      </c>
      <c r="DK191" s="468">
        <f t="shared" si="185"/>
        <v>0</v>
      </c>
      <c r="DL191" s="468">
        <f t="shared" si="185"/>
        <v>0</v>
      </c>
      <c r="DM191" s="468">
        <f t="shared" si="185"/>
        <v>0</v>
      </c>
      <c r="DN191" s="468">
        <f t="shared" si="185"/>
        <v>0</v>
      </c>
      <c r="DO191" s="468">
        <f t="shared" si="185"/>
        <v>0</v>
      </c>
      <c r="DP191" s="468">
        <f t="shared" si="185"/>
        <v>0</v>
      </c>
      <c r="DQ191" s="468">
        <f t="shared" si="185"/>
        <v>0</v>
      </c>
      <c r="DR191" s="468">
        <f t="shared" si="185"/>
        <v>0</v>
      </c>
      <c r="DS191" s="468">
        <f t="shared" si="185"/>
        <v>0</v>
      </c>
      <c r="DT191" s="468">
        <f t="shared" si="185"/>
        <v>0</v>
      </c>
      <c r="DU191" s="468">
        <f t="shared" si="185"/>
        <v>0</v>
      </c>
      <c r="DV191" s="468">
        <f t="shared" si="185"/>
        <v>0</v>
      </c>
      <c r="DW191" s="322" t="s">
        <v>372</v>
      </c>
    </row>
    <row r="192" spans="3:127" hidden="1" outlineLevel="1" x14ac:dyDescent="0.3">
      <c r="C192" s="374" t="str">
        <f>C159</f>
        <v>Granite Park Promote</v>
      </c>
      <c r="D192" s="486">
        <f>G40</f>
        <v>0.25</v>
      </c>
      <c r="E192" s="468">
        <f>SUM(F192:DV192)</f>
        <v>198656.15473004771</v>
      </c>
      <c r="F192" s="468">
        <v>0</v>
      </c>
      <c r="G192" s="468">
        <f t="shared" ref="G192:BR192" si="186">(G190/$D$190)*$D$192</f>
        <v>0</v>
      </c>
      <c r="H192" s="468">
        <f t="shared" si="186"/>
        <v>0</v>
      </c>
      <c r="I192" s="468">
        <f t="shared" si="186"/>
        <v>0</v>
      </c>
      <c r="J192" s="468">
        <f t="shared" si="186"/>
        <v>0</v>
      </c>
      <c r="K192" s="468">
        <f t="shared" si="186"/>
        <v>0</v>
      </c>
      <c r="L192" s="468">
        <f t="shared" si="186"/>
        <v>0</v>
      </c>
      <c r="M192" s="468">
        <f t="shared" si="186"/>
        <v>0</v>
      </c>
      <c r="N192" s="468">
        <f t="shared" si="186"/>
        <v>0</v>
      </c>
      <c r="O192" s="468">
        <f t="shared" si="186"/>
        <v>0</v>
      </c>
      <c r="P192" s="468">
        <f t="shared" si="186"/>
        <v>0</v>
      </c>
      <c r="Q192" s="468">
        <f t="shared" si="186"/>
        <v>0</v>
      </c>
      <c r="R192" s="468">
        <f t="shared" si="186"/>
        <v>0</v>
      </c>
      <c r="S192" s="468">
        <f t="shared" si="186"/>
        <v>0</v>
      </c>
      <c r="T192" s="468">
        <f t="shared" si="186"/>
        <v>0</v>
      </c>
      <c r="U192" s="468">
        <f t="shared" si="186"/>
        <v>0</v>
      </c>
      <c r="V192" s="468">
        <f t="shared" si="186"/>
        <v>0</v>
      </c>
      <c r="W192" s="468">
        <f t="shared" si="186"/>
        <v>0</v>
      </c>
      <c r="X192" s="468">
        <f t="shared" si="186"/>
        <v>0</v>
      </c>
      <c r="Y192" s="468">
        <f t="shared" si="186"/>
        <v>0</v>
      </c>
      <c r="Z192" s="468">
        <f t="shared" si="186"/>
        <v>0</v>
      </c>
      <c r="AA192" s="468">
        <f t="shared" si="186"/>
        <v>0</v>
      </c>
      <c r="AB192" s="468">
        <f t="shared" si="186"/>
        <v>0</v>
      </c>
      <c r="AC192" s="468">
        <f t="shared" si="186"/>
        <v>0</v>
      </c>
      <c r="AD192" s="468">
        <f t="shared" si="186"/>
        <v>0</v>
      </c>
      <c r="AE192" s="468">
        <f t="shared" si="186"/>
        <v>0</v>
      </c>
      <c r="AF192" s="468">
        <f t="shared" si="186"/>
        <v>0</v>
      </c>
      <c r="AG192" s="468">
        <f t="shared" si="186"/>
        <v>0</v>
      </c>
      <c r="AH192" s="468">
        <f t="shared" si="186"/>
        <v>0</v>
      </c>
      <c r="AI192" s="468">
        <f t="shared" si="186"/>
        <v>0</v>
      </c>
      <c r="AJ192" s="468">
        <f t="shared" si="186"/>
        <v>0</v>
      </c>
      <c r="AK192" s="468">
        <f t="shared" si="186"/>
        <v>0</v>
      </c>
      <c r="AL192" s="468">
        <f t="shared" si="186"/>
        <v>0</v>
      </c>
      <c r="AM192" s="468">
        <f t="shared" si="186"/>
        <v>0</v>
      </c>
      <c r="AN192" s="468">
        <f t="shared" si="186"/>
        <v>0</v>
      </c>
      <c r="AO192" s="468">
        <f t="shared" si="186"/>
        <v>0</v>
      </c>
      <c r="AP192" s="468">
        <f t="shared" si="186"/>
        <v>0</v>
      </c>
      <c r="AQ192" s="468">
        <f t="shared" si="186"/>
        <v>0</v>
      </c>
      <c r="AR192" s="468">
        <f t="shared" si="186"/>
        <v>0</v>
      </c>
      <c r="AS192" s="468">
        <f t="shared" si="186"/>
        <v>0</v>
      </c>
      <c r="AT192" s="468">
        <f t="shared" si="186"/>
        <v>0</v>
      </c>
      <c r="AU192" s="468">
        <f t="shared" si="186"/>
        <v>0</v>
      </c>
      <c r="AV192" s="468">
        <f t="shared" si="186"/>
        <v>0</v>
      </c>
      <c r="AW192" s="468">
        <f t="shared" si="186"/>
        <v>0</v>
      </c>
      <c r="AX192" s="468">
        <f t="shared" si="186"/>
        <v>0</v>
      </c>
      <c r="AY192" s="468">
        <f t="shared" si="186"/>
        <v>0</v>
      </c>
      <c r="AZ192" s="468">
        <f t="shared" si="186"/>
        <v>0</v>
      </c>
      <c r="BA192" s="468">
        <f t="shared" si="186"/>
        <v>0</v>
      </c>
      <c r="BB192" s="468">
        <f t="shared" si="186"/>
        <v>0</v>
      </c>
      <c r="BC192" s="468">
        <f t="shared" si="186"/>
        <v>0</v>
      </c>
      <c r="BD192" s="468">
        <f t="shared" si="186"/>
        <v>0</v>
      </c>
      <c r="BE192" s="468">
        <f t="shared" si="186"/>
        <v>0</v>
      </c>
      <c r="BF192" s="468">
        <f t="shared" si="186"/>
        <v>0</v>
      </c>
      <c r="BG192" s="468">
        <f t="shared" si="186"/>
        <v>0</v>
      </c>
      <c r="BH192" s="468">
        <f t="shared" si="186"/>
        <v>0</v>
      </c>
      <c r="BI192" s="468">
        <f t="shared" si="186"/>
        <v>0</v>
      </c>
      <c r="BJ192" s="468">
        <f t="shared" si="186"/>
        <v>0</v>
      </c>
      <c r="BK192" s="468">
        <f t="shared" si="186"/>
        <v>0</v>
      </c>
      <c r="BL192" s="468">
        <f t="shared" si="186"/>
        <v>0</v>
      </c>
      <c r="BM192" s="468">
        <f t="shared" si="186"/>
        <v>0</v>
      </c>
      <c r="BN192" s="468">
        <f t="shared" si="186"/>
        <v>198656.15473004771</v>
      </c>
      <c r="BO192" s="468">
        <f t="shared" si="186"/>
        <v>0</v>
      </c>
      <c r="BP192" s="468">
        <f t="shared" si="186"/>
        <v>0</v>
      </c>
      <c r="BQ192" s="468">
        <f t="shared" si="186"/>
        <v>0</v>
      </c>
      <c r="BR192" s="468">
        <f t="shared" si="186"/>
        <v>0</v>
      </c>
      <c r="BS192" s="468">
        <f t="shared" ref="BS192:DV192" si="187">(BS190/$D$190)*$D$192</f>
        <v>0</v>
      </c>
      <c r="BT192" s="468">
        <f t="shared" si="187"/>
        <v>0</v>
      </c>
      <c r="BU192" s="468">
        <f t="shared" si="187"/>
        <v>0</v>
      </c>
      <c r="BV192" s="468">
        <f t="shared" si="187"/>
        <v>0</v>
      </c>
      <c r="BW192" s="468">
        <f t="shared" si="187"/>
        <v>0</v>
      </c>
      <c r="BX192" s="468">
        <f t="shared" si="187"/>
        <v>0</v>
      </c>
      <c r="BY192" s="468">
        <f t="shared" si="187"/>
        <v>0</v>
      </c>
      <c r="BZ192" s="468">
        <f t="shared" si="187"/>
        <v>0</v>
      </c>
      <c r="CA192" s="468">
        <f t="shared" si="187"/>
        <v>0</v>
      </c>
      <c r="CB192" s="468">
        <f t="shared" si="187"/>
        <v>0</v>
      </c>
      <c r="CC192" s="468">
        <f t="shared" si="187"/>
        <v>0</v>
      </c>
      <c r="CD192" s="468">
        <f t="shared" si="187"/>
        <v>0</v>
      </c>
      <c r="CE192" s="468">
        <f t="shared" si="187"/>
        <v>0</v>
      </c>
      <c r="CF192" s="468">
        <f t="shared" si="187"/>
        <v>0</v>
      </c>
      <c r="CG192" s="468">
        <f t="shared" si="187"/>
        <v>0</v>
      </c>
      <c r="CH192" s="468">
        <f t="shared" si="187"/>
        <v>0</v>
      </c>
      <c r="CI192" s="468">
        <f t="shared" si="187"/>
        <v>0</v>
      </c>
      <c r="CJ192" s="468">
        <f t="shared" si="187"/>
        <v>0</v>
      </c>
      <c r="CK192" s="468">
        <f t="shared" si="187"/>
        <v>0</v>
      </c>
      <c r="CL192" s="468">
        <f t="shared" si="187"/>
        <v>0</v>
      </c>
      <c r="CM192" s="468">
        <f t="shared" si="187"/>
        <v>0</v>
      </c>
      <c r="CN192" s="468">
        <f t="shared" si="187"/>
        <v>0</v>
      </c>
      <c r="CO192" s="468">
        <f t="shared" si="187"/>
        <v>0</v>
      </c>
      <c r="CP192" s="468">
        <f t="shared" si="187"/>
        <v>0</v>
      </c>
      <c r="CQ192" s="468">
        <f t="shared" si="187"/>
        <v>0</v>
      </c>
      <c r="CR192" s="468">
        <f t="shared" si="187"/>
        <v>0</v>
      </c>
      <c r="CS192" s="468">
        <f t="shared" si="187"/>
        <v>0</v>
      </c>
      <c r="CT192" s="468">
        <f t="shared" si="187"/>
        <v>0</v>
      </c>
      <c r="CU192" s="468">
        <f t="shared" si="187"/>
        <v>0</v>
      </c>
      <c r="CV192" s="468">
        <f t="shared" si="187"/>
        <v>0</v>
      </c>
      <c r="CW192" s="468">
        <f t="shared" si="187"/>
        <v>0</v>
      </c>
      <c r="CX192" s="468">
        <f t="shared" si="187"/>
        <v>0</v>
      </c>
      <c r="CY192" s="468">
        <f t="shared" si="187"/>
        <v>0</v>
      </c>
      <c r="CZ192" s="468">
        <f t="shared" si="187"/>
        <v>0</v>
      </c>
      <c r="DA192" s="468">
        <f t="shared" si="187"/>
        <v>0</v>
      </c>
      <c r="DB192" s="468">
        <f t="shared" si="187"/>
        <v>0</v>
      </c>
      <c r="DC192" s="468">
        <f t="shared" si="187"/>
        <v>0</v>
      </c>
      <c r="DD192" s="468">
        <f t="shared" si="187"/>
        <v>0</v>
      </c>
      <c r="DE192" s="468">
        <f t="shared" si="187"/>
        <v>0</v>
      </c>
      <c r="DF192" s="468">
        <f t="shared" si="187"/>
        <v>0</v>
      </c>
      <c r="DG192" s="468">
        <f t="shared" si="187"/>
        <v>0</v>
      </c>
      <c r="DH192" s="468">
        <f t="shared" si="187"/>
        <v>0</v>
      </c>
      <c r="DI192" s="468">
        <f t="shared" si="187"/>
        <v>0</v>
      </c>
      <c r="DJ192" s="468">
        <f t="shared" si="187"/>
        <v>0</v>
      </c>
      <c r="DK192" s="468">
        <f t="shared" si="187"/>
        <v>0</v>
      </c>
      <c r="DL192" s="468">
        <f t="shared" si="187"/>
        <v>0</v>
      </c>
      <c r="DM192" s="468">
        <f t="shared" si="187"/>
        <v>0</v>
      </c>
      <c r="DN192" s="468">
        <f t="shared" si="187"/>
        <v>0</v>
      </c>
      <c r="DO192" s="468">
        <f t="shared" si="187"/>
        <v>0</v>
      </c>
      <c r="DP192" s="468">
        <f t="shared" si="187"/>
        <v>0</v>
      </c>
      <c r="DQ192" s="468">
        <f t="shared" si="187"/>
        <v>0</v>
      </c>
      <c r="DR192" s="468">
        <f t="shared" si="187"/>
        <v>0</v>
      </c>
      <c r="DS192" s="468">
        <f t="shared" si="187"/>
        <v>0</v>
      </c>
      <c r="DT192" s="468">
        <f t="shared" si="187"/>
        <v>0</v>
      </c>
      <c r="DU192" s="468">
        <f t="shared" si="187"/>
        <v>0</v>
      </c>
      <c r="DV192" s="468">
        <f t="shared" si="187"/>
        <v>0</v>
      </c>
      <c r="DW192" s="322" t="s">
        <v>372</v>
      </c>
    </row>
    <row r="193" spans="3:127" ht="17.25" hidden="1" outlineLevel="1" thickBot="1" x14ac:dyDescent="0.35">
      <c r="C193" s="365" t="s">
        <v>406</v>
      </c>
      <c r="D193" s="486"/>
      <c r="E193" s="415">
        <f>SUM(E190:E192)</f>
        <v>794624.61892019084</v>
      </c>
      <c r="F193" s="415"/>
      <c r="G193" s="415">
        <f t="shared" ref="G193:BR193" si="188">SUM(G190:G192)</f>
        <v>0</v>
      </c>
      <c r="H193" s="415">
        <f t="shared" si="188"/>
        <v>0</v>
      </c>
      <c r="I193" s="415">
        <f t="shared" si="188"/>
        <v>0</v>
      </c>
      <c r="J193" s="415">
        <f t="shared" si="188"/>
        <v>0</v>
      </c>
      <c r="K193" s="415">
        <f t="shared" si="188"/>
        <v>0</v>
      </c>
      <c r="L193" s="415">
        <f t="shared" si="188"/>
        <v>0</v>
      </c>
      <c r="M193" s="415">
        <f t="shared" si="188"/>
        <v>0</v>
      </c>
      <c r="N193" s="415">
        <f t="shared" si="188"/>
        <v>0</v>
      </c>
      <c r="O193" s="415">
        <f t="shared" si="188"/>
        <v>0</v>
      </c>
      <c r="P193" s="415">
        <f t="shared" si="188"/>
        <v>0</v>
      </c>
      <c r="Q193" s="415">
        <f t="shared" si="188"/>
        <v>0</v>
      </c>
      <c r="R193" s="415">
        <f t="shared" si="188"/>
        <v>0</v>
      </c>
      <c r="S193" s="415">
        <f t="shared" si="188"/>
        <v>0</v>
      </c>
      <c r="T193" s="415">
        <f t="shared" si="188"/>
        <v>0</v>
      </c>
      <c r="U193" s="415">
        <f t="shared" si="188"/>
        <v>0</v>
      </c>
      <c r="V193" s="415">
        <f t="shared" si="188"/>
        <v>0</v>
      </c>
      <c r="W193" s="415">
        <f t="shared" si="188"/>
        <v>0</v>
      </c>
      <c r="X193" s="415">
        <f t="shared" si="188"/>
        <v>0</v>
      </c>
      <c r="Y193" s="415">
        <f t="shared" si="188"/>
        <v>0</v>
      </c>
      <c r="Z193" s="415">
        <f t="shared" si="188"/>
        <v>0</v>
      </c>
      <c r="AA193" s="415">
        <f t="shared" si="188"/>
        <v>0</v>
      </c>
      <c r="AB193" s="415">
        <f t="shared" si="188"/>
        <v>0</v>
      </c>
      <c r="AC193" s="415">
        <f t="shared" si="188"/>
        <v>0</v>
      </c>
      <c r="AD193" s="415">
        <f t="shared" si="188"/>
        <v>0</v>
      </c>
      <c r="AE193" s="415">
        <f t="shared" si="188"/>
        <v>0</v>
      </c>
      <c r="AF193" s="415">
        <f t="shared" si="188"/>
        <v>0</v>
      </c>
      <c r="AG193" s="415">
        <f t="shared" si="188"/>
        <v>0</v>
      </c>
      <c r="AH193" s="415">
        <f t="shared" si="188"/>
        <v>0</v>
      </c>
      <c r="AI193" s="415">
        <f t="shared" si="188"/>
        <v>0</v>
      </c>
      <c r="AJ193" s="415">
        <f t="shared" si="188"/>
        <v>0</v>
      </c>
      <c r="AK193" s="415">
        <f t="shared" si="188"/>
        <v>0</v>
      </c>
      <c r="AL193" s="415">
        <f t="shared" si="188"/>
        <v>0</v>
      </c>
      <c r="AM193" s="415">
        <f t="shared" si="188"/>
        <v>0</v>
      </c>
      <c r="AN193" s="415">
        <f t="shared" si="188"/>
        <v>0</v>
      </c>
      <c r="AO193" s="415">
        <f t="shared" si="188"/>
        <v>0</v>
      </c>
      <c r="AP193" s="415">
        <f t="shared" si="188"/>
        <v>0</v>
      </c>
      <c r="AQ193" s="415">
        <f t="shared" si="188"/>
        <v>0</v>
      </c>
      <c r="AR193" s="415">
        <f t="shared" si="188"/>
        <v>0</v>
      </c>
      <c r="AS193" s="415">
        <f t="shared" si="188"/>
        <v>0</v>
      </c>
      <c r="AT193" s="415">
        <f t="shared" si="188"/>
        <v>0</v>
      </c>
      <c r="AU193" s="415">
        <f t="shared" si="188"/>
        <v>0</v>
      </c>
      <c r="AV193" s="415">
        <f t="shared" si="188"/>
        <v>0</v>
      </c>
      <c r="AW193" s="415">
        <f t="shared" si="188"/>
        <v>0</v>
      </c>
      <c r="AX193" s="415">
        <f t="shared" si="188"/>
        <v>0</v>
      </c>
      <c r="AY193" s="415">
        <f t="shared" si="188"/>
        <v>0</v>
      </c>
      <c r="AZ193" s="415">
        <f t="shared" si="188"/>
        <v>0</v>
      </c>
      <c r="BA193" s="415">
        <f t="shared" si="188"/>
        <v>0</v>
      </c>
      <c r="BB193" s="415">
        <f t="shared" si="188"/>
        <v>0</v>
      </c>
      <c r="BC193" s="415">
        <f t="shared" si="188"/>
        <v>0</v>
      </c>
      <c r="BD193" s="415">
        <f t="shared" si="188"/>
        <v>0</v>
      </c>
      <c r="BE193" s="415">
        <f t="shared" si="188"/>
        <v>0</v>
      </c>
      <c r="BF193" s="415">
        <f t="shared" si="188"/>
        <v>0</v>
      </c>
      <c r="BG193" s="415">
        <f t="shared" si="188"/>
        <v>0</v>
      </c>
      <c r="BH193" s="415">
        <f t="shared" si="188"/>
        <v>0</v>
      </c>
      <c r="BI193" s="415">
        <f t="shared" si="188"/>
        <v>0</v>
      </c>
      <c r="BJ193" s="415">
        <f t="shared" si="188"/>
        <v>0</v>
      </c>
      <c r="BK193" s="415">
        <f t="shared" si="188"/>
        <v>0</v>
      </c>
      <c r="BL193" s="415">
        <f t="shared" si="188"/>
        <v>0</v>
      </c>
      <c r="BM193" s="415">
        <f t="shared" si="188"/>
        <v>0</v>
      </c>
      <c r="BN193" s="415">
        <f t="shared" si="188"/>
        <v>794624.61892019084</v>
      </c>
      <c r="BO193" s="415">
        <f t="shared" si="188"/>
        <v>0</v>
      </c>
      <c r="BP193" s="415">
        <f t="shared" si="188"/>
        <v>0</v>
      </c>
      <c r="BQ193" s="415">
        <f t="shared" si="188"/>
        <v>0</v>
      </c>
      <c r="BR193" s="415">
        <f t="shared" si="188"/>
        <v>0</v>
      </c>
      <c r="BS193" s="415">
        <f t="shared" ref="BS193:DV193" si="189">SUM(BS190:BS192)</f>
        <v>0</v>
      </c>
      <c r="BT193" s="415">
        <f t="shared" si="189"/>
        <v>0</v>
      </c>
      <c r="BU193" s="415">
        <f t="shared" si="189"/>
        <v>0</v>
      </c>
      <c r="BV193" s="415">
        <f t="shared" si="189"/>
        <v>0</v>
      </c>
      <c r="BW193" s="415">
        <f t="shared" si="189"/>
        <v>0</v>
      </c>
      <c r="BX193" s="415">
        <f t="shared" si="189"/>
        <v>0</v>
      </c>
      <c r="BY193" s="415">
        <f t="shared" si="189"/>
        <v>0</v>
      </c>
      <c r="BZ193" s="415">
        <f t="shared" si="189"/>
        <v>0</v>
      </c>
      <c r="CA193" s="415">
        <f t="shared" si="189"/>
        <v>0</v>
      </c>
      <c r="CB193" s="415">
        <f t="shared" si="189"/>
        <v>0</v>
      </c>
      <c r="CC193" s="415">
        <f t="shared" si="189"/>
        <v>0</v>
      </c>
      <c r="CD193" s="415">
        <f t="shared" si="189"/>
        <v>0</v>
      </c>
      <c r="CE193" s="415">
        <f t="shared" si="189"/>
        <v>0</v>
      </c>
      <c r="CF193" s="415">
        <f t="shared" si="189"/>
        <v>0</v>
      </c>
      <c r="CG193" s="415">
        <f t="shared" si="189"/>
        <v>0</v>
      </c>
      <c r="CH193" s="415">
        <f t="shared" si="189"/>
        <v>0</v>
      </c>
      <c r="CI193" s="415">
        <f t="shared" si="189"/>
        <v>0</v>
      </c>
      <c r="CJ193" s="415">
        <f t="shared" si="189"/>
        <v>0</v>
      </c>
      <c r="CK193" s="415">
        <f t="shared" si="189"/>
        <v>0</v>
      </c>
      <c r="CL193" s="415">
        <f t="shared" si="189"/>
        <v>0</v>
      </c>
      <c r="CM193" s="415">
        <f t="shared" si="189"/>
        <v>0</v>
      </c>
      <c r="CN193" s="415">
        <f t="shared" si="189"/>
        <v>0</v>
      </c>
      <c r="CO193" s="415">
        <f t="shared" si="189"/>
        <v>0</v>
      </c>
      <c r="CP193" s="415">
        <f t="shared" si="189"/>
        <v>0</v>
      </c>
      <c r="CQ193" s="415">
        <f t="shared" si="189"/>
        <v>0</v>
      </c>
      <c r="CR193" s="415">
        <f t="shared" si="189"/>
        <v>0</v>
      </c>
      <c r="CS193" s="415">
        <f t="shared" si="189"/>
        <v>0</v>
      </c>
      <c r="CT193" s="415">
        <f t="shared" si="189"/>
        <v>0</v>
      </c>
      <c r="CU193" s="415">
        <f t="shared" si="189"/>
        <v>0</v>
      </c>
      <c r="CV193" s="415">
        <f t="shared" si="189"/>
        <v>0</v>
      </c>
      <c r="CW193" s="415">
        <f t="shared" si="189"/>
        <v>0</v>
      </c>
      <c r="CX193" s="415">
        <f t="shared" si="189"/>
        <v>0</v>
      </c>
      <c r="CY193" s="415">
        <f t="shared" si="189"/>
        <v>0</v>
      </c>
      <c r="CZ193" s="415">
        <f t="shared" si="189"/>
        <v>0</v>
      </c>
      <c r="DA193" s="415">
        <f t="shared" si="189"/>
        <v>0</v>
      </c>
      <c r="DB193" s="415">
        <f t="shared" si="189"/>
        <v>0</v>
      </c>
      <c r="DC193" s="415">
        <f t="shared" si="189"/>
        <v>0</v>
      </c>
      <c r="DD193" s="415">
        <f t="shared" si="189"/>
        <v>0</v>
      </c>
      <c r="DE193" s="415">
        <f t="shared" si="189"/>
        <v>0</v>
      </c>
      <c r="DF193" s="415">
        <f t="shared" si="189"/>
        <v>0</v>
      </c>
      <c r="DG193" s="415">
        <f t="shared" si="189"/>
        <v>0</v>
      </c>
      <c r="DH193" s="415">
        <f t="shared" si="189"/>
        <v>0</v>
      </c>
      <c r="DI193" s="415">
        <f t="shared" si="189"/>
        <v>0</v>
      </c>
      <c r="DJ193" s="415">
        <f t="shared" si="189"/>
        <v>0</v>
      </c>
      <c r="DK193" s="415">
        <f t="shared" si="189"/>
        <v>0</v>
      </c>
      <c r="DL193" s="415">
        <f t="shared" si="189"/>
        <v>0</v>
      </c>
      <c r="DM193" s="415">
        <f t="shared" si="189"/>
        <v>0</v>
      </c>
      <c r="DN193" s="415">
        <f t="shared" si="189"/>
        <v>0</v>
      </c>
      <c r="DO193" s="415">
        <f t="shared" si="189"/>
        <v>0</v>
      </c>
      <c r="DP193" s="415">
        <f t="shared" si="189"/>
        <v>0</v>
      </c>
      <c r="DQ193" s="415">
        <f t="shared" si="189"/>
        <v>0</v>
      </c>
      <c r="DR193" s="415">
        <f t="shared" si="189"/>
        <v>0</v>
      </c>
      <c r="DS193" s="415">
        <f t="shared" si="189"/>
        <v>0</v>
      </c>
      <c r="DT193" s="415">
        <f t="shared" si="189"/>
        <v>0</v>
      </c>
      <c r="DU193" s="415">
        <f t="shared" si="189"/>
        <v>0</v>
      </c>
      <c r="DV193" s="415">
        <f t="shared" si="189"/>
        <v>0</v>
      </c>
      <c r="DW193" s="322" t="s">
        <v>372</v>
      </c>
    </row>
    <row r="194" spans="3:127" ht="17.25" hidden="1" outlineLevel="1" thickTop="1" x14ac:dyDescent="0.3">
      <c r="C194" s="360"/>
      <c r="D194" s="360"/>
      <c r="E194" s="360"/>
      <c r="F194" s="360"/>
      <c r="G194" s="360"/>
      <c r="H194" s="360"/>
      <c r="I194" s="360"/>
      <c r="J194" s="360"/>
      <c r="K194" s="360"/>
      <c r="L194" s="360"/>
      <c r="M194" s="360"/>
      <c r="N194" s="360"/>
      <c r="O194" s="360"/>
      <c r="P194" s="360"/>
      <c r="Q194" s="360"/>
      <c r="R194" s="360"/>
      <c r="S194" s="360"/>
      <c r="T194" s="360"/>
      <c r="U194" s="360"/>
      <c r="V194" s="360"/>
      <c r="W194" s="360"/>
      <c r="X194" s="360"/>
      <c r="Y194" s="360"/>
      <c r="Z194" s="360"/>
      <c r="AA194" s="360"/>
      <c r="AB194" s="360"/>
      <c r="AC194" s="360"/>
      <c r="AD194" s="360"/>
      <c r="AE194" s="360"/>
      <c r="AF194" s="360"/>
      <c r="AG194" s="360"/>
      <c r="AH194" s="360"/>
      <c r="AI194" s="360"/>
      <c r="AJ194" s="360"/>
      <c r="AK194" s="360"/>
      <c r="AL194" s="360"/>
      <c r="AM194" s="360"/>
      <c r="AN194" s="360"/>
      <c r="AO194" s="360"/>
      <c r="AP194" s="360"/>
      <c r="AQ194" s="360"/>
      <c r="AR194" s="360"/>
      <c r="AS194" s="360"/>
      <c r="AT194" s="360"/>
      <c r="AU194" s="360"/>
      <c r="AV194" s="360"/>
      <c r="AW194" s="360"/>
      <c r="AX194" s="360"/>
      <c r="AY194" s="360"/>
      <c r="AZ194" s="360"/>
      <c r="BA194" s="360"/>
      <c r="BB194" s="360"/>
      <c r="BC194" s="360"/>
      <c r="BD194" s="360"/>
      <c r="BE194" s="360"/>
      <c r="BF194" s="360"/>
      <c r="BG194" s="360"/>
      <c r="BH194" s="360"/>
      <c r="BI194" s="360"/>
      <c r="BJ194" s="360"/>
      <c r="BK194" s="360"/>
      <c r="BL194" s="360"/>
      <c r="BM194" s="360"/>
      <c r="BN194" s="360"/>
      <c r="BO194" s="360"/>
      <c r="BP194" s="360"/>
      <c r="BQ194" s="360"/>
      <c r="BR194" s="360"/>
      <c r="BS194" s="360"/>
      <c r="BT194" s="360"/>
      <c r="BU194" s="360"/>
      <c r="BV194" s="360"/>
      <c r="BW194" s="360"/>
      <c r="BX194" s="360"/>
      <c r="BY194" s="360"/>
      <c r="BZ194" s="360"/>
      <c r="CA194" s="360"/>
      <c r="CB194" s="360"/>
      <c r="CC194" s="360"/>
      <c r="CD194" s="360"/>
      <c r="CE194" s="360"/>
      <c r="CF194" s="360"/>
      <c r="CG194" s="360"/>
      <c r="CH194" s="360"/>
      <c r="CI194" s="360"/>
      <c r="CJ194" s="360"/>
      <c r="CK194" s="360"/>
      <c r="CL194" s="360"/>
      <c r="CM194" s="360"/>
      <c r="CN194" s="360"/>
      <c r="CO194" s="360"/>
      <c r="CP194" s="360"/>
      <c r="CQ194" s="360"/>
      <c r="CR194" s="360"/>
      <c r="CS194" s="360"/>
      <c r="CT194" s="360"/>
      <c r="CU194" s="360"/>
      <c r="CV194" s="360"/>
      <c r="CW194" s="360"/>
      <c r="CX194" s="360"/>
      <c r="CY194" s="360"/>
      <c r="CZ194" s="360"/>
      <c r="DA194" s="360"/>
      <c r="DB194" s="360"/>
      <c r="DC194" s="360"/>
      <c r="DD194" s="360"/>
      <c r="DE194" s="360"/>
      <c r="DF194" s="360"/>
      <c r="DG194" s="360"/>
      <c r="DH194" s="360"/>
      <c r="DI194" s="360"/>
      <c r="DJ194" s="360"/>
      <c r="DK194" s="360"/>
      <c r="DL194" s="360"/>
      <c r="DM194" s="360"/>
      <c r="DN194" s="360"/>
      <c r="DO194" s="360"/>
      <c r="DP194" s="360"/>
      <c r="DQ194" s="360"/>
      <c r="DR194" s="360"/>
      <c r="DS194" s="360"/>
      <c r="DT194" s="360"/>
      <c r="DU194" s="360"/>
      <c r="DV194" s="360"/>
      <c r="DW194" s="322" t="s">
        <v>372</v>
      </c>
    </row>
    <row r="195" spans="3:127" ht="17.25" hidden="1" outlineLevel="1" thickBot="1" x14ac:dyDescent="0.35">
      <c r="C195" s="365" t="s">
        <v>407</v>
      </c>
      <c r="D195" s="487"/>
      <c r="E195" s="489">
        <f>SUM(F195:DV195)</f>
        <v>221625.48216894153</v>
      </c>
      <c r="F195" s="489"/>
      <c r="G195" s="489">
        <f t="shared" ref="G195:BR195" si="190">IF(G193&lt;0,0,G162-G193)</f>
        <v>0</v>
      </c>
      <c r="H195" s="489">
        <f t="shared" si="190"/>
        <v>0</v>
      </c>
      <c r="I195" s="489">
        <f t="shared" si="190"/>
        <v>0</v>
      </c>
      <c r="J195" s="489">
        <f t="shared" si="190"/>
        <v>0</v>
      </c>
      <c r="K195" s="489">
        <f t="shared" si="190"/>
        <v>0</v>
      </c>
      <c r="L195" s="489">
        <f t="shared" si="190"/>
        <v>0</v>
      </c>
      <c r="M195" s="489">
        <f t="shared" si="190"/>
        <v>0</v>
      </c>
      <c r="N195" s="489">
        <f t="shared" si="190"/>
        <v>0</v>
      </c>
      <c r="O195" s="489">
        <f t="shared" si="190"/>
        <v>0</v>
      </c>
      <c r="P195" s="489">
        <f t="shared" si="190"/>
        <v>0</v>
      </c>
      <c r="Q195" s="489">
        <f t="shared" si="190"/>
        <v>0</v>
      </c>
      <c r="R195" s="489">
        <f t="shared" si="190"/>
        <v>0</v>
      </c>
      <c r="S195" s="489">
        <f t="shared" si="190"/>
        <v>0</v>
      </c>
      <c r="T195" s="489">
        <f t="shared" si="190"/>
        <v>0</v>
      </c>
      <c r="U195" s="489">
        <f t="shared" si="190"/>
        <v>0</v>
      </c>
      <c r="V195" s="489">
        <f t="shared" si="190"/>
        <v>0</v>
      </c>
      <c r="W195" s="489">
        <f t="shared" si="190"/>
        <v>0</v>
      </c>
      <c r="X195" s="489">
        <f t="shared" si="190"/>
        <v>0</v>
      </c>
      <c r="Y195" s="489">
        <f t="shared" si="190"/>
        <v>0</v>
      </c>
      <c r="Z195" s="489">
        <f t="shared" si="190"/>
        <v>0</v>
      </c>
      <c r="AA195" s="489">
        <f t="shared" si="190"/>
        <v>0</v>
      </c>
      <c r="AB195" s="489">
        <f t="shared" si="190"/>
        <v>0</v>
      </c>
      <c r="AC195" s="489">
        <f t="shared" si="190"/>
        <v>0</v>
      </c>
      <c r="AD195" s="489">
        <f t="shared" si="190"/>
        <v>0</v>
      </c>
      <c r="AE195" s="489">
        <f t="shared" si="190"/>
        <v>0</v>
      </c>
      <c r="AF195" s="489">
        <f t="shared" si="190"/>
        <v>0</v>
      </c>
      <c r="AG195" s="489">
        <f t="shared" si="190"/>
        <v>0</v>
      </c>
      <c r="AH195" s="489">
        <f t="shared" si="190"/>
        <v>0</v>
      </c>
      <c r="AI195" s="489">
        <f t="shared" si="190"/>
        <v>0</v>
      </c>
      <c r="AJ195" s="489">
        <f t="shared" si="190"/>
        <v>0</v>
      </c>
      <c r="AK195" s="489">
        <f t="shared" si="190"/>
        <v>0</v>
      </c>
      <c r="AL195" s="489">
        <f t="shared" si="190"/>
        <v>0</v>
      </c>
      <c r="AM195" s="489">
        <f t="shared" si="190"/>
        <v>0</v>
      </c>
      <c r="AN195" s="489">
        <f t="shared" si="190"/>
        <v>0</v>
      </c>
      <c r="AO195" s="489">
        <f t="shared" si="190"/>
        <v>0</v>
      </c>
      <c r="AP195" s="489">
        <f t="shared" si="190"/>
        <v>0</v>
      </c>
      <c r="AQ195" s="489">
        <f t="shared" si="190"/>
        <v>0</v>
      </c>
      <c r="AR195" s="489">
        <f t="shared" si="190"/>
        <v>0</v>
      </c>
      <c r="AS195" s="489">
        <f t="shared" si="190"/>
        <v>0</v>
      </c>
      <c r="AT195" s="489">
        <f t="shared" si="190"/>
        <v>0</v>
      </c>
      <c r="AU195" s="489">
        <f t="shared" si="190"/>
        <v>0</v>
      </c>
      <c r="AV195" s="489">
        <f t="shared" si="190"/>
        <v>0</v>
      </c>
      <c r="AW195" s="489">
        <f t="shared" si="190"/>
        <v>0</v>
      </c>
      <c r="AX195" s="489">
        <f t="shared" si="190"/>
        <v>0</v>
      </c>
      <c r="AY195" s="489">
        <f t="shared" si="190"/>
        <v>0</v>
      </c>
      <c r="AZ195" s="489">
        <f t="shared" si="190"/>
        <v>0</v>
      </c>
      <c r="BA195" s="489">
        <f t="shared" si="190"/>
        <v>0</v>
      </c>
      <c r="BB195" s="489">
        <f t="shared" si="190"/>
        <v>0</v>
      </c>
      <c r="BC195" s="489">
        <f t="shared" si="190"/>
        <v>0</v>
      </c>
      <c r="BD195" s="489">
        <f t="shared" si="190"/>
        <v>0</v>
      </c>
      <c r="BE195" s="489">
        <f t="shared" si="190"/>
        <v>0</v>
      </c>
      <c r="BF195" s="489">
        <f t="shared" si="190"/>
        <v>0</v>
      </c>
      <c r="BG195" s="489">
        <f t="shared" si="190"/>
        <v>0</v>
      </c>
      <c r="BH195" s="489">
        <f t="shared" si="190"/>
        <v>0</v>
      </c>
      <c r="BI195" s="489">
        <f t="shared" si="190"/>
        <v>0</v>
      </c>
      <c r="BJ195" s="489">
        <f t="shared" si="190"/>
        <v>0</v>
      </c>
      <c r="BK195" s="489">
        <f t="shared" si="190"/>
        <v>0</v>
      </c>
      <c r="BL195" s="489">
        <f t="shared" si="190"/>
        <v>0</v>
      </c>
      <c r="BM195" s="489">
        <f t="shared" si="190"/>
        <v>0</v>
      </c>
      <c r="BN195" s="489">
        <f t="shared" si="190"/>
        <v>221625.48216894153</v>
      </c>
      <c r="BO195" s="489">
        <f t="shared" si="190"/>
        <v>0</v>
      </c>
      <c r="BP195" s="489">
        <f t="shared" si="190"/>
        <v>0</v>
      </c>
      <c r="BQ195" s="489">
        <f t="shared" si="190"/>
        <v>0</v>
      </c>
      <c r="BR195" s="489">
        <f t="shared" si="190"/>
        <v>0</v>
      </c>
      <c r="BS195" s="489">
        <f t="shared" ref="BS195:DV195" si="191">IF(BS193&lt;0,0,BS162-BS193)</f>
        <v>0</v>
      </c>
      <c r="BT195" s="489">
        <f t="shared" si="191"/>
        <v>0</v>
      </c>
      <c r="BU195" s="489">
        <f t="shared" si="191"/>
        <v>0</v>
      </c>
      <c r="BV195" s="489">
        <f t="shared" si="191"/>
        <v>0</v>
      </c>
      <c r="BW195" s="489">
        <f t="shared" si="191"/>
        <v>0</v>
      </c>
      <c r="BX195" s="489">
        <f t="shared" si="191"/>
        <v>0</v>
      </c>
      <c r="BY195" s="489">
        <f t="shared" si="191"/>
        <v>0</v>
      </c>
      <c r="BZ195" s="489">
        <f t="shared" si="191"/>
        <v>0</v>
      </c>
      <c r="CA195" s="489">
        <f t="shared" si="191"/>
        <v>0</v>
      </c>
      <c r="CB195" s="489">
        <f t="shared" si="191"/>
        <v>0</v>
      </c>
      <c r="CC195" s="489">
        <f t="shared" si="191"/>
        <v>0</v>
      </c>
      <c r="CD195" s="489">
        <f t="shared" si="191"/>
        <v>0</v>
      </c>
      <c r="CE195" s="489">
        <f t="shared" si="191"/>
        <v>0</v>
      </c>
      <c r="CF195" s="489">
        <f t="shared" si="191"/>
        <v>0</v>
      </c>
      <c r="CG195" s="489">
        <f t="shared" si="191"/>
        <v>0</v>
      </c>
      <c r="CH195" s="489">
        <f t="shared" si="191"/>
        <v>0</v>
      </c>
      <c r="CI195" s="489">
        <f t="shared" si="191"/>
        <v>0</v>
      </c>
      <c r="CJ195" s="489">
        <f t="shared" si="191"/>
        <v>0</v>
      </c>
      <c r="CK195" s="489">
        <f t="shared" si="191"/>
        <v>0</v>
      </c>
      <c r="CL195" s="489">
        <f t="shared" si="191"/>
        <v>0</v>
      </c>
      <c r="CM195" s="489">
        <f t="shared" si="191"/>
        <v>0</v>
      </c>
      <c r="CN195" s="489">
        <f t="shared" si="191"/>
        <v>0</v>
      </c>
      <c r="CO195" s="489">
        <f t="shared" si="191"/>
        <v>0</v>
      </c>
      <c r="CP195" s="489">
        <f t="shared" si="191"/>
        <v>0</v>
      </c>
      <c r="CQ195" s="489">
        <f t="shared" si="191"/>
        <v>0</v>
      </c>
      <c r="CR195" s="489">
        <f t="shared" si="191"/>
        <v>0</v>
      </c>
      <c r="CS195" s="489">
        <f t="shared" si="191"/>
        <v>0</v>
      </c>
      <c r="CT195" s="489">
        <f t="shared" si="191"/>
        <v>0</v>
      </c>
      <c r="CU195" s="489">
        <f t="shared" si="191"/>
        <v>0</v>
      </c>
      <c r="CV195" s="489">
        <f t="shared" si="191"/>
        <v>0</v>
      </c>
      <c r="CW195" s="489">
        <f t="shared" si="191"/>
        <v>0</v>
      </c>
      <c r="CX195" s="489">
        <f t="shared" si="191"/>
        <v>0</v>
      </c>
      <c r="CY195" s="489">
        <f t="shared" si="191"/>
        <v>0</v>
      </c>
      <c r="CZ195" s="489">
        <f t="shared" si="191"/>
        <v>0</v>
      </c>
      <c r="DA195" s="489">
        <f t="shared" si="191"/>
        <v>0</v>
      </c>
      <c r="DB195" s="489">
        <f t="shared" si="191"/>
        <v>0</v>
      </c>
      <c r="DC195" s="489">
        <f t="shared" si="191"/>
        <v>0</v>
      </c>
      <c r="DD195" s="489">
        <f t="shared" si="191"/>
        <v>0</v>
      </c>
      <c r="DE195" s="489">
        <f t="shared" si="191"/>
        <v>0</v>
      </c>
      <c r="DF195" s="489">
        <f t="shared" si="191"/>
        <v>0</v>
      </c>
      <c r="DG195" s="489">
        <f t="shared" si="191"/>
        <v>0</v>
      </c>
      <c r="DH195" s="489">
        <f t="shared" si="191"/>
        <v>0</v>
      </c>
      <c r="DI195" s="489">
        <f t="shared" si="191"/>
        <v>0</v>
      </c>
      <c r="DJ195" s="489">
        <f t="shared" si="191"/>
        <v>0</v>
      </c>
      <c r="DK195" s="489">
        <f t="shared" si="191"/>
        <v>0</v>
      </c>
      <c r="DL195" s="489">
        <f t="shared" si="191"/>
        <v>0</v>
      </c>
      <c r="DM195" s="489">
        <f t="shared" si="191"/>
        <v>0</v>
      </c>
      <c r="DN195" s="489">
        <f t="shared" si="191"/>
        <v>0</v>
      </c>
      <c r="DO195" s="489">
        <f t="shared" si="191"/>
        <v>0</v>
      </c>
      <c r="DP195" s="489">
        <f t="shared" si="191"/>
        <v>0</v>
      </c>
      <c r="DQ195" s="489">
        <f t="shared" si="191"/>
        <v>0</v>
      </c>
      <c r="DR195" s="489">
        <f t="shared" si="191"/>
        <v>0</v>
      </c>
      <c r="DS195" s="489">
        <f t="shared" si="191"/>
        <v>0</v>
      </c>
      <c r="DT195" s="489">
        <f t="shared" si="191"/>
        <v>0</v>
      </c>
      <c r="DU195" s="489">
        <f t="shared" si="191"/>
        <v>0</v>
      </c>
      <c r="DV195" s="489">
        <f t="shared" si="191"/>
        <v>0</v>
      </c>
      <c r="DW195" s="322" t="s">
        <v>372</v>
      </c>
    </row>
    <row r="196" spans="3:127" ht="17.25" hidden="1" outlineLevel="1" thickTop="1" x14ac:dyDescent="0.3">
      <c r="C196" s="360"/>
      <c r="D196" s="360"/>
      <c r="E196" s="360"/>
      <c r="F196" s="360"/>
      <c r="G196" s="360"/>
      <c r="H196" s="360"/>
      <c r="I196" s="360"/>
      <c r="J196" s="360"/>
      <c r="K196" s="360"/>
      <c r="L196" s="360"/>
      <c r="M196" s="360"/>
      <c r="N196" s="360"/>
      <c r="O196" s="360"/>
      <c r="P196" s="360"/>
      <c r="Q196" s="360"/>
      <c r="R196" s="360"/>
      <c r="S196" s="360"/>
      <c r="T196" s="360"/>
      <c r="U196" s="360"/>
      <c r="V196" s="360"/>
      <c r="W196" s="360"/>
      <c r="X196" s="360"/>
      <c r="Y196" s="360"/>
      <c r="Z196" s="360"/>
      <c r="AA196" s="360"/>
      <c r="AB196" s="360"/>
      <c r="AC196" s="360"/>
      <c r="AD196" s="360"/>
      <c r="AE196" s="360"/>
      <c r="AF196" s="360"/>
      <c r="AG196" s="360"/>
      <c r="AH196" s="360"/>
      <c r="AI196" s="360"/>
      <c r="AJ196" s="360"/>
      <c r="AK196" s="360"/>
      <c r="AL196" s="360"/>
      <c r="AM196" s="360"/>
      <c r="AN196" s="360"/>
      <c r="AO196" s="360"/>
      <c r="AP196" s="360"/>
      <c r="AQ196" s="360"/>
      <c r="AR196" s="360"/>
      <c r="AS196" s="360"/>
      <c r="AT196" s="360"/>
      <c r="AU196" s="360"/>
      <c r="AV196" s="360"/>
      <c r="AW196" s="360"/>
      <c r="AX196" s="360"/>
      <c r="AY196" s="360"/>
      <c r="AZ196" s="360"/>
      <c r="BA196" s="360"/>
      <c r="BB196" s="360"/>
      <c r="BC196" s="360"/>
      <c r="BD196" s="360"/>
      <c r="BE196" s="360"/>
      <c r="BF196" s="360"/>
      <c r="BG196" s="360"/>
      <c r="BH196" s="360"/>
      <c r="BI196" s="360"/>
      <c r="BJ196" s="360"/>
      <c r="BK196" s="360"/>
      <c r="BL196" s="360"/>
      <c r="BM196" s="360"/>
      <c r="BN196" s="360"/>
      <c r="BO196" s="360"/>
      <c r="BP196" s="360"/>
      <c r="BQ196" s="360"/>
      <c r="BR196" s="360"/>
      <c r="BS196" s="360"/>
      <c r="BT196" s="360"/>
      <c r="BU196" s="360"/>
      <c r="BV196" s="360"/>
      <c r="BW196" s="360"/>
      <c r="BX196" s="360"/>
      <c r="BY196" s="360"/>
      <c r="BZ196" s="360"/>
      <c r="CA196" s="360"/>
      <c r="CB196" s="360"/>
      <c r="CC196" s="360"/>
      <c r="CD196" s="360"/>
      <c r="CE196" s="360"/>
      <c r="CF196" s="360"/>
      <c r="CG196" s="360"/>
      <c r="CH196" s="360"/>
      <c r="CI196" s="360"/>
      <c r="CJ196" s="360"/>
      <c r="CK196" s="360"/>
      <c r="CL196" s="360"/>
      <c r="CM196" s="360"/>
      <c r="CN196" s="360"/>
      <c r="CO196" s="360"/>
      <c r="CP196" s="360"/>
      <c r="CQ196" s="360"/>
      <c r="CR196" s="360"/>
      <c r="CS196" s="360"/>
      <c r="CT196" s="360"/>
      <c r="CU196" s="360"/>
      <c r="CV196" s="360"/>
      <c r="CW196" s="360"/>
      <c r="CX196" s="360"/>
      <c r="CY196" s="360"/>
      <c r="CZ196" s="360"/>
      <c r="DA196" s="360"/>
      <c r="DB196" s="360"/>
      <c r="DC196" s="360"/>
      <c r="DD196" s="360"/>
      <c r="DE196" s="360"/>
      <c r="DF196" s="360"/>
      <c r="DG196" s="360"/>
      <c r="DH196" s="360"/>
      <c r="DI196" s="360"/>
      <c r="DJ196" s="360"/>
      <c r="DK196" s="360"/>
      <c r="DL196" s="360"/>
      <c r="DM196" s="360"/>
      <c r="DN196" s="360"/>
      <c r="DO196" s="360"/>
      <c r="DP196" s="360"/>
      <c r="DQ196" s="360"/>
      <c r="DR196" s="360"/>
      <c r="DS196" s="360"/>
      <c r="DT196" s="360"/>
      <c r="DU196" s="360"/>
      <c r="DV196" s="360"/>
      <c r="DW196" s="322" t="s">
        <v>372</v>
      </c>
    </row>
    <row r="197" spans="3:127" hidden="1" outlineLevel="1" x14ac:dyDescent="0.3">
      <c r="C197" s="382" t="s">
        <v>365</v>
      </c>
      <c r="D197" s="382"/>
      <c r="E197" s="395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58"/>
      <c r="AF197" s="458"/>
      <c r="AG197" s="458"/>
      <c r="AH197" s="458"/>
      <c r="AI197" s="458"/>
      <c r="AJ197" s="458"/>
      <c r="AK197" s="458"/>
      <c r="AL197" s="458"/>
      <c r="AM197" s="458"/>
      <c r="AN197" s="458"/>
      <c r="AO197" s="458"/>
      <c r="AP197" s="458"/>
      <c r="AQ197" s="458"/>
      <c r="AR197" s="458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58"/>
      <c r="CO197" s="458"/>
      <c r="CP197" s="458"/>
      <c r="CQ197" s="458"/>
      <c r="CR197" s="458"/>
      <c r="CS197" s="458"/>
      <c r="CT197" s="458"/>
      <c r="CU197" s="458"/>
      <c r="CV197" s="458"/>
      <c r="CW197" s="458"/>
      <c r="CX197" s="458"/>
      <c r="CY197" s="458"/>
      <c r="CZ197" s="458"/>
      <c r="DA197" s="458"/>
      <c r="DB197" s="458"/>
      <c r="DC197" s="458"/>
      <c r="DD197" s="458"/>
      <c r="DE197" s="458"/>
      <c r="DF197" s="458"/>
      <c r="DG197" s="458"/>
      <c r="DH197" s="458"/>
      <c r="DI197" s="458"/>
      <c r="DJ197" s="458"/>
      <c r="DK197" s="458"/>
      <c r="DL197" s="458"/>
      <c r="DM197" s="458"/>
      <c r="DN197" s="458"/>
      <c r="DO197" s="458"/>
      <c r="DP197" s="458"/>
      <c r="DQ197" s="458"/>
      <c r="DR197" s="458"/>
      <c r="DS197" s="458"/>
      <c r="DT197" s="458"/>
      <c r="DU197" s="458"/>
      <c r="DV197" s="458"/>
      <c r="DW197" s="322" t="s">
        <v>372</v>
      </c>
    </row>
    <row r="198" spans="3:127" hidden="1" outlineLevel="1" x14ac:dyDescent="0.3">
      <c r="C198" s="374" t="s">
        <v>351</v>
      </c>
      <c r="D198" s="360"/>
      <c r="E198" s="463"/>
      <c r="F198" s="465"/>
      <c r="G198" s="409">
        <f t="shared" ref="G198:BR198" si="192">F205</f>
        <v>1367250</v>
      </c>
      <c r="H198" s="409">
        <f t="shared" si="192"/>
        <v>1357594.3756250001</v>
      </c>
      <c r="I198" s="409">
        <f t="shared" si="192"/>
        <v>1347938.7512500002</v>
      </c>
      <c r="J198" s="409">
        <f t="shared" si="192"/>
        <v>1685287.6226118212</v>
      </c>
      <c r="K198" s="409">
        <f t="shared" si="192"/>
        <v>1675631.9982368213</v>
      </c>
      <c r="L198" s="409">
        <f t="shared" si="192"/>
        <v>1665976.3738618214</v>
      </c>
      <c r="M198" s="409">
        <f t="shared" si="192"/>
        <v>2085198.7611808104</v>
      </c>
      <c r="N198" s="409">
        <f t="shared" si="192"/>
        <v>2075543.1368058105</v>
      </c>
      <c r="O198" s="409">
        <f t="shared" si="192"/>
        <v>2065887.5124308106</v>
      </c>
      <c r="P198" s="409">
        <f t="shared" si="192"/>
        <v>2588060.3957200223</v>
      </c>
      <c r="Q198" s="409">
        <f t="shared" si="192"/>
        <v>2578404.7713450221</v>
      </c>
      <c r="R198" s="409">
        <f t="shared" si="192"/>
        <v>2568749.146970022</v>
      </c>
      <c r="S198" s="409">
        <f t="shared" si="192"/>
        <v>3220375.4254946294</v>
      </c>
      <c r="T198" s="409">
        <f t="shared" si="192"/>
        <v>3210048.9917633794</v>
      </c>
      <c r="U198" s="409">
        <f t="shared" si="192"/>
        <v>3199722.5580321294</v>
      </c>
      <c r="V198" s="409">
        <f t="shared" si="192"/>
        <v>4013111.6764489459</v>
      </c>
      <c r="W198" s="409">
        <f t="shared" si="192"/>
        <v>4002785.2427176959</v>
      </c>
      <c r="X198" s="409">
        <f t="shared" si="192"/>
        <v>3992458.8089864459</v>
      </c>
      <c r="Y198" s="409">
        <f t="shared" si="192"/>
        <v>5009924.7393204235</v>
      </c>
      <c r="Z198" s="409">
        <f t="shared" si="192"/>
        <v>4999598.305589173</v>
      </c>
      <c r="AA198" s="409">
        <f t="shared" si="192"/>
        <v>4989271.8718579225</v>
      </c>
      <c r="AB198" s="409">
        <f t="shared" si="192"/>
        <v>6263350.8077196563</v>
      </c>
      <c r="AC198" s="409">
        <f t="shared" si="192"/>
        <v>6253024.3739884058</v>
      </c>
      <c r="AD198" s="409">
        <f t="shared" si="192"/>
        <v>6242697.9402571553</v>
      </c>
      <c r="AE198" s="409">
        <f t="shared" si="192"/>
        <v>7839450.6477609016</v>
      </c>
      <c r="AF198" s="409">
        <f t="shared" si="192"/>
        <v>7828433.2803927138</v>
      </c>
      <c r="AG198" s="409">
        <f t="shared" si="192"/>
        <v>7817415.9130245261</v>
      </c>
      <c r="AH198" s="409">
        <f t="shared" si="192"/>
        <v>9818862.735404199</v>
      </c>
      <c r="AI198" s="409">
        <f t="shared" si="192"/>
        <v>9807845.3680360112</v>
      </c>
      <c r="AJ198" s="409">
        <f t="shared" si="192"/>
        <v>9796828.0006678235</v>
      </c>
      <c r="AK198" s="409">
        <f t="shared" si="192"/>
        <v>12307841.665525369</v>
      </c>
      <c r="AL198" s="409">
        <f t="shared" si="192"/>
        <v>12296824.298157182</v>
      </c>
      <c r="AM198" s="409">
        <f t="shared" si="192"/>
        <v>12285806.930788994</v>
      </c>
      <c r="AN198" s="409">
        <f t="shared" si="192"/>
        <v>15437566.978036195</v>
      </c>
      <c r="AO198" s="409">
        <f t="shared" si="192"/>
        <v>15426549.610668007</v>
      </c>
      <c r="AP198" s="409">
        <f t="shared" si="192"/>
        <v>15415532.24329982</v>
      </c>
      <c r="AQ198" s="409">
        <f t="shared" si="192"/>
        <v>19372988.211712182</v>
      </c>
      <c r="AR198" s="409">
        <f t="shared" si="192"/>
        <v>19361259.182697948</v>
      </c>
      <c r="AS198" s="409">
        <f t="shared" si="192"/>
        <v>19349530.153683715</v>
      </c>
      <c r="AT198" s="409">
        <f t="shared" si="192"/>
        <v>24319017.034885656</v>
      </c>
      <c r="AU198" s="409">
        <f t="shared" si="192"/>
        <v>24307288.005871423</v>
      </c>
      <c r="AV198" s="409">
        <f t="shared" si="192"/>
        <v>24295558.976857189</v>
      </c>
      <c r="AW198" s="409">
        <f t="shared" si="192"/>
        <v>30538319.021319333</v>
      </c>
      <c r="AX198" s="409">
        <f t="shared" si="192"/>
        <v>30526589.9923051</v>
      </c>
      <c r="AY198" s="409">
        <f t="shared" si="192"/>
        <v>30514860.963290866</v>
      </c>
      <c r="AZ198" s="409">
        <f t="shared" si="192"/>
        <v>38358677.248354532</v>
      </c>
      <c r="BA198" s="409">
        <f t="shared" si="192"/>
        <v>38346948.219340302</v>
      </c>
      <c r="BB198" s="409">
        <f t="shared" si="192"/>
        <v>38335219.190326072</v>
      </c>
      <c r="BC198" s="409">
        <f t="shared" si="192"/>
        <v>48192257.115124568</v>
      </c>
      <c r="BD198" s="409">
        <f t="shared" si="192"/>
        <v>48185749.256617323</v>
      </c>
      <c r="BE198" s="409">
        <f t="shared" si="192"/>
        <v>48179241.398110077</v>
      </c>
      <c r="BF198" s="409">
        <f t="shared" si="192"/>
        <v>60575680.892240375</v>
      </c>
      <c r="BG198" s="409">
        <f t="shared" si="192"/>
        <v>60569173.03373313</v>
      </c>
      <c r="BH198" s="409">
        <f t="shared" si="192"/>
        <v>60562665.175225884</v>
      </c>
      <c r="BI198" s="409">
        <f t="shared" si="192"/>
        <v>76147011.923516318</v>
      </c>
      <c r="BJ198" s="409">
        <f t="shared" si="192"/>
        <v>76140504.065009072</v>
      </c>
      <c r="BK198" s="409">
        <f t="shared" si="192"/>
        <v>76133996.206501827</v>
      </c>
      <c r="BL198" s="409">
        <f t="shared" si="192"/>
        <v>95726924.106901944</v>
      </c>
      <c r="BM198" s="409">
        <f t="shared" si="192"/>
        <v>95720416.248394698</v>
      </c>
      <c r="BN198" s="409">
        <f t="shared" si="192"/>
        <v>95713908.389887452</v>
      </c>
      <c r="BO198" s="409">
        <f t="shared" si="192"/>
        <v>117791413.69967721</v>
      </c>
      <c r="BP198" s="409">
        <f t="shared" si="192"/>
        <v>117791413.69967721</v>
      </c>
      <c r="BQ198" s="409">
        <f t="shared" si="192"/>
        <v>117791413.69967721</v>
      </c>
      <c r="BR198" s="409">
        <f t="shared" si="192"/>
        <v>148114861.31558663</v>
      </c>
      <c r="BS198" s="409">
        <f t="shared" ref="BS198:DV198" si="193">BR205</f>
        <v>148114861.31558663</v>
      </c>
      <c r="BT198" s="409">
        <f t="shared" si="193"/>
        <v>148114861.31558663</v>
      </c>
      <c r="BU198" s="409">
        <f t="shared" si="193"/>
        <v>186244578.05107045</v>
      </c>
      <c r="BV198" s="409">
        <f t="shared" si="193"/>
        <v>186244578.05107045</v>
      </c>
      <c r="BW198" s="409">
        <f t="shared" si="193"/>
        <v>186244578.05107045</v>
      </c>
      <c r="BX198" s="409">
        <f t="shared" si="193"/>
        <v>234190158.53860867</v>
      </c>
      <c r="BY198" s="409">
        <f t="shared" si="193"/>
        <v>234190158.53860867</v>
      </c>
      <c r="BZ198" s="409">
        <f t="shared" si="193"/>
        <v>234190158.53860867</v>
      </c>
      <c r="CA198" s="409">
        <f t="shared" si="193"/>
        <v>294478534.24919307</v>
      </c>
      <c r="CB198" s="409">
        <f t="shared" si="193"/>
        <v>294478534.24919307</v>
      </c>
      <c r="CC198" s="409">
        <f t="shared" si="193"/>
        <v>294478534.24919307</v>
      </c>
      <c r="CD198" s="409">
        <f t="shared" si="193"/>
        <v>370287153.28896666</v>
      </c>
      <c r="CE198" s="409">
        <f t="shared" si="193"/>
        <v>370287153.28896666</v>
      </c>
      <c r="CF198" s="409">
        <f t="shared" si="193"/>
        <v>370287153.28896666</v>
      </c>
      <c r="CG198" s="409">
        <f t="shared" si="193"/>
        <v>465611445.12767619</v>
      </c>
      <c r="CH198" s="409">
        <f t="shared" si="193"/>
        <v>465611445.12767619</v>
      </c>
      <c r="CI198" s="409">
        <f t="shared" si="193"/>
        <v>465611445.12767619</v>
      </c>
      <c r="CJ198" s="409">
        <f t="shared" si="193"/>
        <v>585475396.34652185</v>
      </c>
      <c r="CK198" s="409">
        <f t="shared" si="193"/>
        <v>585475396.34652185</v>
      </c>
      <c r="CL198" s="409">
        <f t="shared" si="193"/>
        <v>585475396.34652185</v>
      </c>
      <c r="CM198" s="409">
        <f t="shared" si="193"/>
        <v>736196335.62298298</v>
      </c>
      <c r="CN198" s="409">
        <f t="shared" si="193"/>
        <v>736196335.62298298</v>
      </c>
      <c r="CO198" s="409">
        <f t="shared" si="193"/>
        <v>736196335.62298298</v>
      </c>
      <c r="CP198" s="409">
        <f t="shared" si="193"/>
        <v>925717883.22241688</v>
      </c>
      <c r="CQ198" s="409">
        <f t="shared" si="193"/>
        <v>925717883.22241688</v>
      </c>
      <c r="CR198" s="409">
        <f t="shared" si="193"/>
        <v>925717883.22241688</v>
      </c>
      <c r="CS198" s="409">
        <f t="shared" si="193"/>
        <v>1164028612.8191907</v>
      </c>
      <c r="CT198" s="409">
        <f t="shared" si="193"/>
        <v>1164028612.8191907</v>
      </c>
      <c r="CU198" s="409">
        <f t="shared" si="193"/>
        <v>1164028612.8191907</v>
      </c>
      <c r="CV198" s="409">
        <f t="shared" si="193"/>
        <v>1463688490.8663049</v>
      </c>
      <c r="CW198" s="409">
        <f t="shared" si="193"/>
        <v>1463688490.8663049</v>
      </c>
      <c r="CX198" s="409">
        <f t="shared" si="193"/>
        <v>1463688490.8663049</v>
      </c>
      <c r="CY198" s="409">
        <f t="shared" si="193"/>
        <v>1840490839.0574577</v>
      </c>
      <c r="CZ198" s="409">
        <f t="shared" si="193"/>
        <v>1840490839.0574577</v>
      </c>
      <c r="DA198" s="409">
        <f t="shared" si="193"/>
        <v>1840490839.0574577</v>
      </c>
      <c r="DB198" s="409">
        <f t="shared" si="193"/>
        <v>2314294708.0560427</v>
      </c>
      <c r="DC198" s="409">
        <f t="shared" si="193"/>
        <v>2314294708.0560427</v>
      </c>
      <c r="DD198" s="409">
        <f t="shared" si="193"/>
        <v>2314294708.0560427</v>
      </c>
      <c r="DE198" s="409">
        <f t="shared" si="193"/>
        <v>2910071532.0479774</v>
      </c>
      <c r="DF198" s="409">
        <f t="shared" si="193"/>
        <v>2910071532.0479774</v>
      </c>
      <c r="DG198" s="409">
        <f t="shared" si="193"/>
        <v>2910071532.0479774</v>
      </c>
      <c r="DH198" s="409">
        <f t="shared" si="193"/>
        <v>3659221227.1657629</v>
      </c>
      <c r="DI198" s="409">
        <f t="shared" si="193"/>
        <v>3659221227.1657629</v>
      </c>
      <c r="DJ198" s="409">
        <f t="shared" si="193"/>
        <v>3659221227.1657629</v>
      </c>
      <c r="DK198" s="409">
        <f t="shared" si="193"/>
        <v>4601227097.6436453</v>
      </c>
      <c r="DL198" s="409">
        <f t="shared" si="193"/>
        <v>4601227097.6436453</v>
      </c>
      <c r="DM198" s="409">
        <f t="shared" si="193"/>
        <v>4601227097.6436453</v>
      </c>
      <c r="DN198" s="409">
        <f t="shared" si="193"/>
        <v>5785736770.1401081</v>
      </c>
      <c r="DO198" s="409">
        <f t="shared" si="193"/>
        <v>5785736770.1401081</v>
      </c>
      <c r="DP198" s="409">
        <f t="shared" si="193"/>
        <v>5785736770.1401081</v>
      </c>
      <c r="DQ198" s="409">
        <f t="shared" si="193"/>
        <v>7275178830.1199455</v>
      </c>
      <c r="DR198" s="409">
        <f t="shared" si="193"/>
        <v>7275178830.1199455</v>
      </c>
      <c r="DS198" s="409">
        <f t="shared" si="193"/>
        <v>7275178830.1199455</v>
      </c>
      <c r="DT198" s="409">
        <f t="shared" si="193"/>
        <v>9148053067.9144096</v>
      </c>
      <c r="DU198" s="409">
        <f t="shared" si="193"/>
        <v>9148053067.9144096</v>
      </c>
      <c r="DV198" s="409">
        <f t="shared" si="193"/>
        <v>9148053067.9144096</v>
      </c>
      <c r="DW198" s="322" t="s">
        <v>372</v>
      </c>
    </row>
    <row r="199" spans="3:127" hidden="1" outlineLevel="1" x14ac:dyDescent="0.3">
      <c r="C199" s="374" t="s">
        <v>400</v>
      </c>
      <c r="D199" s="360"/>
      <c r="E199" s="463">
        <f t="shared" ref="E199:E204" si="194">SUM(F199:BI199)</f>
        <v>1367250</v>
      </c>
      <c r="F199" s="468">
        <f t="shared" ref="F199:BQ199" si="195">-F78</f>
        <v>1367250</v>
      </c>
      <c r="G199" s="468">
        <f t="shared" si="195"/>
        <v>0</v>
      </c>
      <c r="H199" s="468">
        <f t="shared" si="195"/>
        <v>0</v>
      </c>
      <c r="I199" s="468">
        <f t="shared" si="195"/>
        <v>0</v>
      </c>
      <c r="J199" s="468">
        <f t="shared" si="195"/>
        <v>0</v>
      </c>
      <c r="K199" s="468">
        <f t="shared" si="195"/>
        <v>0</v>
      </c>
      <c r="L199" s="468">
        <f t="shared" si="195"/>
        <v>0</v>
      </c>
      <c r="M199" s="468">
        <f t="shared" si="195"/>
        <v>0</v>
      </c>
      <c r="N199" s="468">
        <f t="shared" si="195"/>
        <v>0</v>
      </c>
      <c r="O199" s="468">
        <f t="shared" si="195"/>
        <v>0</v>
      </c>
      <c r="P199" s="468">
        <f t="shared" si="195"/>
        <v>0</v>
      </c>
      <c r="Q199" s="468">
        <f t="shared" si="195"/>
        <v>0</v>
      </c>
      <c r="R199" s="468">
        <f t="shared" si="195"/>
        <v>0</v>
      </c>
      <c r="S199" s="468">
        <f t="shared" si="195"/>
        <v>0</v>
      </c>
      <c r="T199" s="468">
        <f t="shared" si="195"/>
        <v>0</v>
      </c>
      <c r="U199" s="468">
        <f t="shared" si="195"/>
        <v>0</v>
      </c>
      <c r="V199" s="468">
        <f t="shared" si="195"/>
        <v>0</v>
      </c>
      <c r="W199" s="468">
        <f t="shared" si="195"/>
        <v>0</v>
      </c>
      <c r="X199" s="468">
        <f t="shared" si="195"/>
        <v>0</v>
      </c>
      <c r="Y199" s="468">
        <f t="shared" si="195"/>
        <v>0</v>
      </c>
      <c r="Z199" s="468">
        <f t="shared" si="195"/>
        <v>0</v>
      </c>
      <c r="AA199" s="468">
        <f t="shared" si="195"/>
        <v>0</v>
      </c>
      <c r="AB199" s="468">
        <f t="shared" si="195"/>
        <v>0</v>
      </c>
      <c r="AC199" s="468">
        <f t="shared" si="195"/>
        <v>0</v>
      </c>
      <c r="AD199" s="468">
        <f t="shared" si="195"/>
        <v>0</v>
      </c>
      <c r="AE199" s="468">
        <f t="shared" si="195"/>
        <v>0</v>
      </c>
      <c r="AF199" s="468">
        <f t="shared" si="195"/>
        <v>0</v>
      </c>
      <c r="AG199" s="468">
        <f t="shared" si="195"/>
        <v>0</v>
      </c>
      <c r="AH199" s="468">
        <f t="shared" si="195"/>
        <v>0</v>
      </c>
      <c r="AI199" s="468">
        <f t="shared" si="195"/>
        <v>0</v>
      </c>
      <c r="AJ199" s="468">
        <f t="shared" si="195"/>
        <v>0</v>
      </c>
      <c r="AK199" s="468">
        <f t="shared" si="195"/>
        <v>0</v>
      </c>
      <c r="AL199" s="468">
        <f t="shared" si="195"/>
        <v>0</v>
      </c>
      <c r="AM199" s="468">
        <f t="shared" si="195"/>
        <v>0</v>
      </c>
      <c r="AN199" s="468">
        <f t="shared" si="195"/>
        <v>0</v>
      </c>
      <c r="AO199" s="468">
        <f t="shared" si="195"/>
        <v>0</v>
      </c>
      <c r="AP199" s="468">
        <f t="shared" si="195"/>
        <v>0</v>
      </c>
      <c r="AQ199" s="468">
        <f t="shared" si="195"/>
        <v>0</v>
      </c>
      <c r="AR199" s="468">
        <f t="shared" si="195"/>
        <v>0</v>
      </c>
      <c r="AS199" s="468">
        <f t="shared" si="195"/>
        <v>0</v>
      </c>
      <c r="AT199" s="468">
        <f t="shared" si="195"/>
        <v>0</v>
      </c>
      <c r="AU199" s="468">
        <f t="shared" si="195"/>
        <v>0</v>
      </c>
      <c r="AV199" s="468">
        <f t="shared" si="195"/>
        <v>0</v>
      </c>
      <c r="AW199" s="468">
        <f t="shared" si="195"/>
        <v>0</v>
      </c>
      <c r="AX199" s="468">
        <f t="shared" si="195"/>
        <v>0</v>
      </c>
      <c r="AY199" s="468">
        <f t="shared" si="195"/>
        <v>0</v>
      </c>
      <c r="AZ199" s="468">
        <f t="shared" si="195"/>
        <v>0</v>
      </c>
      <c r="BA199" s="468">
        <f t="shared" si="195"/>
        <v>0</v>
      </c>
      <c r="BB199" s="468">
        <f t="shared" si="195"/>
        <v>0</v>
      </c>
      <c r="BC199" s="468">
        <f t="shared" si="195"/>
        <v>0</v>
      </c>
      <c r="BD199" s="468">
        <f t="shared" si="195"/>
        <v>0</v>
      </c>
      <c r="BE199" s="468">
        <f t="shared" si="195"/>
        <v>0</v>
      </c>
      <c r="BF199" s="468">
        <f t="shared" si="195"/>
        <v>0</v>
      </c>
      <c r="BG199" s="468">
        <f t="shared" si="195"/>
        <v>0</v>
      </c>
      <c r="BH199" s="468">
        <f t="shared" si="195"/>
        <v>0</v>
      </c>
      <c r="BI199" s="468">
        <f t="shared" si="195"/>
        <v>0</v>
      </c>
      <c r="BJ199" s="468">
        <f t="shared" si="195"/>
        <v>0</v>
      </c>
      <c r="BK199" s="468">
        <f t="shared" si="195"/>
        <v>0</v>
      </c>
      <c r="BL199" s="468">
        <f t="shared" si="195"/>
        <v>0</v>
      </c>
      <c r="BM199" s="468">
        <f t="shared" si="195"/>
        <v>0</v>
      </c>
      <c r="BN199" s="468">
        <f t="shared" si="195"/>
        <v>0</v>
      </c>
      <c r="BO199" s="468">
        <f t="shared" si="195"/>
        <v>0</v>
      </c>
      <c r="BP199" s="468">
        <f t="shared" si="195"/>
        <v>0</v>
      </c>
      <c r="BQ199" s="468">
        <f t="shared" si="195"/>
        <v>0</v>
      </c>
      <c r="BR199" s="468">
        <f t="shared" ref="BR199:DV199" si="196">-BR78</f>
        <v>0</v>
      </c>
      <c r="BS199" s="468">
        <f t="shared" si="196"/>
        <v>0</v>
      </c>
      <c r="BT199" s="468">
        <f t="shared" si="196"/>
        <v>0</v>
      </c>
      <c r="BU199" s="468">
        <f t="shared" si="196"/>
        <v>0</v>
      </c>
      <c r="BV199" s="468">
        <f t="shared" si="196"/>
        <v>0</v>
      </c>
      <c r="BW199" s="468">
        <f t="shared" si="196"/>
        <v>0</v>
      </c>
      <c r="BX199" s="468">
        <f t="shared" si="196"/>
        <v>0</v>
      </c>
      <c r="BY199" s="468">
        <f t="shared" si="196"/>
        <v>0</v>
      </c>
      <c r="BZ199" s="468">
        <f t="shared" si="196"/>
        <v>0</v>
      </c>
      <c r="CA199" s="468">
        <f t="shared" si="196"/>
        <v>0</v>
      </c>
      <c r="CB199" s="468">
        <f t="shared" si="196"/>
        <v>0</v>
      </c>
      <c r="CC199" s="468">
        <f t="shared" si="196"/>
        <v>0</v>
      </c>
      <c r="CD199" s="468">
        <f t="shared" si="196"/>
        <v>0</v>
      </c>
      <c r="CE199" s="468">
        <f t="shared" si="196"/>
        <v>0</v>
      </c>
      <c r="CF199" s="468">
        <f t="shared" si="196"/>
        <v>0</v>
      </c>
      <c r="CG199" s="468">
        <f t="shared" si="196"/>
        <v>0</v>
      </c>
      <c r="CH199" s="468">
        <f t="shared" si="196"/>
        <v>0</v>
      </c>
      <c r="CI199" s="468">
        <f t="shared" si="196"/>
        <v>0</v>
      </c>
      <c r="CJ199" s="468">
        <f t="shared" si="196"/>
        <v>0</v>
      </c>
      <c r="CK199" s="468">
        <f t="shared" si="196"/>
        <v>0</v>
      </c>
      <c r="CL199" s="468">
        <f t="shared" si="196"/>
        <v>0</v>
      </c>
      <c r="CM199" s="468">
        <f t="shared" si="196"/>
        <v>0</v>
      </c>
      <c r="CN199" s="468">
        <f t="shared" si="196"/>
        <v>0</v>
      </c>
      <c r="CO199" s="468">
        <f t="shared" si="196"/>
        <v>0</v>
      </c>
      <c r="CP199" s="468">
        <f t="shared" si="196"/>
        <v>0</v>
      </c>
      <c r="CQ199" s="468">
        <f t="shared" si="196"/>
        <v>0</v>
      </c>
      <c r="CR199" s="468">
        <f t="shared" si="196"/>
        <v>0</v>
      </c>
      <c r="CS199" s="468">
        <f t="shared" si="196"/>
        <v>0</v>
      </c>
      <c r="CT199" s="468">
        <f t="shared" si="196"/>
        <v>0</v>
      </c>
      <c r="CU199" s="468">
        <f t="shared" si="196"/>
        <v>0</v>
      </c>
      <c r="CV199" s="468">
        <f t="shared" si="196"/>
        <v>0</v>
      </c>
      <c r="CW199" s="468">
        <f t="shared" si="196"/>
        <v>0</v>
      </c>
      <c r="CX199" s="468">
        <f t="shared" si="196"/>
        <v>0</v>
      </c>
      <c r="CY199" s="468">
        <f t="shared" si="196"/>
        <v>0</v>
      </c>
      <c r="CZ199" s="468">
        <f t="shared" si="196"/>
        <v>0</v>
      </c>
      <c r="DA199" s="468">
        <f t="shared" si="196"/>
        <v>0</v>
      </c>
      <c r="DB199" s="468">
        <f t="shared" si="196"/>
        <v>0</v>
      </c>
      <c r="DC199" s="468">
        <f t="shared" si="196"/>
        <v>0</v>
      </c>
      <c r="DD199" s="468">
        <f t="shared" si="196"/>
        <v>0</v>
      </c>
      <c r="DE199" s="468">
        <f t="shared" si="196"/>
        <v>0</v>
      </c>
      <c r="DF199" s="468">
        <f t="shared" si="196"/>
        <v>0</v>
      </c>
      <c r="DG199" s="468">
        <f t="shared" si="196"/>
        <v>0</v>
      </c>
      <c r="DH199" s="468">
        <f t="shared" si="196"/>
        <v>0</v>
      </c>
      <c r="DI199" s="468">
        <f t="shared" si="196"/>
        <v>0</v>
      </c>
      <c r="DJ199" s="468">
        <f t="shared" si="196"/>
        <v>0</v>
      </c>
      <c r="DK199" s="468">
        <f t="shared" si="196"/>
        <v>0</v>
      </c>
      <c r="DL199" s="468">
        <f t="shared" si="196"/>
        <v>0</v>
      </c>
      <c r="DM199" s="468">
        <f t="shared" si="196"/>
        <v>0</v>
      </c>
      <c r="DN199" s="468">
        <f t="shared" si="196"/>
        <v>0</v>
      </c>
      <c r="DO199" s="468">
        <f t="shared" si="196"/>
        <v>0</v>
      </c>
      <c r="DP199" s="468">
        <f t="shared" si="196"/>
        <v>0</v>
      </c>
      <c r="DQ199" s="468">
        <f t="shared" si="196"/>
        <v>0</v>
      </c>
      <c r="DR199" s="468">
        <f t="shared" si="196"/>
        <v>0</v>
      </c>
      <c r="DS199" s="468">
        <f t="shared" si="196"/>
        <v>0</v>
      </c>
      <c r="DT199" s="468">
        <f t="shared" si="196"/>
        <v>0</v>
      </c>
      <c r="DU199" s="468">
        <f t="shared" si="196"/>
        <v>0</v>
      </c>
      <c r="DV199" s="468">
        <f t="shared" si="196"/>
        <v>0</v>
      </c>
      <c r="DW199" s="322" t="s">
        <v>372</v>
      </c>
    </row>
    <row r="200" spans="3:127" hidden="1" outlineLevel="1" x14ac:dyDescent="0.3">
      <c r="C200" s="374" t="s">
        <v>401</v>
      </c>
      <c r="D200" s="360"/>
      <c r="E200" s="463">
        <f t="shared" si="194"/>
        <v>75331550.528423831</v>
      </c>
      <c r="F200" s="468">
        <v>0</v>
      </c>
      <c r="G200" s="468">
        <f t="shared" ref="G200:BR200" si="197">G198*(((1+$D$41)^(1/$K$38)-1)*G85)</f>
        <v>0</v>
      </c>
      <c r="H200" s="468">
        <f t="shared" si="197"/>
        <v>0</v>
      </c>
      <c r="I200" s="468">
        <f t="shared" si="197"/>
        <v>347004.4957368208</v>
      </c>
      <c r="J200" s="468">
        <f t="shared" si="197"/>
        <v>0</v>
      </c>
      <c r="K200" s="468">
        <f t="shared" si="197"/>
        <v>0</v>
      </c>
      <c r="L200" s="468">
        <f t="shared" si="197"/>
        <v>428878.01169398904</v>
      </c>
      <c r="M200" s="468">
        <f t="shared" si="197"/>
        <v>0</v>
      </c>
      <c r="N200" s="468">
        <f t="shared" si="197"/>
        <v>0</v>
      </c>
      <c r="O200" s="468">
        <f t="shared" si="197"/>
        <v>531828.50766421156</v>
      </c>
      <c r="P200" s="468">
        <f t="shared" si="197"/>
        <v>0</v>
      </c>
      <c r="Q200" s="468">
        <f t="shared" si="197"/>
        <v>0</v>
      </c>
      <c r="R200" s="468">
        <f t="shared" si="197"/>
        <v>661281.90289960767</v>
      </c>
      <c r="S200" s="468">
        <f t="shared" si="197"/>
        <v>0</v>
      </c>
      <c r="T200" s="468">
        <f t="shared" si="197"/>
        <v>0</v>
      </c>
      <c r="U200" s="468">
        <f t="shared" si="197"/>
        <v>823715.55214806658</v>
      </c>
      <c r="V200" s="468">
        <f t="shared" si="197"/>
        <v>0</v>
      </c>
      <c r="W200" s="468">
        <f t="shared" si="197"/>
        <v>0</v>
      </c>
      <c r="X200" s="468">
        <f t="shared" si="197"/>
        <v>1027792.3640652285</v>
      </c>
      <c r="Y200" s="468">
        <f t="shared" si="197"/>
        <v>0</v>
      </c>
      <c r="Z200" s="468">
        <f t="shared" si="197"/>
        <v>0</v>
      </c>
      <c r="AA200" s="468">
        <f t="shared" si="197"/>
        <v>1284405.3695929844</v>
      </c>
      <c r="AB200" s="468">
        <f t="shared" si="197"/>
        <v>0</v>
      </c>
      <c r="AC200" s="468">
        <f t="shared" si="197"/>
        <v>0</v>
      </c>
      <c r="AD200" s="468">
        <f t="shared" si="197"/>
        <v>1607079.1412349965</v>
      </c>
      <c r="AE200" s="468">
        <f t="shared" si="197"/>
        <v>0</v>
      </c>
      <c r="AF200" s="468">
        <f t="shared" si="197"/>
        <v>0</v>
      </c>
      <c r="AG200" s="468">
        <f t="shared" si="197"/>
        <v>2012464.1897478602</v>
      </c>
      <c r="AH200" s="468">
        <f t="shared" si="197"/>
        <v>0</v>
      </c>
      <c r="AI200" s="468">
        <f t="shared" si="197"/>
        <v>0</v>
      </c>
      <c r="AJ200" s="468">
        <f t="shared" si="197"/>
        <v>2522031.0322257336</v>
      </c>
      <c r="AK200" s="468">
        <f t="shared" si="197"/>
        <v>0</v>
      </c>
      <c r="AL200" s="468">
        <f t="shared" si="197"/>
        <v>0</v>
      </c>
      <c r="AM200" s="468">
        <f t="shared" si="197"/>
        <v>3162777.4146153899</v>
      </c>
      <c r="AN200" s="468">
        <f t="shared" si="197"/>
        <v>0</v>
      </c>
      <c r="AO200" s="468">
        <f t="shared" si="197"/>
        <v>0</v>
      </c>
      <c r="AP200" s="468">
        <f t="shared" si="197"/>
        <v>3968473.3357805489</v>
      </c>
      <c r="AQ200" s="468">
        <f t="shared" si="197"/>
        <v>0</v>
      </c>
      <c r="AR200" s="468">
        <f t="shared" si="197"/>
        <v>0</v>
      </c>
      <c r="AS200" s="468">
        <f t="shared" si="197"/>
        <v>4981215.910216176</v>
      </c>
      <c r="AT200" s="468">
        <f t="shared" si="197"/>
        <v>0</v>
      </c>
      <c r="AU200" s="468">
        <f t="shared" si="197"/>
        <v>0</v>
      </c>
      <c r="AV200" s="468">
        <f t="shared" si="197"/>
        <v>6254489.0734763769</v>
      </c>
      <c r="AW200" s="468">
        <f t="shared" si="197"/>
        <v>0</v>
      </c>
      <c r="AX200" s="468">
        <f t="shared" si="197"/>
        <v>0</v>
      </c>
      <c r="AY200" s="468">
        <f t="shared" si="197"/>
        <v>7855545.3140778923</v>
      </c>
      <c r="AZ200" s="468">
        <f t="shared" si="197"/>
        <v>0</v>
      </c>
      <c r="BA200" s="468">
        <f t="shared" si="197"/>
        <v>0</v>
      </c>
      <c r="BB200" s="468">
        <f t="shared" si="197"/>
        <v>9868766.9538127258</v>
      </c>
      <c r="BC200" s="468">
        <f t="shared" si="197"/>
        <v>0</v>
      </c>
      <c r="BD200" s="468">
        <f t="shared" si="197"/>
        <v>0</v>
      </c>
      <c r="BE200" s="468">
        <f t="shared" si="197"/>
        <v>12402947.352637544</v>
      </c>
      <c r="BF200" s="468">
        <f t="shared" si="197"/>
        <v>0</v>
      </c>
      <c r="BG200" s="468">
        <f t="shared" si="197"/>
        <v>0</v>
      </c>
      <c r="BH200" s="468">
        <f t="shared" si="197"/>
        <v>15590854.606797678</v>
      </c>
      <c r="BI200" s="468">
        <f t="shared" si="197"/>
        <v>0</v>
      </c>
      <c r="BJ200" s="468">
        <f t="shared" si="197"/>
        <v>0</v>
      </c>
      <c r="BK200" s="468">
        <f t="shared" si="197"/>
        <v>19599435.758907363</v>
      </c>
      <c r="BL200" s="468">
        <f t="shared" si="197"/>
        <v>0</v>
      </c>
      <c r="BM200" s="468">
        <f t="shared" si="197"/>
        <v>0</v>
      </c>
      <c r="BN200" s="468">
        <f t="shared" si="197"/>
        <v>24639959.705167018</v>
      </c>
      <c r="BO200" s="468">
        <f t="shared" si="197"/>
        <v>0</v>
      </c>
      <c r="BP200" s="468">
        <f t="shared" si="197"/>
        <v>0</v>
      </c>
      <c r="BQ200" s="468">
        <f t="shared" si="197"/>
        <v>30323447.615909416</v>
      </c>
      <c r="BR200" s="468">
        <f t="shared" si="197"/>
        <v>0</v>
      </c>
      <c r="BS200" s="468">
        <f t="shared" ref="BS200:DV200" si="198">BS198*(((1+$D$41)^(1/$K$38)-1)*BS85)</f>
        <v>0</v>
      </c>
      <c r="BT200" s="468">
        <f t="shared" si="198"/>
        <v>38129716.73548381</v>
      </c>
      <c r="BU200" s="468">
        <f t="shared" si="198"/>
        <v>0</v>
      </c>
      <c r="BV200" s="468">
        <f t="shared" si="198"/>
        <v>0</v>
      </c>
      <c r="BW200" s="468">
        <f t="shared" si="198"/>
        <v>47945580.487538233</v>
      </c>
      <c r="BX200" s="468">
        <f t="shared" si="198"/>
        <v>0</v>
      </c>
      <c r="BY200" s="468">
        <f t="shared" si="198"/>
        <v>0</v>
      </c>
      <c r="BZ200" s="468">
        <f t="shared" si="198"/>
        <v>60288375.710584424</v>
      </c>
      <c r="CA200" s="468">
        <f t="shared" si="198"/>
        <v>0</v>
      </c>
      <c r="CB200" s="468">
        <f t="shared" si="198"/>
        <v>0</v>
      </c>
      <c r="CC200" s="468">
        <f t="shared" si="198"/>
        <v>75808619.039773554</v>
      </c>
      <c r="CD200" s="468">
        <f t="shared" si="198"/>
        <v>0</v>
      </c>
      <c r="CE200" s="468">
        <f t="shared" si="198"/>
        <v>0</v>
      </c>
      <c r="CF200" s="468">
        <f t="shared" si="198"/>
        <v>95324291.838709548</v>
      </c>
      <c r="CG200" s="468">
        <f t="shared" si="198"/>
        <v>0</v>
      </c>
      <c r="CH200" s="468">
        <f t="shared" si="198"/>
        <v>0</v>
      </c>
      <c r="CI200" s="468">
        <f t="shared" si="198"/>
        <v>119863951.21884561</v>
      </c>
      <c r="CJ200" s="468">
        <f t="shared" si="198"/>
        <v>0</v>
      </c>
      <c r="CK200" s="468">
        <f t="shared" si="198"/>
        <v>0</v>
      </c>
      <c r="CL200" s="468">
        <f t="shared" si="198"/>
        <v>150720939.27646112</v>
      </c>
      <c r="CM200" s="468">
        <f t="shared" si="198"/>
        <v>0</v>
      </c>
      <c r="CN200" s="468">
        <f t="shared" si="198"/>
        <v>0</v>
      </c>
      <c r="CO200" s="468">
        <f t="shared" si="198"/>
        <v>189521547.59943396</v>
      </c>
      <c r="CP200" s="468">
        <f t="shared" si="198"/>
        <v>0</v>
      </c>
      <c r="CQ200" s="468">
        <f t="shared" si="198"/>
        <v>0</v>
      </c>
      <c r="CR200" s="468">
        <f t="shared" si="198"/>
        <v>238310729.59677392</v>
      </c>
      <c r="CS200" s="468">
        <f t="shared" si="198"/>
        <v>0</v>
      </c>
      <c r="CT200" s="468">
        <f t="shared" si="198"/>
        <v>0</v>
      </c>
      <c r="CU200" s="468">
        <f t="shared" si="198"/>
        <v>299659878.04711407</v>
      </c>
      <c r="CV200" s="468">
        <f t="shared" si="198"/>
        <v>0</v>
      </c>
      <c r="CW200" s="468">
        <f t="shared" si="198"/>
        <v>0</v>
      </c>
      <c r="CX200" s="468">
        <f t="shared" si="198"/>
        <v>376802348.19115287</v>
      </c>
      <c r="CY200" s="468">
        <f t="shared" si="198"/>
        <v>0</v>
      </c>
      <c r="CZ200" s="468">
        <f t="shared" si="198"/>
        <v>0</v>
      </c>
      <c r="DA200" s="468">
        <f t="shared" si="198"/>
        <v>473803868.99858493</v>
      </c>
      <c r="DB200" s="468">
        <f t="shared" si="198"/>
        <v>0</v>
      </c>
      <c r="DC200" s="468">
        <f t="shared" si="198"/>
        <v>0</v>
      </c>
      <c r="DD200" s="468">
        <f t="shared" si="198"/>
        <v>595776823.9919349</v>
      </c>
      <c r="DE200" s="468">
        <f t="shared" si="198"/>
        <v>0</v>
      </c>
      <c r="DF200" s="468">
        <f t="shared" si="198"/>
        <v>0</v>
      </c>
      <c r="DG200" s="468">
        <f t="shared" si="198"/>
        <v>749149695.11778533</v>
      </c>
      <c r="DH200" s="468">
        <f t="shared" si="198"/>
        <v>0</v>
      </c>
      <c r="DI200" s="468">
        <f t="shared" si="198"/>
        <v>0</v>
      </c>
      <c r="DJ200" s="468">
        <f t="shared" si="198"/>
        <v>942005870.47788227</v>
      </c>
      <c r="DK200" s="468">
        <f t="shared" si="198"/>
        <v>0</v>
      </c>
      <c r="DL200" s="468">
        <f t="shared" si="198"/>
        <v>0</v>
      </c>
      <c r="DM200" s="468">
        <f t="shared" si="198"/>
        <v>1184509672.4964626</v>
      </c>
      <c r="DN200" s="468">
        <f t="shared" si="198"/>
        <v>0</v>
      </c>
      <c r="DO200" s="468">
        <f t="shared" si="198"/>
        <v>0</v>
      </c>
      <c r="DP200" s="468">
        <f t="shared" si="198"/>
        <v>1489442059.9798377</v>
      </c>
      <c r="DQ200" s="468">
        <f t="shared" si="198"/>
        <v>0</v>
      </c>
      <c r="DR200" s="468">
        <f t="shared" si="198"/>
        <v>0</v>
      </c>
      <c r="DS200" s="468">
        <f t="shared" si="198"/>
        <v>1872874237.7944639</v>
      </c>
      <c r="DT200" s="468">
        <f t="shared" si="198"/>
        <v>0</v>
      </c>
      <c r="DU200" s="468">
        <f t="shared" si="198"/>
        <v>0</v>
      </c>
      <c r="DV200" s="468">
        <f t="shared" si="198"/>
        <v>2355014676.1947064</v>
      </c>
      <c r="DW200" s="322" t="s">
        <v>372</v>
      </c>
    </row>
    <row r="201" spans="3:127" hidden="1" outlineLevel="1" x14ac:dyDescent="0.3">
      <c r="C201" s="469" t="str">
        <f>C170</f>
        <v>8.0% Accrual / 0.0x MOIC Distribution</v>
      </c>
      <c r="D201" s="360"/>
      <c r="E201" s="463">
        <f t="shared" si="194"/>
        <v>-558296.4634147638</v>
      </c>
      <c r="F201" s="468">
        <v>0</v>
      </c>
      <c r="G201" s="468">
        <f t="shared" ref="G201:BR202" si="199">G170</f>
        <v>-9655.6243749999994</v>
      </c>
      <c r="H201" s="468">
        <f t="shared" si="199"/>
        <v>-9655.6243749999994</v>
      </c>
      <c r="I201" s="468">
        <f t="shared" si="199"/>
        <v>-9655.6243749999994</v>
      </c>
      <c r="J201" s="468">
        <f t="shared" si="199"/>
        <v>-9655.6243749999994</v>
      </c>
      <c r="K201" s="468">
        <f t="shared" si="199"/>
        <v>-9655.6243749999994</v>
      </c>
      <c r="L201" s="468">
        <f t="shared" si="199"/>
        <v>-9655.6243749999994</v>
      </c>
      <c r="M201" s="468">
        <f t="shared" si="199"/>
        <v>-9655.6243749999994</v>
      </c>
      <c r="N201" s="468">
        <f t="shared" si="199"/>
        <v>-9655.6243749999994</v>
      </c>
      <c r="O201" s="468">
        <f t="shared" si="199"/>
        <v>-9655.6243749999994</v>
      </c>
      <c r="P201" s="468">
        <f t="shared" si="199"/>
        <v>-9655.6243749999994</v>
      </c>
      <c r="Q201" s="468">
        <f t="shared" si="199"/>
        <v>-9655.6243749999994</v>
      </c>
      <c r="R201" s="468">
        <f t="shared" si="199"/>
        <v>-9655.6243749999994</v>
      </c>
      <c r="S201" s="468">
        <f t="shared" si="199"/>
        <v>-10326.433731250003</v>
      </c>
      <c r="T201" s="468">
        <f t="shared" si="199"/>
        <v>-10326.433731250003</v>
      </c>
      <c r="U201" s="468">
        <f t="shared" si="199"/>
        <v>-10326.433731250003</v>
      </c>
      <c r="V201" s="468">
        <f t="shared" si="199"/>
        <v>-10326.433731250003</v>
      </c>
      <c r="W201" s="468">
        <f t="shared" si="199"/>
        <v>-10326.433731250003</v>
      </c>
      <c r="X201" s="468">
        <f t="shared" si="199"/>
        <v>-10326.433731250003</v>
      </c>
      <c r="Y201" s="468">
        <f t="shared" si="199"/>
        <v>-10326.433731250003</v>
      </c>
      <c r="Z201" s="468">
        <f t="shared" si="199"/>
        <v>-10326.433731250003</v>
      </c>
      <c r="AA201" s="468">
        <f t="shared" si="199"/>
        <v>-10326.433731250003</v>
      </c>
      <c r="AB201" s="468">
        <f t="shared" si="199"/>
        <v>-10326.433731250003</v>
      </c>
      <c r="AC201" s="468">
        <f t="shared" si="199"/>
        <v>-10326.433731250003</v>
      </c>
      <c r="AD201" s="468">
        <f t="shared" si="199"/>
        <v>-10326.433731250003</v>
      </c>
      <c r="AE201" s="468">
        <f t="shared" si="199"/>
        <v>-11017.367368187497</v>
      </c>
      <c r="AF201" s="468">
        <f t="shared" si="199"/>
        <v>-11017.367368187497</v>
      </c>
      <c r="AG201" s="468">
        <f t="shared" si="199"/>
        <v>-11017.367368187497</v>
      </c>
      <c r="AH201" s="468">
        <f t="shared" si="199"/>
        <v>-11017.367368187497</v>
      </c>
      <c r="AI201" s="468">
        <f t="shared" si="199"/>
        <v>-11017.367368187497</v>
      </c>
      <c r="AJ201" s="468">
        <f t="shared" si="199"/>
        <v>-11017.367368187497</v>
      </c>
      <c r="AK201" s="468">
        <f t="shared" si="199"/>
        <v>-11017.367368187497</v>
      </c>
      <c r="AL201" s="468">
        <f t="shared" si="199"/>
        <v>-11017.367368187497</v>
      </c>
      <c r="AM201" s="468">
        <f t="shared" si="199"/>
        <v>-11017.367368187497</v>
      </c>
      <c r="AN201" s="468">
        <f t="shared" si="199"/>
        <v>-11017.367368187497</v>
      </c>
      <c r="AO201" s="468">
        <f t="shared" si="199"/>
        <v>-11017.367368187497</v>
      </c>
      <c r="AP201" s="468">
        <f t="shared" si="199"/>
        <v>-11017.367368187497</v>
      </c>
      <c r="AQ201" s="468">
        <f t="shared" si="199"/>
        <v>-11729.029014233121</v>
      </c>
      <c r="AR201" s="468">
        <f t="shared" si="199"/>
        <v>-11729.029014233121</v>
      </c>
      <c r="AS201" s="468">
        <f t="shared" si="199"/>
        <v>-11729.029014233121</v>
      </c>
      <c r="AT201" s="468">
        <f t="shared" si="199"/>
        <v>-11729.029014233121</v>
      </c>
      <c r="AU201" s="468">
        <f t="shared" si="199"/>
        <v>-11729.029014233121</v>
      </c>
      <c r="AV201" s="468">
        <f t="shared" si="199"/>
        <v>-11729.029014233121</v>
      </c>
      <c r="AW201" s="468">
        <f t="shared" si="199"/>
        <v>-11729.029014233121</v>
      </c>
      <c r="AX201" s="468">
        <f t="shared" si="199"/>
        <v>-11729.029014233121</v>
      </c>
      <c r="AY201" s="468">
        <f t="shared" si="199"/>
        <v>-11729.029014233121</v>
      </c>
      <c r="AZ201" s="468">
        <f t="shared" si="199"/>
        <v>-11729.029014233121</v>
      </c>
      <c r="BA201" s="468">
        <f t="shared" si="199"/>
        <v>-11729.029014233121</v>
      </c>
      <c r="BB201" s="468">
        <f t="shared" si="199"/>
        <v>-11729.029014233121</v>
      </c>
      <c r="BC201" s="468">
        <f t="shared" si="199"/>
        <v>-6507.8585072451388</v>
      </c>
      <c r="BD201" s="468">
        <f t="shared" si="199"/>
        <v>-6507.8585072451388</v>
      </c>
      <c r="BE201" s="468">
        <f t="shared" si="199"/>
        <v>-6507.8585072451388</v>
      </c>
      <c r="BF201" s="468">
        <f t="shared" si="199"/>
        <v>-6507.8585072451388</v>
      </c>
      <c r="BG201" s="468">
        <f t="shared" si="199"/>
        <v>-6507.8585072451388</v>
      </c>
      <c r="BH201" s="468">
        <f t="shared" si="199"/>
        <v>-6507.8585072451388</v>
      </c>
      <c r="BI201" s="468">
        <f t="shared" si="199"/>
        <v>-6507.8585072451388</v>
      </c>
      <c r="BJ201" s="468">
        <f t="shared" si="199"/>
        <v>-6507.8585072451388</v>
      </c>
      <c r="BK201" s="468">
        <f t="shared" si="199"/>
        <v>-6507.8585072451388</v>
      </c>
      <c r="BL201" s="468">
        <f t="shared" si="199"/>
        <v>-6507.8585072451388</v>
      </c>
      <c r="BM201" s="468">
        <f t="shared" si="199"/>
        <v>-6507.8585072451388</v>
      </c>
      <c r="BN201" s="468">
        <f t="shared" si="199"/>
        <v>-1287486.8650543864</v>
      </c>
      <c r="BO201" s="468">
        <f t="shared" si="199"/>
        <v>0</v>
      </c>
      <c r="BP201" s="468">
        <f t="shared" si="199"/>
        <v>0</v>
      </c>
      <c r="BQ201" s="468">
        <f t="shared" si="199"/>
        <v>0</v>
      </c>
      <c r="BR201" s="468">
        <f t="shared" si="199"/>
        <v>0</v>
      </c>
      <c r="BS201" s="468">
        <f t="shared" ref="BS201:DV202" si="200">BS170</f>
        <v>0</v>
      </c>
      <c r="BT201" s="468">
        <f t="shared" si="200"/>
        <v>0</v>
      </c>
      <c r="BU201" s="468">
        <f t="shared" si="200"/>
        <v>0</v>
      </c>
      <c r="BV201" s="468">
        <f t="shared" si="200"/>
        <v>0</v>
      </c>
      <c r="BW201" s="468">
        <f t="shared" si="200"/>
        <v>0</v>
      </c>
      <c r="BX201" s="468">
        <f t="shared" si="200"/>
        <v>0</v>
      </c>
      <c r="BY201" s="468">
        <f t="shared" si="200"/>
        <v>0</v>
      </c>
      <c r="BZ201" s="468">
        <f t="shared" si="200"/>
        <v>0</v>
      </c>
      <c r="CA201" s="468">
        <f t="shared" si="200"/>
        <v>0</v>
      </c>
      <c r="CB201" s="468">
        <f t="shared" si="200"/>
        <v>0</v>
      </c>
      <c r="CC201" s="468">
        <f t="shared" si="200"/>
        <v>0</v>
      </c>
      <c r="CD201" s="468">
        <f t="shared" si="200"/>
        <v>0</v>
      </c>
      <c r="CE201" s="468">
        <f t="shared" si="200"/>
        <v>0</v>
      </c>
      <c r="CF201" s="468">
        <f t="shared" si="200"/>
        <v>0</v>
      </c>
      <c r="CG201" s="468">
        <f t="shared" si="200"/>
        <v>0</v>
      </c>
      <c r="CH201" s="468">
        <f t="shared" si="200"/>
        <v>0</v>
      </c>
      <c r="CI201" s="468">
        <f t="shared" si="200"/>
        <v>0</v>
      </c>
      <c r="CJ201" s="468">
        <f t="shared" si="200"/>
        <v>0</v>
      </c>
      <c r="CK201" s="468">
        <f t="shared" si="200"/>
        <v>0</v>
      </c>
      <c r="CL201" s="468">
        <f t="shared" si="200"/>
        <v>0</v>
      </c>
      <c r="CM201" s="468">
        <f t="shared" si="200"/>
        <v>0</v>
      </c>
      <c r="CN201" s="468">
        <f t="shared" si="200"/>
        <v>0</v>
      </c>
      <c r="CO201" s="468">
        <f t="shared" si="200"/>
        <v>0</v>
      </c>
      <c r="CP201" s="468">
        <f t="shared" si="200"/>
        <v>0</v>
      </c>
      <c r="CQ201" s="468">
        <f t="shared" si="200"/>
        <v>0</v>
      </c>
      <c r="CR201" s="468">
        <f t="shared" si="200"/>
        <v>0</v>
      </c>
      <c r="CS201" s="468">
        <f t="shared" si="200"/>
        <v>0</v>
      </c>
      <c r="CT201" s="468">
        <f t="shared" si="200"/>
        <v>0</v>
      </c>
      <c r="CU201" s="468">
        <f t="shared" si="200"/>
        <v>0</v>
      </c>
      <c r="CV201" s="468">
        <f t="shared" si="200"/>
        <v>0</v>
      </c>
      <c r="CW201" s="468">
        <f t="shared" si="200"/>
        <v>0</v>
      </c>
      <c r="CX201" s="468">
        <f t="shared" si="200"/>
        <v>0</v>
      </c>
      <c r="CY201" s="468">
        <f t="shared" si="200"/>
        <v>0</v>
      </c>
      <c r="CZ201" s="468">
        <f t="shared" si="200"/>
        <v>0</v>
      </c>
      <c r="DA201" s="468">
        <f t="shared" si="200"/>
        <v>0</v>
      </c>
      <c r="DB201" s="468">
        <f t="shared" si="200"/>
        <v>0</v>
      </c>
      <c r="DC201" s="468">
        <f t="shared" si="200"/>
        <v>0</v>
      </c>
      <c r="DD201" s="468">
        <f t="shared" si="200"/>
        <v>0</v>
      </c>
      <c r="DE201" s="468">
        <f t="shared" si="200"/>
        <v>0</v>
      </c>
      <c r="DF201" s="468">
        <f t="shared" si="200"/>
        <v>0</v>
      </c>
      <c r="DG201" s="468">
        <f t="shared" si="200"/>
        <v>0</v>
      </c>
      <c r="DH201" s="468">
        <f t="shared" si="200"/>
        <v>0</v>
      </c>
      <c r="DI201" s="468">
        <f t="shared" si="200"/>
        <v>0</v>
      </c>
      <c r="DJ201" s="468">
        <f t="shared" si="200"/>
        <v>0</v>
      </c>
      <c r="DK201" s="468">
        <f t="shared" si="200"/>
        <v>0</v>
      </c>
      <c r="DL201" s="468">
        <f t="shared" si="200"/>
        <v>0</v>
      </c>
      <c r="DM201" s="468">
        <f t="shared" si="200"/>
        <v>0</v>
      </c>
      <c r="DN201" s="468">
        <f t="shared" si="200"/>
        <v>0</v>
      </c>
      <c r="DO201" s="468">
        <f t="shared" si="200"/>
        <v>0</v>
      </c>
      <c r="DP201" s="468">
        <f t="shared" si="200"/>
        <v>0</v>
      </c>
      <c r="DQ201" s="468">
        <f t="shared" si="200"/>
        <v>0</v>
      </c>
      <c r="DR201" s="468">
        <f t="shared" si="200"/>
        <v>0</v>
      </c>
      <c r="DS201" s="468">
        <f t="shared" si="200"/>
        <v>0</v>
      </c>
      <c r="DT201" s="468">
        <f t="shared" si="200"/>
        <v>0</v>
      </c>
      <c r="DU201" s="468">
        <f t="shared" si="200"/>
        <v>0</v>
      </c>
      <c r="DV201" s="468">
        <f t="shared" si="200"/>
        <v>0</v>
      </c>
      <c r="DW201" s="322" t="s">
        <v>372</v>
      </c>
    </row>
    <row r="202" spans="3:127" hidden="1" outlineLevel="1" x14ac:dyDescent="0.3">
      <c r="C202" s="469" t="str">
        <f>C171</f>
        <v>15.00% Accrual Distribution / 1.7x MOIC Distribution</v>
      </c>
      <c r="D202" s="360"/>
      <c r="E202" s="463">
        <f t="shared" si="194"/>
        <v>0</v>
      </c>
      <c r="F202" s="468">
        <v>0</v>
      </c>
      <c r="G202" s="468">
        <f t="shared" si="199"/>
        <v>0</v>
      </c>
      <c r="H202" s="468">
        <f t="shared" si="199"/>
        <v>0</v>
      </c>
      <c r="I202" s="468">
        <f t="shared" si="199"/>
        <v>0</v>
      </c>
      <c r="J202" s="468">
        <f t="shared" si="199"/>
        <v>0</v>
      </c>
      <c r="K202" s="468">
        <f t="shared" si="199"/>
        <v>0</v>
      </c>
      <c r="L202" s="468">
        <f t="shared" si="199"/>
        <v>0</v>
      </c>
      <c r="M202" s="468">
        <f t="shared" si="199"/>
        <v>0</v>
      </c>
      <c r="N202" s="468">
        <f t="shared" si="199"/>
        <v>0</v>
      </c>
      <c r="O202" s="468">
        <f t="shared" si="199"/>
        <v>0</v>
      </c>
      <c r="P202" s="468">
        <f t="shared" si="199"/>
        <v>0</v>
      </c>
      <c r="Q202" s="468">
        <f t="shared" si="199"/>
        <v>0</v>
      </c>
      <c r="R202" s="468">
        <f t="shared" si="199"/>
        <v>0</v>
      </c>
      <c r="S202" s="468">
        <f t="shared" si="199"/>
        <v>0</v>
      </c>
      <c r="T202" s="468">
        <f t="shared" si="199"/>
        <v>0</v>
      </c>
      <c r="U202" s="468">
        <f t="shared" si="199"/>
        <v>0</v>
      </c>
      <c r="V202" s="468">
        <f t="shared" si="199"/>
        <v>0</v>
      </c>
      <c r="W202" s="468">
        <f t="shared" si="199"/>
        <v>0</v>
      </c>
      <c r="X202" s="468">
        <f t="shared" si="199"/>
        <v>0</v>
      </c>
      <c r="Y202" s="468">
        <f t="shared" si="199"/>
        <v>0</v>
      </c>
      <c r="Z202" s="468">
        <f t="shared" si="199"/>
        <v>0</v>
      </c>
      <c r="AA202" s="468">
        <f t="shared" si="199"/>
        <v>0</v>
      </c>
      <c r="AB202" s="468">
        <f t="shared" si="199"/>
        <v>0</v>
      </c>
      <c r="AC202" s="468">
        <f t="shared" si="199"/>
        <v>0</v>
      </c>
      <c r="AD202" s="468">
        <f t="shared" si="199"/>
        <v>0</v>
      </c>
      <c r="AE202" s="468">
        <f t="shared" si="199"/>
        <v>0</v>
      </c>
      <c r="AF202" s="468">
        <f t="shared" si="199"/>
        <v>0</v>
      </c>
      <c r="AG202" s="468">
        <f t="shared" si="199"/>
        <v>0</v>
      </c>
      <c r="AH202" s="468">
        <f t="shared" si="199"/>
        <v>0</v>
      </c>
      <c r="AI202" s="468">
        <f t="shared" si="199"/>
        <v>0</v>
      </c>
      <c r="AJ202" s="468">
        <f t="shared" si="199"/>
        <v>0</v>
      </c>
      <c r="AK202" s="468">
        <f t="shared" si="199"/>
        <v>0</v>
      </c>
      <c r="AL202" s="468">
        <f t="shared" si="199"/>
        <v>0</v>
      </c>
      <c r="AM202" s="468">
        <f t="shared" si="199"/>
        <v>0</v>
      </c>
      <c r="AN202" s="468">
        <f t="shared" si="199"/>
        <v>0</v>
      </c>
      <c r="AO202" s="468">
        <f t="shared" si="199"/>
        <v>0</v>
      </c>
      <c r="AP202" s="468">
        <f t="shared" si="199"/>
        <v>0</v>
      </c>
      <c r="AQ202" s="468">
        <f t="shared" si="199"/>
        <v>0</v>
      </c>
      <c r="AR202" s="468">
        <f t="shared" si="199"/>
        <v>0</v>
      </c>
      <c r="AS202" s="468">
        <f t="shared" si="199"/>
        <v>0</v>
      </c>
      <c r="AT202" s="468">
        <f t="shared" si="199"/>
        <v>0</v>
      </c>
      <c r="AU202" s="468">
        <f t="shared" si="199"/>
        <v>0</v>
      </c>
      <c r="AV202" s="468">
        <f t="shared" si="199"/>
        <v>0</v>
      </c>
      <c r="AW202" s="468">
        <f t="shared" si="199"/>
        <v>0</v>
      </c>
      <c r="AX202" s="468">
        <f t="shared" si="199"/>
        <v>0</v>
      </c>
      <c r="AY202" s="468">
        <f t="shared" si="199"/>
        <v>0</v>
      </c>
      <c r="AZ202" s="468">
        <f t="shared" si="199"/>
        <v>0</v>
      </c>
      <c r="BA202" s="468">
        <f t="shared" si="199"/>
        <v>0</v>
      </c>
      <c r="BB202" s="468">
        <f t="shared" si="199"/>
        <v>0</v>
      </c>
      <c r="BC202" s="468">
        <f t="shared" si="199"/>
        <v>0</v>
      </c>
      <c r="BD202" s="468">
        <f t="shared" si="199"/>
        <v>0</v>
      </c>
      <c r="BE202" s="468">
        <f t="shared" si="199"/>
        <v>0</v>
      </c>
      <c r="BF202" s="468">
        <f t="shared" si="199"/>
        <v>0</v>
      </c>
      <c r="BG202" s="468">
        <f t="shared" si="199"/>
        <v>0</v>
      </c>
      <c r="BH202" s="468">
        <f t="shared" si="199"/>
        <v>0</v>
      </c>
      <c r="BI202" s="468">
        <f t="shared" si="199"/>
        <v>0</v>
      </c>
      <c r="BJ202" s="468">
        <f t="shared" si="199"/>
        <v>0</v>
      </c>
      <c r="BK202" s="468">
        <f t="shared" si="199"/>
        <v>0</v>
      </c>
      <c r="BL202" s="468">
        <f t="shared" si="199"/>
        <v>0</v>
      </c>
      <c r="BM202" s="468">
        <f t="shared" si="199"/>
        <v>0</v>
      </c>
      <c r="BN202" s="468">
        <f t="shared" si="199"/>
        <v>-598971.85878531402</v>
      </c>
      <c r="BO202" s="468">
        <f t="shared" si="199"/>
        <v>0</v>
      </c>
      <c r="BP202" s="468">
        <f t="shared" si="199"/>
        <v>0</v>
      </c>
      <c r="BQ202" s="468">
        <f t="shared" si="199"/>
        <v>0</v>
      </c>
      <c r="BR202" s="468">
        <f t="shared" si="199"/>
        <v>0</v>
      </c>
      <c r="BS202" s="468">
        <f t="shared" si="200"/>
        <v>0</v>
      </c>
      <c r="BT202" s="468">
        <f t="shared" si="200"/>
        <v>0</v>
      </c>
      <c r="BU202" s="468">
        <f t="shared" si="200"/>
        <v>0</v>
      </c>
      <c r="BV202" s="468">
        <f t="shared" si="200"/>
        <v>0</v>
      </c>
      <c r="BW202" s="468">
        <f t="shared" si="200"/>
        <v>0</v>
      </c>
      <c r="BX202" s="468">
        <f t="shared" si="200"/>
        <v>0</v>
      </c>
      <c r="BY202" s="468">
        <f t="shared" si="200"/>
        <v>0</v>
      </c>
      <c r="BZ202" s="468">
        <f t="shared" si="200"/>
        <v>0</v>
      </c>
      <c r="CA202" s="468">
        <f t="shared" si="200"/>
        <v>0</v>
      </c>
      <c r="CB202" s="468">
        <f t="shared" si="200"/>
        <v>0</v>
      </c>
      <c r="CC202" s="468">
        <f t="shared" si="200"/>
        <v>0</v>
      </c>
      <c r="CD202" s="468">
        <f t="shared" si="200"/>
        <v>0</v>
      </c>
      <c r="CE202" s="468">
        <f t="shared" si="200"/>
        <v>0</v>
      </c>
      <c r="CF202" s="468">
        <f t="shared" si="200"/>
        <v>0</v>
      </c>
      <c r="CG202" s="468">
        <f t="shared" si="200"/>
        <v>0</v>
      </c>
      <c r="CH202" s="468">
        <f t="shared" si="200"/>
        <v>0</v>
      </c>
      <c r="CI202" s="468">
        <f t="shared" si="200"/>
        <v>0</v>
      </c>
      <c r="CJ202" s="468">
        <f t="shared" si="200"/>
        <v>0</v>
      </c>
      <c r="CK202" s="468">
        <f t="shared" si="200"/>
        <v>0</v>
      </c>
      <c r="CL202" s="468">
        <f t="shared" si="200"/>
        <v>0</v>
      </c>
      <c r="CM202" s="468">
        <f t="shared" si="200"/>
        <v>0</v>
      </c>
      <c r="CN202" s="468">
        <f t="shared" si="200"/>
        <v>0</v>
      </c>
      <c r="CO202" s="468">
        <f t="shared" si="200"/>
        <v>0</v>
      </c>
      <c r="CP202" s="468">
        <f t="shared" si="200"/>
        <v>0</v>
      </c>
      <c r="CQ202" s="468">
        <f t="shared" si="200"/>
        <v>0</v>
      </c>
      <c r="CR202" s="468">
        <f t="shared" si="200"/>
        <v>0</v>
      </c>
      <c r="CS202" s="468">
        <f t="shared" si="200"/>
        <v>0</v>
      </c>
      <c r="CT202" s="468">
        <f t="shared" si="200"/>
        <v>0</v>
      </c>
      <c r="CU202" s="468">
        <f t="shared" si="200"/>
        <v>0</v>
      </c>
      <c r="CV202" s="468">
        <f t="shared" si="200"/>
        <v>0</v>
      </c>
      <c r="CW202" s="468">
        <f t="shared" si="200"/>
        <v>0</v>
      </c>
      <c r="CX202" s="468">
        <f t="shared" si="200"/>
        <v>0</v>
      </c>
      <c r="CY202" s="468">
        <f t="shared" si="200"/>
        <v>0</v>
      </c>
      <c r="CZ202" s="468">
        <f t="shared" si="200"/>
        <v>0</v>
      </c>
      <c r="DA202" s="468">
        <f t="shared" si="200"/>
        <v>0</v>
      </c>
      <c r="DB202" s="468">
        <f t="shared" si="200"/>
        <v>0</v>
      </c>
      <c r="DC202" s="468">
        <f t="shared" si="200"/>
        <v>0</v>
      </c>
      <c r="DD202" s="468">
        <f t="shared" si="200"/>
        <v>0</v>
      </c>
      <c r="DE202" s="468">
        <f t="shared" si="200"/>
        <v>0</v>
      </c>
      <c r="DF202" s="468">
        <f t="shared" si="200"/>
        <v>0</v>
      </c>
      <c r="DG202" s="468">
        <f t="shared" si="200"/>
        <v>0</v>
      </c>
      <c r="DH202" s="468">
        <f t="shared" si="200"/>
        <v>0</v>
      </c>
      <c r="DI202" s="468">
        <f t="shared" si="200"/>
        <v>0</v>
      </c>
      <c r="DJ202" s="468">
        <f t="shared" si="200"/>
        <v>0</v>
      </c>
      <c r="DK202" s="468">
        <f t="shared" si="200"/>
        <v>0</v>
      </c>
      <c r="DL202" s="468">
        <f t="shared" si="200"/>
        <v>0</v>
      </c>
      <c r="DM202" s="468">
        <f t="shared" si="200"/>
        <v>0</v>
      </c>
      <c r="DN202" s="468">
        <f t="shared" si="200"/>
        <v>0</v>
      </c>
      <c r="DO202" s="468">
        <f t="shared" si="200"/>
        <v>0</v>
      </c>
      <c r="DP202" s="468">
        <f t="shared" si="200"/>
        <v>0</v>
      </c>
      <c r="DQ202" s="468">
        <f t="shared" si="200"/>
        <v>0</v>
      </c>
      <c r="DR202" s="468">
        <f t="shared" si="200"/>
        <v>0</v>
      </c>
      <c r="DS202" s="468">
        <f t="shared" si="200"/>
        <v>0</v>
      </c>
      <c r="DT202" s="468">
        <f t="shared" si="200"/>
        <v>0</v>
      </c>
      <c r="DU202" s="468">
        <f t="shared" si="200"/>
        <v>0</v>
      </c>
      <c r="DV202" s="468">
        <f t="shared" si="200"/>
        <v>0</v>
      </c>
      <c r="DW202" s="322" t="s">
        <v>372</v>
      </c>
    </row>
    <row r="203" spans="3:127" hidden="1" outlineLevel="1" x14ac:dyDescent="0.3">
      <c r="C203" s="469" t="str">
        <f>TEXT(D40,"0.00%")&amp;" Accrual / "&amp;TEXT(D178,"0.0x")&amp;" MOIC Distribution"</f>
        <v>20.00% Accrual / 2.0x MOIC Distribution</v>
      </c>
      <c r="D203" s="360"/>
      <c r="E203" s="468">
        <f t="shared" si="194"/>
        <v>0</v>
      </c>
      <c r="F203" s="468">
        <f t="shared" ref="F203:BQ203" si="201">F187</f>
        <v>0</v>
      </c>
      <c r="G203" s="468">
        <f t="shared" si="201"/>
        <v>0</v>
      </c>
      <c r="H203" s="468">
        <f t="shared" si="201"/>
        <v>0</v>
      </c>
      <c r="I203" s="468">
        <f t="shared" si="201"/>
        <v>0</v>
      </c>
      <c r="J203" s="468">
        <f t="shared" si="201"/>
        <v>0</v>
      </c>
      <c r="K203" s="468">
        <f t="shared" si="201"/>
        <v>0</v>
      </c>
      <c r="L203" s="468">
        <f t="shared" si="201"/>
        <v>0</v>
      </c>
      <c r="M203" s="468">
        <f t="shared" si="201"/>
        <v>0</v>
      </c>
      <c r="N203" s="468">
        <f t="shared" si="201"/>
        <v>0</v>
      </c>
      <c r="O203" s="468">
        <f t="shared" si="201"/>
        <v>0</v>
      </c>
      <c r="P203" s="468">
        <f t="shared" si="201"/>
        <v>0</v>
      </c>
      <c r="Q203" s="468">
        <f t="shared" si="201"/>
        <v>0</v>
      </c>
      <c r="R203" s="468">
        <f t="shared" si="201"/>
        <v>0</v>
      </c>
      <c r="S203" s="468">
        <f t="shared" si="201"/>
        <v>0</v>
      </c>
      <c r="T203" s="468">
        <f t="shared" si="201"/>
        <v>0</v>
      </c>
      <c r="U203" s="468">
        <f t="shared" si="201"/>
        <v>0</v>
      </c>
      <c r="V203" s="468">
        <f t="shared" si="201"/>
        <v>0</v>
      </c>
      <c r="W203" s="468">
        <f t="shared" si="201"/>
        <v>0</v>
      </c>
      <c r="X203" s="468">
        <f t="shared" si="201"/>
        <v>0</v>
      </c>
      <c r="Y203" s="468">
        <f t="shared" si="201"/>
        <v>0</v>
      </c>
      <c r="Z203" s="468">
        <f t="shared" si="201"/>
        <v>0</v>
      </c>
      <c r="AA203" s="468">
        <f t="shared" si="201"/>
        <v>0</v>
      </c>
      <c r="AB203" s="468">
        <f t="shared" si="201"/>
        <v>0</v>
      </c>
      <c r="AC203" s="468">
        <f t="shared" si="201"/>
        <v>0</v>
      </c>
      <c r="AD203" s="468">
        <f t="shared" si="201"/>
        <v>0</v>
      </c>
      <c r="AE203" s="468">
        <f t="shared" si="201"/>
        <v>0</v>
      </c>
      <c r="AF203" s="468">
        <f t="shared" si="201"/>
        <v>0</v>
      </c>
      <c r="AG203" s="468">
        <f t="shared" si="201"/>
        <v>0</v>
      </c>
      <c r="AH203" s="468">
        <f t="shared" si="201"/>
        <v>0</v>
      </c>
      <c r="AI203" s="468">
        <f t="shared" si="201"/>
        <v>0</v>
      </c>
      <c r="AJ203" s="468">
        <f t="shared" si="201"/>
        <v>0</v>
      </c>
      <c r="AK203" s="468">
        <f t="shared" si="201"/>
        <v>0</v>
      </c>
      <c r="AL203" s="468">
        <f t="shared" si="201"/>
        <v>0</v>
      </c>
      <c r="AM203" s="468">
        <f t="shared" si="201"/>
        <v>0</v>
      </c>
      <c r="AN203" s="468">
        <f t="shared" si="201"/>
        <v>0</v>
      </c>
      <c r="AO203" s="468">
        <f t="shared" si="201"/>
        <v>0</v>
      </c>
      <c r="AP203" s="468">
        <f t="shared" si="201"/>
        <v>0</v>
      </c>
      <c r="AQ203" s="468">
        <f t="shared" si="201"/>
        <v>0</v>
      </c>
      <c r="AR203" s="468">
        <f t="shared" si="201"/>
        <v>0</v>
      </c>
      <c r="AS203" s="468">
        <f t="shared" si="201"/>
        <v>0</v>
      </c>
      <c r="AT203" s="468">
        <f t="shared" si="201"/>
        <v>0</v>
      </c>
      <c r="AU203" s="468">
        <f t="shared" si="201"/>
        <v>0</v>
      </c>
      <c r="AV203" s="468">
        <f t="shared" si="201"/>
        <v>0</v>
      </c>
      <c r="AW203" s="468">
        <f t="shared" si="201"/>
        <v>0</v>
      </c>
      <c r="AX203" s="468">
        <f t="shared" si="201"/>
        <v>0</v>
      </c>
      <c r="AY203" s="468">
        <f t="shared" si="201"/>
        <v>0</v>
      </c>
      <c r="AZ203" s="468">
        <f t="shared" si="201"/>
        <v>0</v>
      </c>
      <c r="BA203" s="468">
        <f t="shared" si="201"/>
        <v>0</v>
      </c>
      <c r="BB203" s="468">
        <f t="shared" si="201"/>
        <v>0</v>
      </c>
      <c r="BC203" s="468">
        <f t="shared" si="201"/>
        <v>0</v>
      </c>
      <c r="BD203" s="468">
        <f t="shared" si="201"/>
        <v>0</v>
      </c>
      <c r="BE203" s="468">
        <f t="shared" si="201"/>
        <v>0</v>
      </c>
      <c r="BF203" s="468">
        <f t="shared" si="201"/>
        <v>0</v>
      </c>
      <c r="BG203" s="468">
        <f t="shared" si="201"/>
        <v>0</v>
      </c>
      <c r="BH203" s="468">
        <f t="shared" si="201"/>
        <v>0</v>
      </c>
      <c r="BI203" s="468">
        <f t="shared" si="201"/>
        <v>0</v>
      </c>
      <c r="BJ203" s="468">
        <f t="shared" si="201"/>
        <v>0</v>
      </c>
      <c r="BK203" s="468">
        <f t="shared" si="201"/>
        <v>0</v>
      </c>
      <c r="BL203" s="468">
        <f t="shared" si="201"/>
        <v>0</v>
      </c>
      <c r="BM203" s="468">
        <f t="shared" si="201"/>
        <v>0</v>
      </c>
      <c r="BN203" s="468">
        <f t="shared" si="201"/>
        <v>-536371.61777112889</v>
      </c>
      <c r="BO203" s="468">
        <f t="shared" si="201"/>
        <v>0</v>
      </c>
      <c r="BP203" s="468">
        <f t="shared" si="201"/>
        <v>0</v>
      </c>
      <c r="BQ203" s="468">
        <f t="shared" si="201"/>
        <v>0</v>
      </c>
      <c r="BR203" s="468">
        <f t="shared" ref="BR203:DV203" si="202">BR187</f>
        <v>0</v>
      </c>
      <c r="BS203" s="468">
        <f t="shared" si="202"/>
        <v>0</v>
      </c>
      <c r="BT203" s="468">
        <f t="shared" si="202"/>
        <v>0</v>
      </c>
      <c r="BU203" s="468">
        <f t="shared" si="202"/>
        <v>0</v>
      </c>
      <c r="BV203" s="468">
        <f t="shared" si="202"/>
        <v>0</v>
      </c>
      <c r="BW203" s="468">
        <f t="shared" si="202"/>
        <v>0</v>
      </c>
      <c r="BX203" s="468">
        <f t="shared" si="202"/>
        <v>0</v>
      </c>
      <c r="BY203" s="468">
        <f t="shared" si="202"/>
        <v>0</v>
      </c>
      <c r="BZ203" s="468">
        <f t="shared" si="202"/>
        <v>0</v>
      </c>
      <c r="CA203" s="468">
        <f t="shared" si="202"/>
        <v>0</v>
      </c>
      <c r="CB203" s="468">
        <f t="shared" si="202"/>
        <v>0</v>
      </c>
      <c r="CC203" s="468">
        <f t="shared" si="202"/>
        <v>0</v>
      </c>
      <c r="CD203" s="468">
        <f t="shared" si="202"/>
        <v>0</v>
      </c>
      <c r="CE203" s="468">
        <f t="shared" si="202"/>
        <v>0</v>
      </c>
      <c r="CF203" s="468">
        <f t="shared" si="202"/>
        <v>0</v>
      </c>
      <c r="CG203" s="468">
        <f t="shared" si="202"/>
        <v>0</v>
      </c>
      <c r="CH203" s="468">
        <f t="shared" si="202"/>
        <v>0</v>
      </c>
      <c r="CI203" s="468">
        <f t="shared" si="202"/>
        <v>0</v>
      </c>
      <c r="CJ203" s="468">
        <f t="shared" si="202"/>
        <v>0</v>
      </c>
      <c r="CK203" s="468">
        <f t="shared" si="202"/>
        <v>0</v>
      </c>
      <c r="CL203" s="468">
        <f t="shared" si="202"/>
        <v>0</v>
      </c>
      <c r="CM203" s="468">
        <f t="shared" si="202"/>
        <v>0</v>
      </c>
      <c r="CN203" s="468">
        <f t="shared" si="202"/>
        <v>0</v>
      </c>
      <c r="CO203" s="468">
        <f t="shared" si="202"/>
        <v>0</v>
      </c>
      <c r="CP203" s="468">
        <f t="shared" si="202"/>
        <v>0</v>
      </c>
      <c r="CQ203" s="468">
        <f t="shared" si="202"/>
        <v>0</v>
      </c>
      <c r="CR203" s="468">
        <f t="shared" si="202"/>
        <v>0</v>
      </c>
      <c r="CS203" s="468">
        <f t="shared" si="202"/>
        <v>0</v>
      </c>
      <c r="CT203" s="468">
        <f t="shared" si="202"/>
        <v>0</v>
      </c>
      <c r="CU203" s="468">
        <f t="shared" si="202"/>
        <v>0</v>
      </c>
      <c r="CV203" s="468">
        <f t="shared" si="202"/>
        <v>0</v>
      </c>
      <c r="CW203" s="468">
        <f t="shared" si="202"/>
        <v>0</v>
      </c>
      <c r="CX203" s="468">
        <f t="shared" si="202"/>
        <v>0</v>
      </c>
      <c r="CY203" s="468">
        <f t="shared" si="202"/>
        <v>0</v>
      </c>
      <c r="CZ203" s="468">
        <f t="shared" si="202"/>
        <v>0</v>
      </c>
      <c r="DA203" s="468">
        <f t="shared" si="202"/>
        <v>0</v>
      </c>
      <c r="DB203" s="468">
        <f t="shared" si="202"/>
        <v>0</v>
      </c>
      <c r="DC203" s="468">
        <f t="shared" si="202"/>
        <v>0</v>
      </c>
      <c r="DD203" s="468">
        <f t="shared" si="202"/>
        <v>0</v>
      </c>
      <c r="DE203" s="468">
        <f t="shared" si="202"/>
        <v>0</v>
      </c>
      <c r="DF203" s="468">
        <f t="shared" si="202"/>
        <v>0</v>
      </c>
      <c r="DG203" s="468">
        <f t="shared" si="202"/>
        <v>0</v>
      </c>
      <c r="DH203" s="468">
        <f t="shared" si="202"/>
        <v>0</v>
      </c>
      <c r="DI203" s="468">
        <f t="shared" si="202"/>
        <v>0</v>
      </c>
      <c r="DJ203" s="468">
        <f t="shared" si="202"/>
        <v>0</v>
      </c>
      <c r="DK203" s="468">
        <f t="shared" si="202"/>
        <v>0</v>
      </c>
      <c r="DL203" s="468">
        <f t="shared" si="202"/>
        <v>0</v>
      </c>
      <c r="DM203" s="468">
        <f t="shared" si="202"/>
        <v>0</v>
      </c>
      <c r="DN203" s="468">
        <f t="shared" si="202"/>
        <v>0</v>
      </c>
      <c r="DO203" s="468">
        <f t="shared" si="202"/>
        <v>0</v>
      </c>
      <c r="DP203" s="468">
        <f t="shared" si="202"/>
        <v>0</v>
      </c>
      <c r="DQ203" s="468">
        <f t="shared" si="202"/>
        <v>0</v>
      </c>
      <c r="DR203" s="468">
        <f t="shared" si="202"/>
        <v>0</v>
      </c>
      <c r="DS203" s="468">
        <f t="shared" si="202"/>
        <v>0</v>
      </c>
      <c r="DT203" s="468">
        <f t="shared" si="202"/>
        <v>0</v>
      </c>
      <c r="DU203" s="468">
        <f t="shared" si="202"/>
        <v>0</v>
      </c>
      <c r="DV203" s="468">
        <f t="shared" si="202"/>
        <v>0</v>
      </c>
      <c r="DW203" s="322" t="s">
        <v>372</v>
      </c>
    </row>
    <row r="204" spans="3:127" hidden="1" outlineLevel="1" x14ac:dyDescent="0.3">
      <c r="C204" s="469" t="str">
        <f>TEXT(D41,"0.00%")&amp;" Accrual Distribution"</f>
        <v>150.00% Accrual Distribution</v>
      </c>
      <c r="D204" s="360"/>
      <c r="E204" s="468">
        <f t="shared" si="194"/>
        <v>0</v>
      </c>
      <c r="F204" s="468">
        <v>0</v>
      </c>
      <c r="G204" s="468">
        <f>IF(G195=0,0,-MAX(MIN(G195*$D208,SUM(G198:G203)),0))</f>
        <v>0</v>
      </c>
      <c r="H204" s="468">
        <f t="shared" ref="H204:BS204" si="203">IF(H195=0,0,-MAX(MIN(H195*$D208,SUM(H198:H203)),0))</f>
        <v>0</v>
      </c>
      <c r="I204" s="468">
        <f t="shared" si="203"/>
        <v>0</v>
      </c>
      <c r="J204" s="468">
        <f t="shared" si="203"/>
        <v>0</v>
      </c>
      <c r="K204" s="468">
        <f t="shared" si="203"/>
        <v>0</v>
      </c>
      <c r="L204" s="468">
        <f t="shared" si="203"/>
        <v>0</v>
      </c>
      <c r="M204" s="468">
        <f t="shared" si="203"/>
        <v>0</v>
      </c>
      <c r="N204" s="468">
        <f t="shared" si="203"/>
        <v>0</v>
      </c>
      <c r="O204" s="468">
        <f t="shared" si="203"/>
        <v>0</v>
      </c>
      <c r="P204" s="468">
        <f t="shared" si="203"/>
        <v>0</v>
      </c>
      <c r="Q204" s="468">
        <f t="shared" si="203"/>
        <v>0</v>
      </c>
      <c r="R204" s="468">
        <f t="shared" si="203"/>
        <v>0</v>
      </c>
      <c r="S204" s="468">
        <f t="shared" si="203"/>
        <v>0</v>
      </c>
      <c r="T204" s="468">
        <f t="shared" si="203"/>
        <v>0</v>
      </c>
      <c r="U204" s="468">
        <f t="shared" si="203"/>
        <v>0</v>
      </c>
      <c r="V204" s="468">
        <f t="shared" si="203"/>
        <v>0</v>
      </c>
      <c r="W204" s="468">
        <f t="shared" si="203"/>
        <v>0</v>
      </c>
      <c r="X204" s="468">
        <f t="shared" si="203"/>
        <v>0</v>
      </c>
      <c r="Y204" s="468">
        <f t="shared" si="203"/>
        <v>0</v>
      </c>
      <c r="Z204" s="468">
        <f t="shared" si="203"/>
        <v>0</v>
      </c>
      <c r="AA204" s="468">
        <f t="shared" si="203"/>
        <v>0</v>
      </c>
      <c r="AB204" s="468">
        <f t="shared" si="203"/>
        <v>0</v>
      </c>
      <c r="AC204" s="468">
        <f t="shared" si="203"/>
        <v>0</v>
      </c>
      <c r="AD204" s="468">
        <f t="shared" si="203"/>
        <v>0</v>
      </c>
      <c r="AE204" s="468">
        <f t="shared" si="203"/>
        <v>0</v>
      </c>
      <c r="AF204" s="468">
        <f t="shared" si="203"/>
        <v>0</v>
      </c>
      <c r="AG204" s="468">
        <f t="shared" si="203"/>
        <v>0</v>
      </c>
      <c r="AH204" s="468">
        <f t="shared" si="203"/>
        <v>0</v>
      </c>
      <c r="AI204" s="468">
        <f t="shared" si="203"/>
        <v>0</v>
      </c>
      <c r="AJ204" s="468">
        <f t="shared" si="203"/>
        <v>0</v>
      </c>
      <c r="AK204" s="468">
        <f t="shared" si="203"/>
        <v>0</v>
      </c>
      <c r="AL204" s="468">
        <f t="shared" si="203"/>
        <v>0</v>
      </c>
      <c r="AM204" s="468">
        <f t="shared" si="203"/>
        <v>0</v>
      </c>
      <c r="AN204" s="468">
        <f t="shared" si="203"/>
        <v>0</v>
      </c>
      <c r="AO204" s="468">
        <f t="shared" si="203"/>
        <v>0</v>
      </c>
      <c r="AP204" s="468">
        <f t="shared" si="203"/>
        <v>0</v>
      </c>
      <c r="AQ204" s="468">
        <f t="shared" si="203"/>
        <v>0</v>
      </c>
      <c r="AR204" s="468">
        <f t="shared" si="203"/>
        <v>0</v>
      </c>
      <c r="AS204" s="468">
        <f t="shared" si="203"/>
        <v>0</v>
      </c>
      <c r="AT204" s="468">
        <f t="shared" si="203"/>
        <v>0</v>
      </c>
      <c r="AU204" s="468">
        <f t="shared" si="203"/>
        <v>0</v>
      </c>
      <c r="AV204" s="468">
        <f t="shared" si="203"/>
        <v>0</v>
      </c>
      <c r="AW204" s="468">
        <f t="shared" si="203"/>
        <v>0</v>
      </c>
      <c r="AX204" s="468">
        <f t="shared" si="203"/>
        <v>0</v>
      </c>
      <c r="AY204" s="468">
        <f t="shared" si="203"/>
        <v>0</v>
      </c>
      <c r="AZ204" s="468">
        <f t="shared" si="203"/>
        <v>0</v>
      </c>
      <c r="BA204" s="468">
        <f t="shared" si="203"/>
        <v>0</v>
      </c>
      <c r="BB204" s="468">
        <f t="shared" si="203"/>
        <v>0</v>
      </c>
      <c r="BC204" s="468">
        <f t="shared" si="203"/>
        <v>0</v>
      </c>
      <c r="BD204" s="468">
        <f t="shared" si="203"/>
        <v>0</v>
      </c>
      <c r="BE204" s="468">
        <f t="shared" si="203"/>
        <v>0</v>
      </c>
      <c r="BF204" s="468">
        <f t="shared" si="203"/>
        <v>0</v>
      </c>
      <c r="BG204" s="468">
        <f t="shared" si="203"/>
        <v>0</v>
      </c>
      <c r="BH204" s="468">
        <f t="shared" si="203"/>
        <v>0</v>
      </c>
      <c r="BI204" s="468">
        <f t="shared" si="203"/>
        <v>0</v>
      </c>
      <c r="BJ204" s="468">
        <f t="shared" si="203"/>
        <v>0</v>
      </c>
      <c r="BK204" s="468">
        <f t="shared" si="203"/>
        <v>0</v>
      </c>
      <c r="BL204" s="468">
        <f t="shared" si="203"/>
        <v>0</v>
      </c>
      <c r="BM204" s="468">
        <f t="shared" si="203"/>
        <v>0</v>
      </c>
      <c r="BN204" s="468">
        <f t="shared" si="203"/>
        <v>-139624.05376643315</v>
      </c>
      <c r="BO204" s="468">
        <f t="shared" si="203"/>
        <v>0</v>
      </c>
      <c r="BP204" s="468">
        <f t="shared" si="203"/>
        <v>0</v>
      </c>
      <c r="BQ204" s="468">
        <f t="shared" si="203"/>
        <v>0</v>
      </c>
      <c r="BR204" s="468">
        <f t="shared" si="203"/>
        <v>0</v>
      </c>
      <c r="BS204" s="468">
        <f t="shared" si="203"/>
        <v>0</v>
      </c>
      <c r="BT204" s="468">
        <f t="shared" ref="BT204:DV204" si="204">IF(BT195=0,0,-MAX(MIN(BT195*$D208,SUM(BT198:BT203)),0))</f>
        <v>0</v>
      </c>
      <c r="BU204" s="468">
        <f t="shared" si="204"/>
        <v>0</v>
      </c>
      <c r="BV204" s="468">
        <f t="shared" si="204"/>
        <v>0</v>
      </c>
      <c r="BW204" s="468">
        <f t="shared" si="204"/>
        <v>0</v>
      </c>
      <c r="BX204" s="468">
        <f t="shared" si="204"/>
        <v>0</v>
      </c>
      <c r="BY204" s="468">
        <f t="shared" si="204"/>
        <v>0</v>
      </c>
      <c r="BZ204" s="468">
        <f t="shared" si="204"/>
        <v>0</v>
      </c>
      <c r="CA204" s="468">
        <f t="shared" si="204"/>
        <v>0</v>
      </c>
      <c r="CB204" s="468">
        <f t="shared" si="204"/>
        <v>0</v>
      </c>
      <c r="CC204" s="468">
        <f t="shared" si="204"/>
        <v>0</v>
      </c>
      <c r="CD204" s="468">
        <f t="shared" si="204"/>
        <v>0</v>
      </c>
      <c r="CE204" s="468">
        <f t="shared" si="204"/>
        <v>0</v>
      </c>
      <c r="CF204" s="468">
        <f t="shared" si="204"/>
        <v>0</v>
      </c>
      <c r="CG204" s="468">
        <f t="shared" si="204"/>
        <v>0</v>
      </c>
      <c r="CH204" s="468">
        <f t="shared" si="204"/>
        <v>0</v>
      </c>
      <c r="CI204" s="468">
        <f t="shared" si="204"/>
        <v>0</v>
      </c>
      <c r="CJ204" s="468">
        <f t="shared" si="204"/>
        <v>0</v>
      </c>
      <c r="CK204" s="468">
        <f t="shared" si="204"/>
        <v>0</v>
      </c>
      <c r="CL204" s="468">
        <f t="shared" si="204"/>
        <v>0</v>
      </c>
      <c r="CM204" s="468">
        <f t="shared" si="204"/>
        <v>0</v>
      </c>
      <c r="CN204" s="468">
        <f t="shared" si="204"/>
        <v>0</v>
      </c>
      <c r="CO204" s="468">
        <f t="shared" si="204"/>
        <v>0</v>
      </c>
      <c r="CP204" s="468">
        <f t="shared" si="204"/>
        <v>0</v>
      </c>
      <c r="CQ204" s="468">
        <f t="shared" si="204"/>
        <v>0</v>
      </c>
      <c r="CR204" s="468">
        <f t="shared" si="204"/>
        <v>0</v>
      </c>
      <c r="CS204" s="468">
        <f t="shared" si="204"/>
        <v>0</v>
      </c>
      <c r="CT204" s="468">
        <f t="shared" si="204"/>
        <v>0</v>
      </c>
      <c r="CU204" s="468">
        <f t="shared" si="204"/>
        <v>0</v>
      </c>
      <c r="CV204" s="468">
        <f t="shared" si="204"/>
        <v>0</v>
      </c>
      <c r="CW204" s="468">
        <f t="shared" si="204"/>
        <v>0</v>
      </c>
      <c r="CX204" s="468">
        <f t="shared" si="204"/>
        <v>0</v>
      </c>
      <c r="CY204" s="468">
        <f t="shared" si="204"/>
        <v>0</v>
      </c>
      <c r="CZ204" s="468">
        <f t="shared" si="204"/>
        <v>0</v>
      </c>
      <c r="DA204" s="468">
        <f t="shared" si="204"/>
        <v>0</v>
      </c>
      <c r="DB204" s="468">
        <f t="shared" si="204"/>
        <v>0</v>
      </c>
      <c r="DC204" s="468">
        <f t="shared" si="204"/>
        <v>0</v>
      </c>
      <c r="DD204" s="468">
        <f t="shared" si="204"/>
        <v>0</v>
      </c>
      <c r="DE204" s="468">
        <f t="shared" si="204"/>
        <v>0</v>
      </c>
      <c r="DF204" s="468">
        <f t="shared" si="204"/>
        <v>0</v>
      </c>
      <c r="DG204" s="468">
        <f t="shared" si="204"/>
        <v>0</v>
      </c>
      <c r="DH204" s="468">
        <f t="shared" si="204"/>
        <v>0</v>
      </c>
      <c r="DI204" s="468">
        <f t="shared" si="204"/>
        <v>0</v>
      </c>
      <c r="DJ204" s="468">
        <f t="shared" si="204"/>
        <v>0</v>
      </c>
      <c r="DK204" s="468">
        <f t="shared" si="204"/>
        <v>0</v>
      </c>
      <c r="DL204" s="468">
        <f t="shared" si="204"/>
        <v>0</v>
      </c>
      <c r="DM204" s="468">
        <f t="shared" si="204"/>
        <v>0</v>
      </c>
      <c r="DN204" s="468">
        <f t="shared" si="204"/>
        <v>0</v>
      </c>
      <c r="DO204" s="468">
        <f t="shared" si="204"/>
        <v>0</v>
      </c>
      <c r="DP204" s="468">
        <f t="shared" si="204"/>
        <v>0</v>
      </c>
      <c r="DQ204" s="468">
        <f t="shared" si="204"/>
        <v>0</v>
      </c>
      <c r="DR204" s="468">
        <f t="shared" si="204"/>
        <v>0</v>
      </c>
      <c r="DS204" s="468">
        <f t="shared" si="204"/>
        <v>0</v>
      </c>
      <c r="DT204" s="468">
        <f t="shared" si="204"/>
        <v>0</v>
      </c>
      <c r="DU204" s="468">
        <f t="shared" si="204"/>
        <v>0</v>
      </c>
      <c r="DV204" s="468">
        <f t="shared" si="204"/>
        <v>0</v>
      </c>
      <c r="DW204" s="322" t="s">
        <v>372</v>
      </c>
    </row>
    <row r="205" spans="3:127" ht="17.25" hidden="1" outlineLevel="1" thickBot="1" x14ac:dyDescent="0.35">
      <c r="C205" s="490" t="s">
        <v>352</v>
      </c>
      <c r="D205" s="360"/>
      <c r="E205" s="415">
        <f>SUM(E199:E204)</f>
        <v>76140504.065009072</v>
      </c>
      <c r="F205" s="415">
        <f>SUM(F199:F204)</f>
        <v>1367250</v>
      </c>
      <c r="G205" s="415">
        <f t="shared" ref="G205:BR205" si="205">SUM(G198:G204)</f>
        <v>1357594.3756250001</v>
      </c>
      <c r="H205" s="415">
        <f t="shared" si="205"/>
        <v>1347938.7512500002</v>
      </c>
      <c r="I205" s="415">
        <f t="shared" si="205"/>
        <v>1685287.6226118212</v>
      </c>
      <c r="J205" s="415">
        <f t="shared" si="205"/>
        <v>1675631.9982368213</v>
      </c>
      <c r="K205" s="415">
        <f t="shared" si="205"/>
        <v>1665976.3738618214</v>
      </c>
      <c r="L205" s="415">
        <f t="shared" si="205"/>
        <v>2085198.7611808104</v>
      </c>
      <c r="M205" s="415">
        <f t="shared" si="205"/>
        <v>2075543.1368058105</v>
      </c>
      <c r="N205" s="415">
        <f t="shared" si="205"/>
        <v>2065887.5124308106</v>
      </c>
      <c r="O205" s="415">
        <f t="shared" si="205"/>
        <v>2588060.3957200223</v>
      </c>
      <c r="P205" s="415">
        <f t="shared" si="205"/>
        <v>2578404.7713450221</v>
      </c>
      <c r="Q205" s="415">
        <f t="shared" si="205"/>
        <v>2568749.146970022</v>
      </c>
      <c r="R205" s="415">
        <f t="shared" si="205"/>
        <v>3220375.4254946294</v>
      </c>
      <c r="S205" s="415">
        <f t="shared" si="205"/>
        <v>3210048.9917633794</v>
      </c>
      <c r="T205" s="415">
        <f t="shared" si="205"/>
        <v>3199722.5580321294</v>
      </c>
      <c r="U205" s="415">
        <f t="shared" si="205"/>
        <v>4013111.6764489459</v>
      </c>
      <c r="V205" s="415">
        <f t="shared" si="205"/>
        <v>4002785.2427176959</v>
      </c>
      <c r="W205" s="415">
        <f t="shared" si="205"/>
        <v>3992458.8089864459</v>
      </c>
      <c r="X205" s="415">
        <f t="shared" si="205"/>
        <v>5009924.7393204235</v>
      </c>
      <c r="Y205" s="415">
        <f t="shared" si="205"/>
        <v>4999598.305589173</v>
      </c>
      <c r="Z205" s="415">
        <f t="shared" si="205"/>
        <v>4989271.8718579225</v>
      </c>
      <c r="AA205" s="415">
        <f t="shared" si="205"/>
        <v>6263350.8077196563</v>
      </c>
      <c r="AB205" s="415">
        <f t="shared" si="205"/>
        <v>6253024.3739884058</v>
      </c>
      <c r="AC205" s="415">
        <f t="shared" si="205"/>
        <v>6242697.9402571553</v>
      </c>
      <c r="AD205" s="415">
        <f t="shared" si="205"/>
        <v>7839450.6477609016</v>
      </c>
      <c r="AE205" s="415">
        <f t="shared" si="205"/>
        <v>7828433.2803927138</v>
      </c>
      <c r="AF205" s="415">
        <f t="shared" si="205"/>
        <v>7817415.9130245261</v>
      </c>
      <c r="AG205" s="415">
        <f t="shared" si="205"/>
        <v>9818862.735404199</v>
      </c>
      <c r="AH205" s="415">
        <f t="shared" si="205"/>
        <v>9807845.3680360112</v>
      </c>
      <c r="AI205" s="415">
        <f t="shared" si="205"/>
        <v>9796828.0006678235</v>
      </c>
      <c r="AJ205" s="415">
        <f t="shared" si="205"/>
        <v>12307841.665525369</v>
      </c>
      <c r="AK205" s="415">
        <f t="shared" si="205"/>
        <v>12296824.298157182</v>
      </c>
      <c r="AL205" s="415">
        <f t="shared" si="205"/>
        <v>12285806.930788994</v>
      </c>
      <c r="AM205" s="415">
        <f t="shared" si="205"/>
        <v>15437566.978036195</v>
      </c>
      <c r="AN205" s="415">
        <f t="shared" si="205"/>
        <v>15426549.610668007</v>
      </c>
      <c r="AO205" s="415">
        <f t="shared" si="205"/>
        <v>15415532.24329982</v>
      </c>
      <c r="AP205" s="415">
        <f t="shared" si="205"/>
        <v>19372988.211712182</v>
      </c>
      <c r="AQ205" s="415">
        <f t="shared" si="205"/>
        <v>19361259.182697948</v>
      </c>
      <c r="AR205" s="415">
        <f t="shared" si="205"/>
        <v>19349530.153683715</v>
      </c>
      <c r="AS205" s="415">
        <f t="shared" si="205"/>
        <v>24319017.034885656</v>
      </c>
      <c r="AT205" s="415">
        <f t="shared" si="205"/>
        <v>24307288.005871423</v>
      </c>
      <c r="AU205" s="415">
        <f t="shared" si="205"/>
        <v>24295558.976857189</v>
      </c>
      <c r="AV205" s="415">
        <f t="shared" si="205"/>
        <v>30538319.021319333</v>
      </c>
      <c r="AW205" s="415">
        <f t="shared" si="205"/>
        <v>30526589.9923051</v>
      </c>
      <c r="AX205" s="415">
        <f t="shared" si="205"/>
        <v>30514860.963290866</v>
      </c>
      <c r="AY205" s="415">
        <f t="shared" si="205"/>
        <v>38358677.248354532</v>
      </c>
      <c r="AZ205" s="415">
        <f t="shared" si="205"/>
        <v>38346948.219340302</v>
      </c>
      <c r="BA205" s="415">
        <f t="shared" si="205"/>
        <v>38335219.190326072</v>
      </c>
      <c r="BB205" s="415">
        <f t="shared" si="205"/>
        <v>48192257.115124568</v>
      </c>
      <c r="BC205" s="415">
        <f t="shared" si="205"/>
        <v>48185749.256617323</v>
      </c>
      <c r="BD205" s="415">
        <f t="shared" si="205"/>
        <v>48179241.398110077</v>
      </c>
      <c r="BE205" s="415">
        <f t="shared" si="205"/>
        <v>60575680.892240375</v>
      </c>
      <c r="BF205" s="415">
        <f t="shared" si="205"/>
        <v>60569173.03373313</v>
      </c>
      <c r="BG205" s="415">
        <f t="shared" si="205"/>
        <v>60562665.175225884</v>
      </c>
      <c r="BH205" s="415">
        <f t="shared" si="205"/>
        <v>76147011.923516318</v>
      </c>
      <c r="BI205" s="415">
        <f t="shared" si="205"/>
        <v>76140504.065009072</v>
      </c>
      <c r="BJ205" s="415">
        <f t="shared" si="205"/>
        <v>76133996.206501827</v>
      </c>
      <c r="BK205" s="415">
        <f t="shared" si="205"/>
        <v>95726924.106901944</v>
      </c>
      <c r="BL205" s="415">
        <f t="shared" si="205"/>
        <v>95720416.248394698</v>
      </c>
      <c r="BM205" s="415">
        <f t="shared" si="205"/>
        <v>95713908.389887452</v>
      </c>
      <c r="BN205" s="415">
        <f t="shared" si="205"/>
        <v>117791413.69967721</v>
      </c>
      <c r="BO205" s="415">
        <f t="shared" si="205"/>
        <v>117791413.69967721</v>
      </c>
      <c r="BP205" s="415">
        <f t="shared" si="205"/>
        <v>117791413.69967721</v>
      </c>
      <c r="BQ205" s="415">
        <f t="shared" si="205"/>
        <v>148114861.31558663</v>
      </c>
      <c r="BR205" s="415">
        <f t="shared" si="205"/>
        <v>148114861.31558663</v>
      </c>
      <c r="BS205" s="415">
        <f t="shared" ref="BS205:DV205" si="206">SUM(BS198:BS204)</f>
        <v>148114861.31558663</v>
      </c>
      <c r="BT205" s="415">
        <f t="shared" si="206"/>
        <v>186244578.05107045</v>
      </c>
      <c r="BU205" s="415">
        <f t="shared" si="206"/>
        <v>186244578.05107045</v>
      </c>
      <c r="BV205" s="415">
        <f t="shared" si="206"/>
        <v>186244578.05107045</v>
      </c>
      <c r="BW205" s="415">
        <f t="shared" si="206"/>
        <v>234190158.53860867</v>
      </c>
      <c r="BX205" s="415">
        <f t="shared" si="206"/>
        <v>234190158.53860867</v>
      </c>
      <c r="BY205" s="415">
        <f t="shared" si="206"/>
        <v>234190158.53860867</v>
      </c>
      <c r="BZ205" s="415">
        <f t="shared" si="206"/>
        <v>294478534.24919307</v>
      </c>
      <c r="CA205" s="415">
        <f t="shared" si="206"/>
        <v>294478534.24919307</v>
      </c>
      <c r="CB205" s="415">
        <f t="shared" si="206"/>
        <v>294478534.24919307</v>
      </c>
      <c r="CC205" s="415">
        <f t="shared" si="206"/>
        <v>370287153.28896666</v>
      </c>
      <c r="CD205" s="415">
        <f t="shared" si="206"/>
        <v>370287153.28896666</v>
      </c>
      <c r="CE205" s="415">
        <f t="shared" si="206"/>
        <v>370287153.28896666</v>
      </c>
      <c r="CF205" s="415">
        <f t="shared" si="206"/>
        <v>465611445.12767619</v>
      </c>
      <c r="CG205" s="415">
        <f t="shared" si="206"/>
        <v>465611445.12767619</v>
      </c>
      <c r="CH205" s="415">
        <f t="shared" si="206"/>
        <v>465611445.12767619</v>
      </c>
      <c r="CI205" s="415">
        <f t="shared" si="206"/>
        <v>585475396.34652185</v>
      </c>
      <c r="CJ205" s="415">
        <f t="shared" si="206"/>
        <v>585475396.34652185</v>
      </c>
      <c r="CK205" s="415">
        <f t="shared" si="206"/>
        <v>585475396.34652185</v>
      </c>
      <c r="CL205" s="415">
        <f t="shared" si="206"/>
        <v>736196335.62298298</v>
      </c>
      <c r="CM205" s="415">
        <f t="shared" si="206"/>
        <v>736196335.62298298</v>
      </c>
      <c r="CN205" s="415">
        <f t="shared" si="206"/>
        <v>736196335.62298298</v>
      </c>
      <c r="CO205" s="415">
        <f t="shared" si="206"/>
        <v>925717883.22241688</v>
      </c>
      <c r="CP205" s="415">
        <f t="shared" si="206"/>
        <v>925717883.22241688</v>
      </c>
      <c r="CQ205" s="415">
        <f t="shared" si="206"/>
        <v>925717883.22241688</v>
      </c>
      <c r="CR205" s="415">
        <f t="shared" si="206"/>
        <v>1164028612.8191907</v>
      </c>
      <c r="CS205" s="415">
        <f t="shared" si="206"/>
        <v>1164028612.8191907</v>
      </c>
      <c r="CT205" s="415">
        <f t="shared" si="206"/>
        <v>1164028612.8191907</v>
      </c>
      <c r="CU205" s="415">
        <f t="shared" si="206"/>
        <v>1463688490.8663049</v>
      </c>
      <c r="CV205" s="415">
        <f t="shared" si="206"/>
        <v>1463688490.8663049</v>
      </c>
      <c r="CW205" s="415">
        <f t="shared" si="206"/>
        <v>1463688490.8663049</v>
      </c>
      <c r="CX205" s="415">
        <f t="shared" si="206"/>
        <v>1840490839.0574577</v>
      </c>
      <c r="CY205" s="415">
        <f t="shared" si="206"/>
        <v>1840490839.0574577</v>
      </c>
      <c r="CZ205" s="415">
        <f t="shared" si="206"/>
        <v>1840490839.0574577</v>
      </c>
      <c r="DA205" s="415">
        <f t="shared" si="206"/>
        <v>2314294708.0560427</v>
      </c>
      <c r="DB205" s="415">
        <f t="shared" si="206"/>
        <v>2314294708.0560427</v>
      </c>
      <c r="DC205" s="415">
        <f t="shared" si="206"/>
        <v>2314294708.0560427</v>
      </c>
      <c r="DD205" s="415">
        <f t="shared" si="206"/>
        <v>2910071532.0479774</v>
      </c>
      <c r="DE205" s="415">
        <f t="shared" si="206"/>
        <v>2910071532.0479774</v>
      </c>
      <c r="DF205" s="415">
        <f t="shared" si="206"/>
        <v>2910071532.0479774</v>
      </c>
      <c r="DG205" s="415">
        <f t="shared" si="206"/>
        <v>3659221227.1657629</v>
      </c>
      <c r="DH205" s="415">
        <f t="shared" si="206"/>
        <v>3659221227.1657629</v>
      </c>
      <c r="DI205" s="415">
        <f t="shared" si="206"/>
        <v>3659221227.1657629</v>
      </c>
      <c r="DJ205" s="415">
        <f t="shared" si="206"/>
        <v>4601227097.6436453</v>
      </c>
      <c r="DK205" s="415">
        <f t="shared" si="206"/>
        <v>4601227097.6436453</v>
      </c>
      <c r="DL205" s="415">
        <f t="shared" si="206"/>
        <v>4601227097.6436453</v>
      </c>
      <c r="DM205" s="415">
        <f t="shared" si="206"/>
        <v>5785736770.1401081</v>
      </c>
      <c r="DN205" s="415">
        <f t="shared" si="206"/>
        <v>5785736770.1401081</v>
      </c>
      <c r="DO205" s="415">
        <f t="shared" si="206"/>
        <v>5785736770.1401081</v>
      </c>
      <c r="DP205" s="415">
        <f t="shared" si="206"/>
        <v>7275178830.1199455</v>
      </c>
      <c r="DQ205" s="415">
        <f t="shared" si="206"/>
        <v>7275178830.1199455</v>
      </c>
      <c r="DR205" s="415">
        <f t="shared" si="206"/>
        <v>7275178830.1199455</v>
      </c>
      <c r="DS205" s="415">
        <f t="shared" si="206"/>
        <v>9148053067.9144096</v>
      </c>
      <c r="DT205" s="415">
        <f t="shared" si="206"/>
        <v>9148053067.9144096</v>
      </c>
      <c r="DU205" s="415">
        <f t="shared" si="206"/>
        <v>9148053067.9144096</v>
      </c>
      <c r="DV205" s="415">
        <f t="shared" si="206"/>
        <v>11503067744.109116</v>
      </c>
      <c r="DW205" s="322" t="s">
        <v>372</v>
      </c>
    </row>
    <row r="206" spans="3:127" ht="17.25" hidden="1" outlineLevel="1" thickTop="1" x14ac:dyDescent="0.3"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0"/>
      <c r="P206" s="360"/>
      <c r="Q206" s="360"/>
      <c r="R206" s="360"/>
      <c r="S206" s="360"/>
      <c r="T206" s="360"/>
      <c r="U206" s="360"/>
      <c r="V206" s="360"/>
      <c r="W206" s="360"/>
      <c r="X206" s="360"/>
      <c r="Y206" s="360"/>
      <c r="Z206" s="360"/>
      <c r="AA206" s="360"/>
      <c r="AB206" s="360"/>
      <c r="AC206" s="360"/>
      <c r="AD206" s="360"/>
      <c r="AE206" s="360"/>
      <c r="AF206" s="360"/>
      <c r="AG206" s="360"/>
      <c r="AH206" s="360"/>
      <c r="AI206" s="360"/>
      <c r="AJ206" s="360"/>
      <c r="AK206" s="360"/>
      <c r="AL206" s="360"/>
      <c r="AM206" s="360"/>
      <c r="AN206" s="360"/>
      <c r="AO206" s="360"/>
      <c r="AP206" s="360"/>
      <c r="AQ206" s="360"/>
      <c r="AR206" s="360"/>
      <c r="AS206" s="360"/>
      <c r="AT206" s="360"/>
      <c r="AU206" s="360"/>
      <c r="AV206" s="360"/>
      <c r="AW206" s="360"/>
      <c r="AX206" s="360"/>
      <c r="AY206" s="360"/>
      <c r="AZ206" s="360"/>
      <c r="BA206" s="360"/>
      <c r="BB206" s="360"/>
      <c r="BC206" s="360"/>
      <c r="BD206" s="360"/>
      <c r="BE206" s="360"/>
      <c r="BF206" s="360"/>
      <c r="BG206" s="360"/>
      <c r="BH206" s="360"/>
      <c r="BI206" s="360"/>
      <c r="BJ206" s="360"/>
      <c r="BK206" s="360"/>
      <c r="BL206" s="360"/>
      <c r="BM206" s="360"/>
      <c r="BN206" s="360"/>
      <c r="BO206" s="360"/>
      <c r="BP206" s="360"/>
      <c r="BQ206" s="360"/>
      <c r="BR206" s="360"/>
      <c r="BS206" s="360"/>
      <c r="BT206" s="360"/>
      <c r="BU206" s="360"/>
      <c r="BV206" s="360"/>
      <c r="BW206" s="360"/>
      <c r="BX206" s="360"/>
      <c r="BY206" s="360"/>
      <c r="BZ206" s="360"/>
      <c r="CA206" s="360"/>
      <c r="CB206" s="360"/>
      <c r="CC206" s="360"/>
      <c r="CD206" s="360"/>
      <c r="CE206" s="360"/>
      <c r="CF206" s="360"/>
      <c r="CG206" s="360"/>
      <c r="CH206" s="360"/>
      <c r="CI206" s="360"/>
      <c r="CJ206" s="360"/>
      <c r="CK206" s="360"/>
      <c r="CL206" s="360"/>
      <c r="CM206" s="360"/>
      <c r="CN206" s="360"/>
      <c r="CO206" s="360"/>
      <c r="CP206" s="360"/>
      <c r="CQ206" s="360"/>
      <c r="CR206" s="360"/>
      <c r="CS206" s="360"/>
      <c r="CT206" s="360"/>
      <c r="CU206" s="360"/>
      <c r="CV206" s="360"/>
      <c r="CW206" s="360"/>
      <c r="CX206" s="360"/>
      <c r="CY206" s="360"/>
      <c r="CZ206" s="360"/>
      <c r="DA206" s="360"/>
      <c r="DB206" s="360"/>
      <c r="DC206" s="360"/>
      <c r="DD206" s="360"/>
      <c r="DE206" s="360"/>
      <c r="DF206" s="360"/>
      <c r="DG206" s="360"/>
      <c r="DH206" s="360"/>
      <c r="DI206" s="360"/>
      <c r="DJ206" s="360"/>
      <c r="DK206" s="360"/>
      <c r="DL206" s="360"/>
      <c r="DM206" s="360"/>
      <c r="DN206" s="360"/>
      <c r="DO206" s="360"/>
      <c r="DP206" s="360"/>
      <c r="DQ206" s="360"/>
      <c r="DR206" s="360"/>
      <c r="DS206" s="360"/>
      <c r="DT206" s="360"/>
      <c r="DU206" s="360"/>
      <c r="DV206" s="360"/>
      <c r="DW206" s="322" t="s">
        <v>372</v>
      </c>
    </row>
    <row r="207" spans="3:127" hidden="1" outlineLevel="1" x14ac:dyDescent="0.3">
      <c r="C207" s="485" t="s">
        <v>405</v>
      </c>
      <c r="D207" s="374"/>
      <c r="E207" s="463"/>
      <c r="F207" s="374"/>
      <c r="G207" s="374"/>
      <c r="H207" s="463"/>
      <c r="I207" s="463"/>
      <c r="J207" s="463"/>
      <c r="K207" s="463"/>
      <c r="L207" s="463"/>
      <c r="M207" s="463"/>
      <c r="N207" s="463"/>
      <c r="O207" s="463"/>
      <c r="P207" s="463"/>
      <c r="Q207" s="463"/>
      <c r="R207" s="463"/>
      <c r="S207" s="463"/>
      <c r="T207" s="463"/>
      <c r="U207" s="463"/>
      <c r="V207" s="463"/>
      <c r="W207" s="463"/>
      <c r="X207" s="463"/>
      <c r="Y207" s="463"/>
      <c r="Z207" s="463"/>
      <c r="AA207" s="463"/>
      <c r="AB207" s="463"/>
      <c r="AC207" s="463"/>
      <c r="AD207" s="463"/>
      <c r="AE207" s="463"/>
      <c r="AF207" s="463"/>
      <c r="AG207" s="463"/>
      <c r="AH207" s="463"/>
      <c r="AI207" s="463"/>
      <c r="AJ207" s="463"/>
      <c r="AK207" s="463"/>
      <c r="AL207" s="463"/>
      <c r="AM207" s="463"/>
      <c r="AN207" s="463"/>
      <c r="AO207" s="463"/>
      <c r="AP207" s="463"/>
      <c r="AQ207" s="463"/>
      <c r="AR207" s="463"/>
      <c r="AS207" s="463"/>
      <c r="AT207" s="463"/>
      <c r="AU207" s="463"/>
      <c r="AV207" s="463"/>
      <c r="AW207" s="463"/>
      <c r="AX207" s="463"/>
      <c r="AY207" s="463"/>
      <c r="AZ207" s="463"/>
      <c r="BA207" s="463"/>
      <c r="BB207" s="463"/>
      <c r="BC207" s="463"/>
      <c r="BD207" s="463"/>
      <c r="BE207" s="463"/>
      <c r="BF207" s="463"/>
      <c r="BG207" s="463"/>
      <c r="BH207" s="463"/>
      <c r="BI207" s="463"/>
      <c r="BJ207" s="463"/>
      <c r="BK207" s="463"/>
      <c r="BL207" s="463"/>
      <c r="BM207" s="463"/>
      <c r="BN207" s="463"/>
      <c r="BO207" s="463"/>
      <c r="BP207" s="463"/>
      <c r="BQ207" s="463"/>
      <c r="BR207" s="463"/>
      <c r="BS207" s="463"/>
      <c r="BT207" s="463"/>
      <c r="BU207" s="463"/>
      <c r="BV207" s="463"/>
      <c r="BW207" s="463"/>
      <c r="BX207" s="463"/>
      <c r="BY207" s="463"/>
      <c r="BZ207" s="463"/>
      <c r="CA207" s="463"/>
      <c r="CB207" s="463"/>
      <c r="CC207" s="463"/>
      <c r="CD207" s="463"/>
      <c r="CE207" s="463"/>
      <c r="CF207" s="463"/>
      <c r="CG207" s="463"/>
      <c r="CH207" s="463"/>
      <c r="CI207" s="463"/>
      <c r="CJ207" s="463"/>
      <c r="CK207" s="463"/>
      <c r="CL207" s="463"/>
      <c r="CM207" s="463"/>
      <c r="CN207" s="463"/>
      <c r="CO207" s="463"/>
      <c r="CP207" s="463"/>
      <c r="CQ207" s="463"/>
      <c r="CR207" s="463"/>
      <c r="CS207" s="463"/>
      <c r="CT207" s="463"/>
      <c r="CU207" s="463"/>
      <c r="CV207" s="463"/>
      <c r="CW207" s="463"/>
      <c r="CX207" s="463"/>
      <c r="CY207" s="463"/>
      <c r="CZ207" s="463"/>
      <c r="DA207" s="463"/>
      <c r="DB207" s="463"/>
      <c r="DC207" s="463"/>
      <c r="DD207" s="463"/>
      <c r="DE207" s="463"/>
      <c r="DF207" s="463"/>
      <c r="DG207" s="463"/>
      <c r="DH207" s="463"/>
      <c r="DI207" s="463"/>
      <c r="DJ207" s="463"/>
      <c r="DK207" s="463"/>
      <c r="DL207" s="463"/>
      <c r="DM207" s="463"/>
      <c r="DN207" s="463"/>
      <c r="DO207" s="463"/>
      <c r="DP207" s="463"/>
      <c r="DQ207" s="463"/>
      <c r="DR207" s="463"/>
      <c r="DS207" s="463"/>
      <c r="DT207" s="463"/>
      <c r="DU207" s="463"/>
      <c r="DV207" s="463"/>
      <c r="DW207" s="322" t="s">
        <v>372</v>
      </c>
    </row>
    <row r="208" spans="3:127" hidden="1" outlineLevel="1" x14ac:dyDescent="0.3">
      <c r="C208" s="374" t="str">
        <f>C190</f>
        <v>LP Equity</v>
      </c>
      <c r="D208" s="486">
        <f>H41</f>
        <v>0.63</v>
      </c>
      <c r="E208" s="466">
        <f>SUM(F208:DV208)</f>
        <v>139624.05376643315</v>
      </c>
      <c r="F208" s="466">
        <v>0</v>
      </c>
      <c r="G208" s="466">
        <f t="shared" ref="G208:BR208" si="207">-G204</f>
        <v>0</v>
      </c>
      <c r="H208" s="466">
        <f t="shared" si="207"/>
        <v>0</v>
      </c>
      <c r="I208" s="466">
        <f t="shared" si="207"/>
        <v>0</v>
      </c>
      <c r="J208" s="466">
        <f t="shared" si="207"/>
        <v>0</v>
      </c>
      <c r="K208" s="466">
        <f t="shared" si="207"/>
        <v>0</v>
      </c>
      <c r="L208" s="466">
        <f t="shared" si="207"/>
        <v>0</v>
      </c>
      <c r="M208" s="466">
        <f t="shared" si="207"/>
        <v>0</v>
      </c>
      <c r="N208" s="466">
        <f t="shared" si="207"/>
        <v>0</v>
      </c>
      <c r="O208" s="466">
        <f t="shared" si="207"/>
        <v>0</v>
      </c>
      <c r="P208" s="466">
        <f t="shared" si="207"/>
        <v>0</v>
      </c>
      <c r="Q208" s="466">
        <f t="shared" si="207"/>
        <v>0</v>
      </c>
      <c r="R208" s="466">
        <f t="shared" si="207"/>
        <v>0</v>
      </c>
      <c r="S208" s="466">
        <f t="shared" si="207"/>
        <v>0</v>
      </c>
      <c r="T208" s="466">
        <f t="shared" si="207"/>
        <v>0</v>
      </c>
      <c r="U208" s="466">
        <f t="shared" si="207"/>
        <v>0</v>
      </c>
      <c r="V208" s="466">
        <f t="shared" si="207"/>
        <v>0</v>
      </c>
      <c r="W208" s="466">
        <f t="shared" si="207"/>
        <v>0</v>
      </c>
      <c r="X208" s="466">
        <f t="shared" si="207"/>
        <v>0</v>
      </c>
      <c r="Y208" s="466">
        <f t="shared" si="207"/>
        <v>0</v>
      </c>
      <c r="Z208" s="466">
        <f t="shared" si="207"/>
        <v>0</v>
      </c>
      <c r="AA208" s="466">
        <f t="shared" si="207"/>
        <v>0</v>
      </c>
      <c r="AB208" s="466">
        <f t="shared" si="207"/>
        <v>0</v>
      </c>
      <c r="AC208" s="466">
        <f t="shared" si="207"/>
        <v>0</v>
      </c>
      <c r="AD208" s="466">
        <f t="shared" si="207"/>
        <v>0</v>
      </c>
      <c r="AE208" s="466">
        <f t="shared" si="207"/>
        <v>0</v>
      </c>
      <c r="AF208" s="466">
        <f t="shared" si="207"/>
        <v>0</v>
      </c>
      <c r="AG208" s="466">
        <f t="shared" si="207"/>
        <v>0</v>
      </c>
      <c r="AH208" s="466">
        <f t="shared" si="207"/>
        <v>0</v>
      </c>
      <c r="AI208" s="466">
        <f t="shared" si="207"/>
        <v>0</v>
      </c>
      <c r="AJ208" s="466">
        <f t="shared" si="207"/>
        <v>0</v>
      </c>
      <c r="AK208" s="466">
        <f t="shared" si="207"/>
        <v>0</v>
      </c>
      <c r="AL208" s="466">
        <f t="shared" si="207"/>
        <v>0</v>
      </c>
      <c r="AM208" s="466">
        <f t="shared" si="207"/>
        <v>0</v>
      </c>
      <c r="AN208" s="466">
        <f t="shared" si="207"/>
        <v>0</v>
      </c>
      <c r="AO208" s="466">
        <f t="shared" si="207"/>
        <v>0</v>
      </c>
      <c r="AP208" s="466">
        <f t="shared" si="207"/>
        <v>0</v>
      </c>
      <c r="AQ208" s="466">
        <f t="shared" si="207"/>
        <v>0</v>
      </c>
      <c r="AR208" s="466">
        <f t="shared" si="207"/>
        <v>0</v>
      </c>
      <c r="AS208" s="466">
        <f t="shared" si="207"/>
        <v>0</v>
      </c>
      <c r="AT208" s="466">
        <f t="shared" si="207"/>
        <v>0</v>
      </c>
      <c r="AU208" s="466">
        <f t="shared" si="207"/>
        <v>0</v>
      </c>
      <c r="AV208" s="466">
        <f t="shared" si="207"/>
        <v>0</v>
      </c>
      <c r="AW208" s="466">
        <f t="shared" si="207"/>
        <v>0</v>
      </c>
      <c r="AX208" s="466">
        <f t="shared" si="207"/>
        <v>0</v>
      </c>
      <c r="AY208" s="466">
        <f t="shared" si="207"/>
        <v>0</v>
      </c>
      <c r="AZ208" s="466">
        <f t="shared" si="207"/>
        <v>0</v>
      </c>
      <c r="BA208" s="466">
        <f t="shared" si="207"/>
        <v>0</v>
      </c>
      <c r="BB208" s="466">
        <f t="shared" si="207"/>
        <v>0</v>
      </c>
      <c r="BC208" s="466">
        <f t="shared" si="207"/>
        <v>0</v>
      </c>
      <c r="BD208" s="466">
        <f t="shared" si="207"/>
        <v>0</v>
      </c>
      <c r="BE208" s="466">
        <f t="shared" si="207"/>
        <v>0</v>
      </c>
      <c r="BF208" s="466">
        <f t="shared" si="207"/>
        <v>0</v>
      </c>
      <c r="BG208" s="466">
        <f t="shared" si="207"/>
        <v>0</v>
      </c>
      <c r="BH208" s="466">
        <f t="shared" si="207"/>
        <v>0</v>
      </c>
      <c r="BI208" s="466">
        <f t="shared" si="207"/>
        <v>0</v>
      </c>
      <c r="BJ208" s="466">
        <f t="shared" si="207"/>
        <v>0</v>
      </c>
      <c r="BK208" s="466">
        <f t="shared" si="207"/>
        <v>0</v>
      </c>
      <c r="BL208" s="466">
        <f t="shared" si="207"/>
        <v>0</v>
      </c>
      <c r="BM208" s="466">
        <f t="shared" si="207"/>
        <v>0</v>
      </c>
      <c r="BN208" s="466">
        <f t="shared" si="207"/>
        <v>139624.05376643315</v>
      </c>
      <c r="BO208" s="466">
        <f t="shared" si="207"/>
        <v>0</v>
      </c>
      <c r="BP208" s="466">
        <f t="shared" si="207"/>
        <v>0</v>
      </c>
      <c r="BQ208" s="466">
        <f t="shared" si="207"/>
        <v>0</v>
      </c>
      <c r="BR208" s="466">
        <f t="shared" si="207"/>
        <v>0</v>
      </c>
      <c r="BS208" s="466">
        <f t="shared" ref="BS208:DV208" si="208">-BS204</f>
        <v>0</v>
      </c>
      <c r="BT208" s="466">
        <f t="shared" si="208"/>
        <v>0</v>
      </c>
      <c r="BU208" s="466">
        <f t="shared" si="208"/>
        <v>0</v>
      </c>
      <c r="BV208" s="466">
        <f t="shared" si="208"/>
        <v>0</v>
      </c>
      <c r="BW208" s="466">
        <f t="shared" si="208"/>
        <v>0</v>
      </c>
      <c r="BX208" s="466">
        <f t="shared" si="208"/>
        <v>0</v>
      </c>
      <c r="BY208" s="466">
        <f t="shared" si="208"/>
        <v>0</v>
      </c>
      <c r="BZ208" s="466">
        <f t="shared" si="208"/>
        <v>0</v>
      </c>
      <c r="CA208" s="466">
        <f t="shared" si="208"/>
        <v>0</v>
      </c>
      <c r="CB208" s="466">
        <f t="shared" si="208"/>
        <v>0</v>
      </c>
      <c r="CC208" s="466">
        <f t="shared" si="208"/>
        <v>0</v>
      </c>
      <c r="CD208" s="466">
        <f t="shared" si="208"/>
        <v>0</v>
      </c>
      <c r="CE208" s="466">
        <f t="shared" si="208"/>
        <v>0</v>
      </c>
      <c r="CF208" s="466">
        <f t="shared" si="208"/>
        <v>0</v>
      </c>
      <c r="CG208" s="466">
        <f t="shared" si="208"/>
        <v>0</v>
      </c>
      <c r="CH208" s="466">
        <f t="shared" si="208"/>
        <v>0</v>
      </c>
      <c r="CI208" s="466">
        <f t="shared" si="208"/>
        <v>0</v>
      </c>
      <c r="CJ208" s="466">
        <f t="shared" si="208"/>
        <v>0</v>
      </c>
      <c r="CK208" s="466">
        <f t="shared" si="208"/>
        <v>0</v>
      </c>
      <c r="CL208" s="466">
        <f t="shared" si="208"/>
        <v>0</v>
      </c>
      <c r="CM208" s="466">
        <f t="shared" si="208"/>
        <v>0</v>
      </c>
      <c r="CN208" s="466">
        <f t="shared" si="208"/>
        <v>0</v>
      </c>
      <c r="CO208" s="466">
        <f t="shared" si="208"/>
        <v>0</v>
      </c>
      <c r="CP208" s="466">
        <f t="shared" si="208"/>
        <v>0</v>
      </c>
      <c r="CQ208" s="466">
        <f t="shared" si="208"/>
        <v>0</v>
      </c>
      <c r="CR208" s="466">
        <f t="shared" si="208"/>
        <v>0</v>
      </c>
      <c r="CS208" s="466">
        <f t="shared" si="208"/>
        <v>0</v>
      </c>
      <c r="CT208" s="466">
        <f t="shared" si="208"/>
        <v>0</v>
      </c>
      <c r="CU208" s="466">
        <f t="shared" si="208"/>
        <v>0</v>
      </c>
      <c r="CV208" s="466">
        <f t="shared" si="208"/>
        <v>0</v>
      </c>
      <c r="CW208" s="466">
        <f t="shared" si="208"/>
        <v>0</v>
      </c>
      <c r="CX208" s="466">
        <f t="shared" si="208"/>
        <v>0</v>
      </c>
      <c r="CY208" s="466">
        <f t="shared" si="208"/>
        <v>0</v>
      </c>
      <c r="CZ208" s="466">
        <f t="shared" si="208"/>
        <v>0</v>
      </c>
      <c r="DA208" s="466">
        <f t="shared" si="208"/>
        <v>0</v>
      </c>
      <c r="DB208" s="466">
        <f t="shared" si="208"/>
        <v>0</v>
      </c>
      <c r="DC208" s="466">
        <f t="shared" si="208"/>
        <v>0</v>
      </c>
      <c r="DD208" s="466">
        <f t="shared" si="208"/>
        <v>0</v>
      </c>
      <c r="DE208" s="466">
        <f t="shared" si="208"/>
        <v>0</v>
      </c>
      <c r="DF208" s="466">
        <f t="shared" si="208"/>
        <v>0</v>
      </c>
      <c r="DG208" s="466">
        <f t="shared" si="208"/>
        <v>0</v>
      </c>
      <c r="DH208" s="466">
        <f t="shared" si="208"/>
        <v>0</v>
      </c>
      <c r="DI208" s="466">
        <f t="shared" si="208"/>
        <v>0</v>
      </c>
      <c r="DJ208" s="466">
        <f t="shared" si="208"/>
        <v>0</v>
      </c>
      <c r="DK208" s="466">
        <f t="shared" si="208"/>
        <v>0</v>
      </c>
      <c r="DL208" s="466">
        <f t="shared" si="208"/>
        <v>0</v>
      </c>
      <c r="DM208" s="466">
        <f t="shared" si="208"/>
        <v>0</v>
      </c>
      <c r="DN208" s="466">
        <f t="shared" si="208"/>
        <v>0</v>
      </c>
      <c r="DO208" s="466">
        <f t="shared" si="208"/>
        <v>0</v>
      </c>
      <c r="DP208" s="466">
        <f t="shared" si="208"/>
        <v>0</v>
      </c>
      <c r="DQ208" s="466">
        <f t="shared" si="208"/>
        <v>0</v>
      </c>
      <c r="DR208" s="466">
        <f t="shared" si="208"/>
        <v>0</v>
      </c>
      <c r="DS208" s="466">
        <f t="shared" si="208"/>
        <v>0</v>
      </c>
      <c r="DT208" s="466">
        <f t="shared" si="208"/>
        <v>0</v>
      </c>
      <c r="DU208" s="466">
        <f t="shared" si="208"/>
        <v>0</v>
      </c>
      <c r="DV208" s="466">
        <f t="shared" si="208"/>
        <v>0</v>
      </c>
      <c r="DW208" s="322" t="s">
        <v>372</v>
      </c>
    </row>
    <row r="209" spans="3:127" hidden="1" outlineLevel="1" x14ac:dyDescent="0.3">
      <c r="C209" s="374" t="str">
        <f>C191</f>
        <v>Granite Park Equity</v>
      </c>
      <c r="D209" s="486">
        <f>1-SUM(D208,D210)</f>
        <v>7.0000000000000062E-2</v>
      </c>
      <c r="E209" s="468">
        <f>SUM(F209:DV209)</f>
        <v>15513.783751825918</v>
      </c>
      <c r="F209" s="468">
        <v>0</v>
      </c>
      <c r="G209" s="468">
        <f t="shared" ref="G209:BR209" si="209">(G208/$D$208)*$D$209</f>
        <v>0</v>
      </c>
      <c r="H209" s="468">
        <f t="shared" si="209"/>
        <v>0</v>
      </c>
      <c r="I209" s="468">
        <f t="shared" si="209"/>
        <v>0</v>
      </c>
      <c r="J209" s="468">
        <f t="shared" si="209"/>
        <v>0</v>
      </c>
      <c r="K209" s="468">
        <f t="shared" si="209"/>
        <v>0</v>
      </c>
      <c r="L209" s="468">
        <f t="shared" si="209"/>
        <v>0</v>
      </c>
      <c r="M209" s="468">
        <f t="shared" si="209"/>
        <v>0</v>
      </c>
      <c r="N209" s="468">
        <f t="shared" si="209"/>
        <v>0</v>
      </c>
      <c r="O209" s="468">
        <f t="shared" si="209"/>
        <v>0</v>
      </c>
      <c r="P209" s="468">
        <f t="shared" si="209"/>
        <v>0</v>
      </c>
      <c r="Q209" s="468">
        <f t="shared" si="209"/>
        <v>0</v>
      </c>
      <c r="R209" s="468">
        <f t="shared" si="209"/>
        <v>0</v>
      </c>
      <c r="S209" s="468">
        <f t="shared" si="209"/>
        <v>0</v>
      </c>
      <c r="T209" s="468">
        <f t="shared" si="209"/>
        <v>0</v>
      </c>
      <c r="U209" s="468">
        <f t="shared" si="209"/>
        <v>0</v>
      </c>
      <c r="V209" s="468">
        <f t="shared" si="209"/>
        <v>0</v>
      </c>
      <c r="W209" s="468">
        <f t="shared" si="209"/>
        <v>0</v>
      </c>
      <c r="X209" s="468">
        <f t="shared" si="209"/>
        <v>0</v>
      </c>
      <c r="Y209" s="468">
        <f t="shared" si="209"/>
        <v>0</v>
      </c>
      <c r="Z209" s="468">
        <f t="shared" si="209"/>
        <v>0</v>
      </c>
      <c r="AA209" s="468">
        <f t="shared" si="209"/>
        <v>0</v>
      </c>
      <c r="AB209" s="468">
        <f t="shared" si="209"/>
        <v>0</v>
      </c>
      <c r="AC209" s="468">
        <f t="shared" si="209"/>
        <v>0</v>
      </c>
      <c r="AD209" s="468">
        <f t="shared" si="209"/>
        <v>0</v>
      </c>
      <c r="AE209" s="468">
        <f t="shared" si="209"/>
        <v>0</v>
      </c>
      <c r="AF209" s="468">
        <f t="shared" si="209"/>
        <v>0</v>
      </c>
      <c r="AG209" s="468">
        <f t="shared" si="209"/>
        <v>0</v>
      </c>
      <c r="AH209" s="468">
        <f t="shared" si="209"/>
        <v>0</v>
      </c>
      <c r="AI209" s="468">
        <f t="shared" si="209"/>
        <v>0</v>
      </c>
      <c r="AJ209" s="468">
        <f t="shared" si="209"/>
        <v>0</v>
      </c>
      <c r="AK209" s="468">
        <f t="shared" si="209"/>
        <v>0</v>
      </c>
      <c r="AL209" s="468">
        <f t="shared" si="209"/>
        <v>0</v>
      </c>
      <c r="AM209" s="468">
        <f t="shared" si="209"/>
        <v>0</v>
      </c>
      <c r="AN209" s="468">
        <f t="shared" si="209"/>
        <v>0</v>
      </c>
      <c r="AO209" s="468">
        <f t="shared" si="209"/>
        <v>0</v>
      </c>
      <c r="AP209" s="468">
        <f t="shared" si="209"/>
        <v>0</v>
      </c>
      <c r="AQ209" s="468">
        <f t="shared" si="209"/>
        <v>0</v>
      </c>
      <c r="AR209" s="468">
        <f t="shared" si="209"/>
        <v>0</v>
      </c>
      <c r="AS209" s="468">
        <f t="shared" si="209"/>
        <v>0</v>
      </c>
      <c r="AT209" s="468">
        <f t="shared" si="209"/>
        <v>0</v>
      </c>
      <c r="AU209" s="468">
        <f t="shared" si="209"/>
        <v>0</v>
      </c>
      <c r="AV209" s="468">
        <f t="shared" si="209"/>
        <v>0</v>
      </c>
      <c r="AW209" s="468">
        <f t="shared" si="209"/>
        <v>0</v>
      </c>
      <c r="AX209" s="468">
        <f t="shared" si="209"/>
        <v>0</v>
      </c>
      <c r="AY209" s="468">
        <f t="shared" si="209"/>
        <v>0</v>
      </c>
      <c r="AZ209" s="468">
        <f t="shared" si="209"/>
        <v>0</v>
      </c>
      <c r="BA209" s="468">
        <f t="shared" si="209"/>
        <v>0</v>
      </c>
      <c r="BB209" s="468">
        <f t="shared" si="209"/>
        <v>0</v>
      </c>
      <c r="BC209" s="468">
        <f t="shared" si="209"/>
        <v>0</v>
      </c>
      <c r="BD209" s="468">
        <f t="shared" si="209"/>
        <v>0</v>
      </c>
      <c r="BE209" s="468">
        <f t="shared" si="209"/>
        <v>0</v>
      </c>
      <c r="BF209" s="468">
        <f t="shared" si="209"/>
        <v>0</v>
      </c>
      <c r="BG209" s="468">
        <f t="shared" si="209"/>
        <v>0</v>
      </c>
      <c r="BH209" s="468">
        <f t="shared" si="209"/>
        <v>0</v>
      </c>
      <c r="BI209" s="468">
        <f t="shared" si="209"/>
        <v>0</v>
      </c>
      <c r="BJ209" s="468">
        <f t="shared" si="209"/>
        <v>0</v>
      </c>
      <c r="BK209" s="468">
        <f t="shared" si="209"/>
        <v>0</v>
      </c>
      <c r="BL209" s="468">
        <f t="shared" si="209"/>
        <v>0</v>
      </c>
      <c r="BM209" s="468">
        <f t="shared" si="209"/>
        <v>0</v>
      </c>
      <c r="BN209" s="468">
        <f t="shared" si="209"/>
        <v>15513.783751825918</v>
      </c>
      <c r="BO209" s="468">
        <f t="shared" si="209"/>
        <v>0</v>
      </c>
      <c r="BP209" s="468">
        <f t="shared" si="209"/>
        <v>0</v>
      </c>
      <c r="BQ209" s="468">
        <f t="shared" si="209"/>
        <v>0</v>
      </c>
      <c r="BR209" s="468">
        <f t="shared" si="209"/>
        <v>0</v>
      </c>
      <c r="BS209" s="468">
        <f t="shared" ref="BS209:DV209" si="210">(BS208/$D$208)*$D$209</f>
        <v>0</v>
      </c>
      <c r="BT209" s="468">
        <f t="shared" si="210"/>
        <v>0</v>
      </c>
      <c r="BU209" s="468">
        <f t="shared" si="210"/>
        <v>0</v>
      </c>
      <c r="BV209" s="468">
        <f t="shared" si="210"/>
        <v>0</v>
      </c>
      <c r="BW209" s="468">
        <f t="shared" si="210"/>
        <v>0</v>
      </c>
      <c r="BX209" s="468">
        <f t="shared" si="210"/>
        <v>0</v>
      </c>
      <c r="BY209" s="468">
        <f t="shared" si="210"/>
        <v>0</v>
      </c>
      <c r="BZ209" s="468">
        <f t="shared" si="210"/>
        <v>0</v>
      </c>
      <c r="CA209" s="468">
        <f t="shared" si="210"/>
        <v>0</v>
      </c>
      <c r="CB209" s="468">
        <f t="shared" si="210"/>
        <v>0</v>
      </c>
      <c r="CC209" s="468">
        <f t="shared" si="210"/>
        <v>0</v>
      </c>
      <c r="CD209" s="468">
        <f t="shared" si="210"/>
        <v>0</v>
      </c>
      <c r="CE209" s="468">
        <f t="shared" si="210"/>
        <v>0</v>
      </c>
      <c r="CF209" s="468">
        <f t="shared" si="210"/>
        <v>0</v>
      </c>
      <c r="CG209" s="468">
        <f t="shared" si="210"/>
        <v>0</v>
      </c>
      <c r="CH209" s="468">
        <f t="shared" si="210"/>
        <v>0</v>
      </c>
      <c r="CI209" s="468">
        <f t="shared" si="210"/>
        <v>0</v>
      </c>
      <c r="CJ209" s="468">
        <f t="shared" si="210"/>
        <v>0</v>
      </c>
      <c r="CK209" s="468">
        <f t="shared" si="210"/>
        <v>0</v>
      </c>
      <c r="CL209" s="468">
        <f t="shared" si="210"/>
        <v>0</v>
      </c>
      <c r="CM209" s="468">
        <f t="shared" si="210"/>
        <v>0</v>
      </c>
      <c r="CN209" s="468">
        <f t="shared" si="210"/>
        <v>0</v>
      </c>
      <c r="CO209" s="468">
        <f t="shared" si="210"/>
        <v>0</v>
      </c>
      <c r="CP209" s="468">
        <f t="shared" si="210"/>
        <v>0</v>
      </c>
      <c r="CQ209" s="468">
        <f t="shared" si="210"/>
        <v>0</v>
      </c>
      <c r="CR209" s="468">
        <f t="shared" si="210"/>
        <v>0</v>
      </c>
      <c r="CS209" s="468">
        <f t="shared" si="210"/>
        <v>0</v>
      </c>
      <c r="CT209" s="468">
        <f t="shared" si="210"/>
        <v>0</v>
      </c>
      <c r="CU209" s="468">
        <f t="shared" si="210"/>
        <v>0</v>
      </c>
      <c r="CV209" s="468">
        <f t="shared" si="210"/>
        <v>0</v>
      </c>
      <c r="CW209" s="468">
        <f t="shared" si="210"/>
        <v>0</v>
      </c>
      <c r="CX209" s="468">
        <f t="shared" si="210"/>
        <v>0</v>
      </c>
      <c r="CY209" s="468">
        <f t="shared" si="210"/>
        <v>0</v>
      </c>
      <c r="CZ209" s="468">
        <f t="shared" si="210"/>
        <v>0</v>
      </c>
      <c r="DA209" s="468">
        <f t="shared" si="210"/>
        <v>0</v>
      </c>
      <c r="DB209" s="468">
        <f t="shared" si="210"/>
        <v>0</v>
      </c>
      <c r="DC209" s="468">
        <f t="shared" si="210"/>
        <v>0</v>
      </c>
      <c r="DD209" s="468">
        <f t="shared" si="210"/>
        <v>0</v>
      </c>
      <c r="DE209" s="468">
        <f t="shared" si="210"/>
        <v>0</v>
      </c>
      <c r="DF209" s="468">
        <f t="shared" si="210"/>
        <v>0</v>
      </c>
      <c r="DG209" s="468">
        <f t="shared" si="210"/>
        <v>0</v>
      </c>
      <c r="DH209" s="468">
        <f t="shared" si="210"/>
        <v>0</v>
      </c>
      <c r="DI209" s="468">
        <f t="shared" si="210"/>
        <v>0</v>
      </c>
      <c r="DJ209" s="468">
        <f t="shared" si="210"/>
        <v>0</v>
      </c>
      <c r="DK209" s="468">
        <f t="shared" si="210"/>
        <v>0</v>
      </c>
      <c r="DL209" s="468">
        <f t="shared" si="210"/>
        <v>0</v>
      </c>
      <c r="DM209" s="468">
        <f t="shared" si="210"/>
        <v>0</v>
      </c>
      <c r="DN209" s="468">
        <f t="shared" si="210"/>
        <v>0</v>
      </c>
      <c r="DO209" s="468">
        <f t="shared" si="210"/>
        <v>0</v>
      </c>
      <c r="DP209" s="468">
        <f t="shared" si="210"/>
        <v>0</v>
      </c>
      <c r="DQ209" s="468">
        <f t="shared" si="210"/>
        <v>0</v>
      </c>
      <c r="DR209" s="468">
        <f t="shared" si="210"/>
        <v>0</v>
      </c>
      <c r="DS209" s="468">
        <f t="shared" si="210"/>
        <v>0</v>
      </c>
      <c r="DT209" s="468">
        <f t="shared" si="210"/>
        <v>0</v>
      </c>
      <c r="DU209" s="468">
        <f t="shared" si="210"/>
        <v>0</v>
      </c>
      <c r="DV209" s="468">
        <f t="shared" si="210"/>
        <v>0</v>
      </c>
      <c r="DW209" s="322" t="s">
        <v>372</v>
      </c>
    </row>
    <row r="210" spans="3:127" hidden="1" outlineLevel="1" x14ac:dyDescent="0.3">
      <c r="C210" s="374" t="str">
        <f>C159</f>
        <v>Granite Park Promote</v>
      </c>
      <c r="D210" s="486">
        <f>G41</f>
        <v>0.3</v>
      </c>
      <c r="E210" s="468">
        <f>SUM(F210:DV210)</f>
        <v>66487.644650682443</v>
      </c>
      <c r="F210" s="468">
        <v>0</v>
      </c>
      <c r="G210" s="468">
        <f t="shared" ref="G210:BR210" si="211">(G208/$D$208)*$D$210</f>
        <v>0</v>
      </c>
      <c r="H210" s="468">
        <f t="shared" si="211"/>
        <v>0</v>
      </c>
      <c r="I210" s="468">
        <f t="shared" si="211"/>
        <v>0</v>
      </c>
      <c r="J210" s="468">
        <f t="shared" si="211"/>
        <v>0</v>
      </c>
      <c r="K210" s="468">
        <f t="shared" si="211"/>
        <v>0</v>
      </c>
      <c r="L210" s="468">
        <f t="shared" si="211"/>
        <v>0</v>
      </c>
      <c r="M210" s="468">
        <f t="shared" si="211"/>
        <v>0</v>
      </c>
      <c r="N210" s="468">
        <f t="shared" si="211"/>
        <v>0</v>
      </c>
      <c r="O210" s="468">
        <f t="shared" si="211"/>
        <v>0</v>
      </c>
      <c r="P210" s="468">
        <f t="shared" si="211"/>
        <v>0</v>
      </c>
      <c r="Q210" s="468">
        <f t="shared" si="211"/>
        <v>0</v>
      </c>
      <c r="R210" s="468">
        <f t="shared" si="211"/>
        <v>0</v>
      </c>
      <c r="S210" s="468">
        <f t="shared" si="211"/>
        <v>0</v>
      </c>
      <c r="T210" s="468">
        <f t="shared" si="211"/>
        <v>0</v>
      </c>
      <c r="U210" s="468">
        <f t="shared" si="211"/>
        <v>0</v>
      </c>
      <c r="V210" s="468">
        <f t="shared" si="211"/>
        <v>0</v>
      </c>
      <c r="W210" s="468">
        <f t="shared" si="211"/>
        <v>0</v>
      </c>
      <c r="X210" s="468">
        <f t="shared" si="211"/>
        <v>0</v>
      </c>
      <c r="Y210" s="468">
        <f t="shared" si="211"/>
        <v>0</v>
      </c>
      <c r="Z210" s="468">
        <f t="shared" si="211"/>
        <v>0</v>
      </c>
      <c r="AA210" s="468">
        <f t="shared" si="211"/>
        <v>0</v>
      </c>
      <c r="AB210" s="468">
        <f t="shared" si="211"/>
        <v>0</v>
      </c>
      <c r="AC210" s="468">
        <f t="shared" si="211"/>
        <v>0</v>
      </c>
      <c r="AD210" s="468">
        <f t="shared" si="211"/>
        <v>0</v>
      </c>
      <c r="AE210" s="468">
        <f t="shared" si="211"/>
        <v>0</v>
      </c>
      <c r="AF210" s="468">
        <f t="shared" si="211"/>
        <v>0</v>
      </c>
      <c r="AG210" s="468">
        <f t="shared" si="211"/>
        <v>0</v>
      </c>
      <c r="AH210" s="468">
        <f t="shared" si="211"/>
        <v>0</v>
      </c>
      <c r="AI210" s="468">
        <f t="shared" si="211"/>
        <v>0</v>
      </c>
      <c r="AJ210" s="468">
        <f t="shared" si="211"/>
        <v>0</v>
      </c>
      <c r="AK210" s="468">
        <f t="shared" si="211"/>
        <v>0</v>
      </c>
      <c r="AL210" s="468">
        <f t="shared" si="211"/>
        <v>0</v>
      </c>
      <c r="AM210" s="468">
        <f t="shared" si="211"/>
        <v>0</v>
      </c>
      <c r="AN210" s="468">
        <f t="shared" si="211"/>
        <v>0</v>
      </c>
      <c r="AO210" s="468">
        <f t="shared" si="211"/>
        <v>0</v>
      </c>
      <c r="AP210" s="468">
        <f t="shared" si="211"/>
        <v>0</v>
      </c>
      <c r="AQ210" s="468">
        <f t="shared" si="211"/>
        <v>0</v>
      </c>
      <c r="AR210" s="468">
        <f t="shared" si="211"/>
        <v>0</v>
      </c>
      <c r="AS210" s="468">
        <f t="shared" si="211"/>
        <v>0</v>
      </c>
      <c r="AT210" s="468">
        <f t="shared" si="211"/>
        <v>0</v>
      </c>
      <c r="AU210" s="468">
        <f t="shared" si="211"/>
        <v>0</v>
      </c>
      <c r="AV210" s="468">
        <f t="shared" si="211"/>
        <v>0</v>
      </c>
      <c r="AW210" s="468">
        <f t="shared" si="211"/>
        <v>0</v>
      </c>
      <c r="AX210" s="468">
        <f t="shared" si="211"/>
        <v>0</v>
      </c>
      <c r="AY210" s="468">
        <f t="shared" si="211"/>
        <v>0</v>
      </c>
      <c r="AZ210" s="468">
        <f t="shared" si="211"/>
        <v>0</v>
      </c>
      <c r="BA210" s="468">
        <f t="shared" si="211"/>
        <v>0</v>
      </c>
      <c r="BB210" s="468">
        <f t="shared" si="211"/>
        <v>0</v>
      </c>
      <c r="BC210" s="468">
        <f t="shared" si="211"/>
        <v>0</v>
      </c>
      <c r="BD210" s="468">
        <f t="shared" si="211"/>
        <v>0</v>
      </c>
      <c r="BE210" s="468">
        <f t="shared" si="211"/>
        <v>0</v>
      </c>
      <c r="BF210" s="468">
        <f t="shared" si="211"/>
        <v>0</v>
      </c>
      <c r="BG210" s="468">
        <f t="shared" si="211"/>
        <v>0</v>
      </c>
      <c r="BH210" s="468">
        <f t="shared" si="211"/>
        <v>0</v>
      </c>
      <c r="BI210" s="468">
        <f t="shared" si="211"/>
        <v>0</v>
      </c>
      <c r="BJ210" s="468">
        <f t="shared" si="211"/>
        <v>0</v>
      </c>
      <c r="BK210" s="468">
        <f t="shared" si="211"/>
        <v>0</v>
      </c>
      <c r="BL210" s="468">
        <f t="shared" si="211"/>
        <v>0</v>
      </c>
      <c r="BM210" s="468">
        <f t="shared" si="211"/>
        <v>0</v>
      </c>
      <c r="BN210" s="468">
        <f t="shared" si="211"/>
        <v>66487.644650682443</v>
      </c>
      <c r="BO210" s="468">
        <f t="shared" si="211"/>
        <v>0</v>
      </c>
      <c r="BP210" s="468">
        <f t="shared" si="211"/>
        <v>0</v>
      </c>
      <c r="BQ210" s="468">
        <f t="shared" si="211"/>
        <v>0</v>
      </c>
      <c r="BR210" s="468">
        <f t="shared" si="211"/>
        <v>0</v>
      </c>
      <c r="BS210" s="468">
        <f t="shared" ref="BS210:DV210" si="212">(BS208/$D$208)*$D$210</f>
        <v>0</v>
      </c>
      <c r="BT210" s="468">
        <f t="shared" si="212"/>
        <v>0</v>
      </c>
      <c r="BU210" s="468">
        <f t="shared" si="212"/>
        <v>0</v>
      </c>
      <c r="BV210" s="468">
        <f t="shared" si="212"/>
        <v>0</v>
      </c>
      <c r="BW210" s="468">
        <f t="shared" si="212"/>
        <v>0</v>
      </c>
      <c r="BX210" s="468">
        <f t="shared" si="212"/>
        <v>0</v>
      </c>
      <c r="BY210" s="468">
        <f t="shared" si="212"/>
        <v>0</v>
      </c>
      <c r="BZ210" s="468">
        <f t="shared" si="212"/>
        <v>0</v>
      </c>
      <c r="CA210" s="468">
        <f t="shared" si="212"/>
        <v>0</v>
      </c>
      <c r="CB210" s="468">
        <f t="shared" si="212"/>
        <v>0</v>
      </c>
      <c r="CC210" s="468">
        <f t="shared" si="212"/>
        <v>0</v>
      </c>
      <c r="CD210" s="468">
        <f t="shared" si="212"/>
        <v>0</v>
      </c>
      <c r="CE210" s="468">
        <f t="shared" si="212"/>
        <v>0</v>
      </c>
      <c r="CF210" s="468">
        <f t="shared" si="212"/>
        <v>0</v>
      </c>
      <c r="CG210" s="468">
        <f t="shared" si="212"/>
        <v>0</v>
      </c>
      <c r="CH210" s="468">
        <f t="shared" si="212"/>
        <v>0</v>
      </c>
      <c r="CI210" s="468">
        <f t="shared" si="212"/>
        <v>0</v>
      </c>
      <c r="CJ210" s="468">
        <f t="shared" si="212"/>
        <v>0</v>
      </c>
      <c r="CK210" s="468">
        <f t="shared" si="212"/>
        <v>0</v>
      </c>
      <c r="CL210" s="468">
        <f t="shared" si="212"/>
        <v>0</v>
      </c>
      <c r="CM210" s="468">
        <f t="shared" si="212"/>
        <v>0</v>
      </c>
      <c r="CN210" s="468">
        <f t="shared" si="212"/>
        <v>0</v>
      </c>
      <c r="CO210" s="468">
        <f t="shared" si="212"/>
        <v>0</v>
      </c>
      <c r="CP210" s="468">
        <f t="shared" si="212"/>
        <v>0</v>
      </c>
      <c r="CQ210" s="468">
        <f t="shared" si="212"/>
        <v>0</v>
      </c>
      <c r="CR210" s="468">
        <f t="shared" si="212"/>
        <v>0</v>
      </c>
      <c r="CS210" s="468">
        <f t="shared" si="212"/>
        <v>0</v>
      </c>
      <c r="CT210" s="468">
        <f t="shared" si="212"/>
        <v>0</v>
      </c>
      <c r="CU210" s="468">
        <f t="shared" si="212"/>
        <v>0</v>
      </c>
      <c r="CV210" s="468">
        <f t="shared" si="212"/>
        <v>0</v>
      </c>
      <c r="CW210" s="468">
        <f t="shared" si="212"/>
        <v>0</v>
      </c>
      <c r="CX210" s="468">
        <f t="shared" si="212"/>
        <v>0</v>
      </c>
      <c r="CY210" s="468">
        <f t="shared" si="212"/>
        <v>0</v>
      </c>
      <c r="CZ210" s="468">
        <f t="shared" si="212"/>
        <v>0</v>
      </c>
      <c r="DA210" s="468">
        <f t="shared" si="212"/>
        <v>0</v>
      </c>
      <c r="DB210" s="468">
        <f t="shared" si="212"/>
        <v>0</v>
      </c>
      <c r="DC210" s="468">
        <f t="shared" si="212"/>
        <v>0</v>
      </c>
      <c r="DD210" s="468">
        <f t="shared" si="212"/>
        <v>0</v>
      </c>
      <c r="DE210" s="468">
        <f t="shared" si="212"/>
        <v>0</v>
      </c>
      <c r="DF210" s="468">
        <f t="shared" si="212"/>
        <v>0</v>
      </c>
      <c r="DG210" s="468">
        <f t="shared" si="212"/>
        <v>0</v>
      </c>
      <c r="DH210" s="468">
        <f t="shared" si="212"/>
        <v>0</v>
      </c>
      <c r="DI210" s="468">
        <f t="shared" si="212"/>
        <v>0</v>
      </c>
      <c r="DJ210" s="468">
        <f t="shared" si="212"/>
        <v>0</v>
      </c>
      <c r="DK210" s="468">
        <f t="shared" si="212"/>
        <v>0</v>
      </c>
      <c r="DL210" s="468">
        <f t="shared" si="212"/>
        <v>0</v>
      </c>
      <c r="DM210" s="468">
        <f t="shared" si="212"/>
        <v>0</v>
      </c>
      <c r="DN210" s="468">
        <f t="shared" si="212"/>
        <v>0</v>
      </c>
      <c r="DO210" s="468">
        <f t="shared" si="212"/>
        <v>0</v>
      </c>
      <c r="DP210" s="468">
        <f t="shared" si="212"/>
        <v>0</v>
      </c>
      <c r="DQ210" s="468">
        <f t="shared" si="212"/>
        <v>0</v>
      </c>
      <c r="DR210" s="468">
        <f t="shared" si="212"/>
        <v>0</v>
      </c>
      <c r="DS210" s="468">
        <f t="shared" si="212"/>
        <v>0</v>
      </c>
      <c r="DT210" s="468">
        <f t="shared" si="212"/>
        <v>0</v>
      </c>
      <c r="DU210" s="468">
        <f t="shared" si="212"/>
        <v>0</v>
      </c>
      <c r="DV210" s="468">
        <f t="shared" si="212"/>
        <v>0</v>
      </c>
      <c r="DW210" s="322" t="s">
        <v>372</v>
      </c>
    </row>
    <row r="211" spans="3:127" ht="17.25" hidden="1" outlineLevel="1" thickBot="1" x14ac:dyDescent="0.35">
      <c r="C211" s="365" t="s">
        <v>406</v>
      </c>
      <c r="D211" s="486"/>
      <c r="E211" s="415">
        <f t="shared" ref="E211:AJ211" si="213">SUM(E208:E210)</f>
        <v>221625.48216894153</v>
      </c>
      <c r="F211" s="415">
        <f t="shared" si="213"/>
        <v>0</v>
      </c>
      <c r="G211" s="415">
        <f t="shared" si="213"/>
        <v>0</v>
      </c>
      <c r="H211" s="415">
        <f t="shared" si="213"/>
        <v>0</v>
      </c>
      <c r="I211" s="415">
        <f t="shared" si="213"/>
        <v>0</v>
      </c>
      <c r="J211" s="415">
        <f t="shared" si="213"/>
        <v>0</v>
      </c>
      <c r="K211" s="415">
        <f t="shared" si="213"/>
        <v>0</v>
      </c>
      <c r="L211" s="415">
        <f t="shared" si="213"/>
        <v>0</v>
      </c>
      <c r="M211" s="415">
        <f t="shared" si="213"/>
        <v>0</v>
      </c>
      <c r="N211" s="415">
        <f t="shared" si="213"/>
        <v>0</v>
      </c>
      <c r="O211" s="415">
        <f t="shared" si="213"/>
        <v>0</v>
      </c>
      <c r="P211" s="415">
        <f t="shared" si="213"/>
        <v>0</v>
      </c>
      <c r="Q211" s="415">
        <f t="shared" si="213"/>
        <v>0</v>
      </c>
      <c r="R211" s="415">
        <f t="shared" si="213"/>
        <v>0</v>
      </c>
      <c r="S211" s="415">
        <f t="shared" si="213"/>
        <v>0</v>
      </c>
      <c r="T211" s="415">
        <f t="shared" si="213"/>
        <v>0</v>
      </c>
      <c r="U211" s="415">
        <f t="shared" si="213"/>
        <v>0</v>
      </c>
      <c r="V211" s="415">
        <f t="shared" si="213"/>
        <v>0</v>
      </c>
      <c r="W211" s="415">
        <f t="shared" si="213"/>
        <v>0</v>
      </c>
      <c r="X211" s="415">
        <f t="shared" si="213"/>
        <v>0</v>
      </c>
      <c r="Y211" s="415">
        <f t="shared" si="213"/>
        <v>0</v>
      </c>
      <c r="Z211" s="415">
        <f t="shared" si="213"/>
        <v>0</v>
      </c>
      <c r="AA211" s="415">
        <f t="shared" si="213"/>
        <v>0</v>
      </c>
      <c r="AB211" s="415">
        <f t="shared" si="213"/>
        <v>0</v>
      </c>
      <c r="AC211" s="415">
        <f t="shared" si="213"/>
        <v>0</v>
      </c>
      <c r="AD211" s="415">
        <f t="shared" si="213"/>
        <v>0</v>
      </c>
      <c r="AE211" s="415">
        <f t="shared" si="213"/>
        <v>0</v>
      </c>
      <c r="AF211" s="415">
        <f t="shared" si="213"/>
        <v>0</v>
      </c>
      <c r="AG211" s="415">
        <f t="shared" si="213"/>
        <v>0</v>
      </c>
      <c r="AH211" s="415">
        <f t="shared" si="213"/>
        <v>0</v>
      </c>
      <c r="AI211" s="415">
        <f t="shared" si="213"/>
        <v>0</v>
      </c>
      <c r="AJ211" s="415">
        <f t="shared" si="213"/>
        <v>0</v>
      </c>
      <c r="AK211" s="415">
        <f t="shared" ref="AK211:CV211" si="214">SUM(AK208:AK210)</f>
        <v>0</v>
      </c>
      <c r="AL211" s="415">
        <f t="shared" si="214"/>
        <v>0</v>
      </c>
      <c r="AM211" s="415">
        <f t="shared" si="214"/>
        <v>0</v>
      </c>
      <c r="AN211" s="415">
        <f t="shared" si="214"/>
        <v>0</v>
      </c>
      <c r="AO211" s="415">
        <f t="shared" si="214"/>
        <v>0</v>
      </c>
      <c r="AP211" s="415">
        <f t="shared" si="214"/>
        <v>0</v>
      </c>
      <c r="AQ211" s="415">
        <f t="shared" si="214"/>
        <v>0</v>
      </c>
      <c r="AR211" s="415">
        <f t="shared" si="214"/>
        <v>0</v>
      </c>
      <c r="AS211" s="415">
        <f t="shared" si="214"/>
        <v>0</v>
      </c>
      <c r="AT211" s="415">
        <f t="shared" si="214"/>
        <v>0</v>
      </c>
      <c r="AU211" s="415">
        <f t="shared" si="214"/>
        <v>0</v>
      </c>
      <c r="AV211" s="415">
        <f t="shared" si="214"/>
        <v>0</v>
      </c>
      <c r="AW211" s="415">
        <f t="shared" si="214"/>
        <v>0</v>
      </c>
      <c r="AX211" s="415">
        <f t="shared" si="214"/>
        <v>0</v>
      </c>
      <c r="AY211" s="415">
        <f t="shared" si="214"/>
        <v>0</v>
      </c>
      <c r="AZ211" s="415">
        <f t="shared" si="214"/>
        <v>0</v>
      </c>
      <c r="BA211" s="415">
        <f t="shared" si="214"/>
        <v>0</v>
      </c>
      <c r="BB211" s="415">
        <f t="shared" si="214"/>
        <v>0</v>
      </c>
      <c r="BC211" s="415">
        <f t="shared" si="214"/>
        <v>0</v>
      </c>
      <c r="BD211" s="415">
        <f t="shared" si="214"/>
        <v>0</v>
      </c>
      <c r="BE211" s="415">
        <f t="shared" si="214"/>
        <v>0</v>
      </c>
      <c r="BF211" s="415">
        <f t="shared" si="214"/>
        <v>0</v>
      </c>
      <c r="BG211" s="415">
        <f t="shared" si="214"/>
        <v>0</v>
      </c>
      <c r="BH211" s="415">
        <f t="shared" si="214"/>
        <v>0</v>
      </c>
      <c r="BI211" s="415">
        <f t="shared" si="214"/>
        <v>0</v>
      </c>
      <c r="BJ211" s="415">
        <f t="shared" si="214"/>
        <v>0</v>
      </c>
      <c r="BK211" s="415">
        <f t="shared" si="214"/>
        <v>0</v>
      </c>
      <c r="BL211" s="415">
        <f t="shared" si="214"/>
        <v>0</v>
      </c>
      <c r="BM211" s="415">
        <f t="shared" si="214"/>
        <v>0</v>
      </c>
      <c r="BN211" s="415">
        <f t="shared" si="214"/>
        <v>221625.48216894153</v>
      </c>
      <c r="BO211" s="415">
        <f t="shared" si="214"/>
        <v>0</v>
      </c>
      <c r="BP211" s="415">
        <f t="shared" si="214"/>
        <v>0</v>
      </c>
      <c r="BQ211" s="415">
        <f t="shared" si="214"/>
        <v>0</v>
      </c>
      <c r="BR211" s="415">
        <f t="shared" si="214"/>
        <v>0</v>
      </c>
      <c r="BS211" s="415">
        <f t="shared" si="214"/>
        <v>0</v>
      </c>
      <c r="BT211" s="415">
        <f t="shared" si="214"/>
        <v>0</v>
      </c>
      <c r="BU211" s="415">
        <f t="shared" si="214"/>
        <v>0</v>
      </c>
      <c r="BV211" s="415">
        <f t="shared" si="214"/>
        <v>0</v>
      </c>
      <c r="BW211" s="415">
        <f t="shared" si="214"/>
        <v>0</v>
      </c>
      <c r="BX211" s="415">
        <f t="shared" si="214"/>
        <v>0</v>
      </c>
      <c r="BY211" s="415">
        <f t="shared" si="214"/>
        <v>0</v>
      </c>
      <c r="BZ211" s="415">
        <f t="shared" si="214"/>
        <v>0</v>
      </c>
      <c r="CA211" s="415">
        <f t="shared" si="214"/>
        <v>0</v>
      </c>
      <c r="CB211" s="415">
        <f t="shared" si="214"/>
        <v>0</v>
      </c>
      <c r="CC211" s="415">
        <f t="shared" si="214"/>
        <v>0</v>
      </c>
      <c r="CD211" s="415">
        <f t="shared" si="214"/>
        <v>0</v>
      </c>
      <c r="CE211" s="415">
        <f t="shared" si="214"/>
        <v>0</v>
      </c>
      <c r="CF211" s="415">
        <f t="shared" si="214"/>
        <v>0</v>
      </c>
      <c r="CG211" s="415">
        <f t="shared" si="214"/>
        <v>0</v>
      </c>
      <c r="CH211" s="415">
        <f t="shared" si="214"/>
        <v>0</v>
      </c>
      <c r="CI211" s="415">
        <f t="shared" si="214"/>
        <v>0</v>
      </c>
      <c r="CJ211" s="415">
        <f t="shared" si="214"/>
        <v>0</v>
      </c>
      <c r="CK211" s="415">
        <f t="shared" si="214"/>
        <v>0</v>
      </c>
      <c r="CL211" s="415">
        <f t="shared" si="214"/>
        <v>0</v>
      </c>
      <c r="CM211" s="415">
        <f t="shared" si="214"/>
        <v>0</v>
      </c>
      <c r="CN211" s="415">
        <f t="shared" si="214"/>
        <v>0</v>
      </c>
      <c r="CO211" s="415">
        <f t="shared" si="214"/>
        <v>0</v>
      </c>
      <c r="CP211" s="415">
        <f t="shared" si="214"/>
        <v>0</v>
      </c>
      <c r="CQ211" s="415">
        <f t="shared" si="214"/>
        <v>0</v>
      </c>
      <c r="CR211" s="415">
        <f t="shared" si="214"/>
        <v>0</v>
      </c>
      <c r="CS211" s="415">
        <f t="shared" si="214"/>
        <v>0</v>
      </c>
      <c r="CT211" s="415">
        <f t="shared" si="214"/>
        <v>0</v>
      </c>
      <c r="CU211" s="415">
        <f t="shared" si="214"/>
        <v>0</v>
      </c>
      <c r="CV211" s="415">
        <f t="shared" si="214"/>
        <v>0</v>
      </c>
      <c r="CW211" s="415">
        <f t="shared" ref="CW211:DV211" si="215">SUM(CW208:CW210)</f>
        <v>0</v>
      </c>
      <c r="CX211" s="415">
        <f t="shared" si="215"/>
        <v>0</v>
      </c>
      <c r="CY211" s="415">
        <f t="shared" si="215"/>
        <v>0</v>
      </c>
      <c r="CZ211" s="415">
        <f t="shared" si="215"/>
        <v>0</v>
      </c>
      <c r="DA211" s="415">
        <f t="shared" si="215"/>
        <v>0</v>
      </c>
      <c r="DB211" s="415">
        <f t="shared" si="215"/>
        <v>0</v>
      </c>
      <c r="DC211" s="415">
        <f t="shared" si="215"/>
        <v>0</v>
      </c>
      <c r="DD211" s="415">
        <f t="shared" si="215"/>
        <v>0</v>
      </c>
      <c r="DE211" s="415">
        <f t="shared" si="215"/>
        <v>0</v>
      </c>
      <c r="DF211" s="415">
        <f t="shared" si="215"/>
        <v>0</v>
      </c>
      <c r="DG211" s="415">
        <f t="shared" si="215"/>
        <v>0</v>
      </c>
      <c r="DH211" s="415">
        <f t="shared" si="215"/>
        <v>0</v>
      </c>
      <c r="DI211" s="415">
        <f t="shared" si="215"/>
        <v>0</v>
      </c>
      <c r="DJ211" s="415">
        <f t="shared" si="215"/>
        <v>0</v>
      </c>
      <c r="DK211" s="415">
        <f t="shared" si="215"/>
        <v>0</v>
      </c>
      <c r="DL211" s="415">
        <f t="shared" si="215"/>
        <v>0</v>
      </c>
      <c r="DM211" s="415">
        <f t="shared" si="215"/>
        <v>0</v>
      </c>
      <c r="DN211" s="415">
        <f t="shared" si="215"/>
        <v>0</v>
      </c>
      <c r="DO211" s="415">
        <f t="shared" si="215"/>
        <v>0</v>
      </c>
      <c r="DP211" s="415">
        <f t="shared" si="215"/>
        <v>0</v>
      </c>
      <c r="DQ211" s="415">
        <f t="shared" si="215"/>
        <v>0</v>
      </c>
      <c r="DR211" s="415">
        <f t="shared" si="215"/>
        <v>0</v>
      </c>
      <c r="DS211" s="415">
        <f t="shared" si="215"/>
        <v>0</v>
      </c>
      <c r="DT211" s="415">
        <f t="shared" si="215"/>
        <v>0</v>
      </c>
      <c r="DU211" s="415">
        <f t="shared" si="215"/>
        <v>0</v>
      </c>
      <c r="DV211" s="415">
        <f t="shared" si="215"/>
        <v>0</v>
      </c>
      <c r="DW211" s="322" t="s">
        <v>372</v>
      </c>
    </row>
    <row r="212" spans="3:127" ht="17.25" hidden="1" outlineLevel="1" thickTop="1" x14ac:dyDescent="0.3">
      <c r="C212" s="360"/>
      <c r="D212" s="360"/>
      <c r="E212" s="360"/>
      <c r="F212" s="360"/>
      <c r="G212" s="360"/>
      <c r="H212" s="360"/>
      <c r="I212" s="360"/>
      <c r="J212" s="360"/>
      <c r="K212" s="360"/>
      <c r="L212" s="360"/>
      <c r="M212" s="360"/>
      <c r="N212" s="360"/>
      <c r="O212" s="360"/>
      <c r="P212" s="360"/>
      <c r="Q212" s="360"/>
      <c r="R212" s="360"/>
      <c r="S212" s="360"/>
      <c r="T212" s="360"/>
      <c r="U212" s="360"/>
      <c r="V212" s="360"/>
      <c r="W212" s="360"/>
      <c r="X212" s="360"/>
      <c r="Y212" s="360"/>
      <c r="Z212" s="360"/>
      <c r="AA212" s="360"/>
      <c r="AB212" s="360"/>
      <c r="AC212" s="360"/>
      <c r="AD212" s="360"/>
      <c r="AE212" s="360"/>
      <c r="AF212" s="360"/>
      <c r="AG212" s="360"/>
      <c r="AH212" s="360"/>
      <c r="AI212" s="360"/>
      <c r="AJ212" s="360"/>
      <c r="AK212" s="360"/>
      <c r="AL212" s="360"/>
      <c r="AM212" s="360"/>
      <c r="AN212" s="360"/>
      <c r="AO212" s="360"/>
      <c r="AP212" s="360"/>
      <c r="AQ212" s="360"/>
      <c r="AR212" s="360"/>
      <c r="AS212" s="360"/>
      <c r="AT212" s="360"/>
      <c r="AU212" s="360"/>
      <c r="AV212" s="360"/>
      <c r="AW212" s="360"/>
      <c r="AX212" s="360"/>
      <c r="AY212" s="360"/>
      <c r="AZ212" s="360"/>
      <c r="BA212" s="360"/>
      <c r="BB212" s="360"/>
      <c r="BC212" s="360"/>
      <c r="BD212" s="360"/>
      <c r="BE212" s="360"/>
      <c r="BF212" s="360"/>
      <c r="BG212" s="360"/>
      <c r="BH212" s="360"/>
      <c r="BI212" s="360"/>
      <c r="BJ212" s="360"/>
      <c r="BK212" s="360"/>
      <c r="BL212" s="360"/>
      <c r="BM212" s="360"/>
      <c r="BN212" s="360"/>
      <c r="BO212" s="360"/>
      <c r="BP212" s="360"/>
      <c r="BQ212" s="360"/>
      <c r="BR212" s="360"/>
      <c r="BS212" s="360"/>
      <c r="BT212" s="360"/>
      <c r="BU212" s="360"/>
      <c r="BV212" s="360"/>
      <c r="BW212" s="360"/>
      <c r="BX212" s="360"/>
      <c r="BY212" s="360"/>
      <c r="BZ212" s="360"/>
      <c r="CA212" s="360"/>
      <c r="CB212" s="360"/>
      <c r="CC212" s="360"/>
      <c r="CD212" s="360"/>
      <c r="CE212" s="360"/>
      <c r="CF212" s="360"/>
      <c r="CG212" s="360"/>
      <c r="CH212" s="360"/>
      <c r="CI212" s="360"/>
      <c r="CJ212" s="360"/>
      <c r="CK212" s="360"/>
      <c r="CL212" s="360"/>
      <c r="CM212" s="360"/>
      <c r="CN212" s="360"/>
      <c r="CO212" s="360"/>
      <c r="CP212" s="360"/>
      <c r="CQ212" s="360"/>
      <c r="CR212" s="360"/>
      <c r="CS212" s="360"/>
      <c r="CT212" s="360"/>
      <c r="CU212" s="360"/>
      <c r="CV212" s="360"/>
      <c r="CW212" s="360"/>
      <c r="CX212" s="360"/>
      <c r="CY212" s="360"/>
      <c r="CZ212" s="360"/>
      <c r="DA212" s="360"/>
      <c r="DB212" s="360"/>
      <c r="DC212" s="360"/>
      <c r="DD212" s="360"/>
      <c r="DE212" s="360"/>
      <c r="DF212" s="360"/>
      <c r="DG212" s="360"/>
      <c r="DH212" s="360"/>
      <c r="DI212" s="360"/>
      <c r="DJ212" s="360"/>
      <c r="DK212" s="360"/>
      <c r="DL212" s="360"/>
      <c r="DM212" s="360"/>
      <c r="DN212" s="360"/>
      <c r="DO212" s="360"/>
      <c r="DP212" s="360"/>
      <c r="DQ212" s="360"/>
      <c r="DR212" s="360"/>
      <c r="DS212" s="360"/>
      <c r="DT212" s="360"/>
      <c r="DU212" s="360"/>
      <c r="DV212" s="360"/>
      <c r="DW212" s="322" t="s">
        <v>372</v>
      </c>
    </row>
    <row r="213" spans="3:127" ht="17.25" hidden="1" outlineLevel="1" thickBot="1" x14ac:dyDescent="0.35">
      <c r="C213" s="365" t="s">
        <v>407</v>
      </c>
      <c r="D213" s="487"/>
      <c r="E213" s="489">
        <f>SUM(F213:DV213)</f>
        <v>0</v>
      </c>
      <c r="F213" s="489"/>
      <c r="G213" s="489">
        <f t="shared" ref="G213:BR213" si="216">IF(G211&lt;0,0,G195-G211)</f>
        <v>0</v>
      </c>
      <c r="H213" s="489">
        <f t="shared" si="216"/>
        <v>0</v>
      </c>
      <c r="I213" s="489">
        <f t="shared" si="216"/>
        <v>0</v>
      </c>
      <c r="J213" s="489">
        <f t="shared" si="216"/>
        <v>0</v>
      </c>
      <c r="K213" s="489">
        <f t="shared" si="216"/>
        <v>0</v>
      </c>
      <c r="L213" s="489">
        <f t="shared" si="216"/>
        <v>0</v>
      </c>
      <c r="M213" s="489">
        <f t="shared" si="216"/>
        <v>0</v>
      </c>
      <c r="N213" s="489">
        <f t="shared" si="216"/>
        <v>0</v>
      </c>
      <c r="O213" s="489">
        <f t="shared" si="216"/>
        <v>0</v>
      </c>
      <c r="P213" s="489">
        <f t="shared" si="216"/>
        <v>0</v>
      </c>
      <c r="Q213" s="489">
        <f t="shared" si="216"/>
        <v>0</v>
      </c>
      <c r="R213" s="489">
        <f t="shared" si="216"/>
        <v>0</v>
      </c>
      <c r="S213" s="489">
        <f t="shared" si="216"/>
        <v>0</v>
      </c>
      <c r="T213" s="489">
        <f t="shared" si="216"/>
        <v>0</v>
      </c>
      <c r="U213" s="489">
        <f t="shared" si="216"/>
        <v>0</v>
      </c>
      <c r="V213" s="489">
        <f t="shared" si="216"/>
        <v>0</v>
      </c>
      <c r="W213" s="489">
        <f t="shared" si="216"/>
        <v>0</v>
      </c>
      <c r="X213" s="489">
        <f t="shared" si="216"/>
        <v>0</v>
      </c>
      <c r="Y213" s="489">
        <f t="shared" si="216"/>
        <v>0</v>
      </c>
      <c r="Z213" s="489">
        <f t="shared" si="216"/>
        <v>0</v>
      </c>
      <c r="AA213" s="489">
        <f t="shared" si="216"/>
        <v>0</v>
      </c>
      <c r="AB213" s="489">
        <f t="shared" si="216"/>
        <v>0</v>
      </c>
      <c r="AC213" s="489">
        <f t="shared" si="216"/>
        <v>0</v>
      </c>
      <c r="AD213" s="489">
        <f t="shared" si="216"/>
        <v>0</v>
      </c>
      <c r="AE213" s="489">
        <f t="shared" si="216"/>
        <v>0</v>
      </c>
      <c r="AF213" s="489">
        <f t="shared" si="216"/>
        <v>0</v>
      </c>
      <c r="AG213" s="489">
        <f t="shared" si="216"/>
        <v>0</v>
      </c>
      <c r="AH213" s="489">
        <f t="shared" si="216"/>
        <v>0</v>
      </c>
      <c r="AI213" s="489">
        <f t="shared" si="216"/>
        <v>0</v>
      </c>
      <c r="AJ213" s="489">
        <f t="shared" si="216"/>
        <v>0</v>
      </c>
      <c r="AK213" s="489">
        <f t="shared" si="216"/>
        <v>0</v>
      </c>
      <c r="AL213" s="489">
        <f t="shared" si="216"/>
        <v>0</v>
      </c>
      <c r="AM213" s="489">
        <f t="shared" si="216"/>
        <v>0</v>
      </c>
      <c r="AN213" s="489">
        <f t="shared" si="216"/>
        <v>0</v>
      </c>
      <c r="AO213" s="489">
        <f t="shared" si="216"/>
        <v>0</v>
      </c>
      <c r="AP213" s="489">
        <f t="shared" si="216"/>
        <v>0</v>
      </c>
      <c r="AQ213" s="489">
        <f t="shared" si="216"/>
        <v>0</v>
      </c>
      <c r="AR213" s="489">
        <f t="shared" si="216"/>
        <v>0</v>
      </c>
      <c r="AS213" s="489">
        <f t="shared" si="216"/>
        <v>0</v>
      </c>
      <c r="AT213" s="489">
        <f t="shared" si="216"/>
        <v>0</v>
      </c>
      <c r="AU213" s="489">
        <f t="shared" si="216"/>
        <v>0</v>
      </c>
      <c r="AV213" s="489">
        <f t="shared" si="216"/>
        <v>0</v>
      </c>
      <c r="AW213" s="489">
        <f t="shared" si="216"/>
        <v>0</v>
      </c>
      <c r="AX213" s="489">
        <f t="shared" si="216"/>
        <v>0</v>
      </c>
      <c r="AY213" s="489">
        <f t="shared" si="216"/>
        <v>0</v>
      </c>
      <c r="AZ213" s="489">
        <f t="shared" si="216"/>
        <v>0</v>
      </c>
      <c r="BA213" s="489">
        <f t="shared" si="216"/>
        <v>0</v>
      </c>
      <c r="BB213" s="489">
        <f t="shared" si="216"/>
        <v>0</v>
      </c>
      <c r="BC213" s="489">
        <f t="shared" si="216"/>
        <v>0</v>
      </c>
      <c r="BD213" s="489">
        <f t="shared" si="216"/>
        <v>0</v>
      </c>
      <c r="BE213" s="489">
        <f t="shared" si="216"/>
        <v>0</v>
      </c>
      <c r="BF213" s="489">
        <f t="shared" si="216"/>
        <v>0</v>
      </c>
      <c r="BG213" s="489">
        <f t="shared" si="216"/>
        <v>0</v>
      </c>
      <c r="BH213" s="489">
        <f t="shared" si="216"/>
        <v>0</v>
      </c>
      <c r="BI213" s="489">
        <f t="shared" si="216"/>
        <v>0</v>
      </c>
      <c r="BJ213" s="489">
        <f t="shared" si="216"/>
        <v>0</v>
      </c>
      <c r="BK213" s="489">
        <f t="shared" si="216"/>
        <v>0</v>
      </c>
      <c r="BL213" s="489">
        <f t="shared" si="216"/>
        <v>0</v>
      </c>
      <c r="BM213" s="489">
        <f t="shared" si="216"/>
        <v>0</v>
      </c>
      <c r="BN213" s="489">
        <f t="shared" si="216"/>
        <v>0</v>
      </c>
      <c r="BO213" s="489">
        <f t="shared" si="216"/>
        <v>0</v>
      </c>
      <c r="BP213" s="489">
        <f t="shared" si="216"/>
        <v>0</v>
      </c>
      <c r="BQ213" s="489">
        <f t="shared" si="216"/>
        <v>0</v>
      </c>
      <c r="BR213" s="489">
        <f t="shared" si="216"/>
        <v>0</v>
      </c>
      <c r="BS213" s="489">
        <f t="shared" ref="BS213:DV213" si="217">IF(BS211&lt;0,0,BS195-BS211)</f>
        <v>0</v>
      </c>
      <c r="BT213" s="489">
        <f t="shared" si="217"/>
        <v>0</v>
      </c>
      <c r="BU213" s="489">
        <f t="shared" si="217"/>
        <v>0</v>
      </c>
      <c r="BV213" s="489">
        <f t="shared" si="217"/>
        <v>0</v>
      </c>
      <c r="BW213" s="489">
        <f t="shared" si="217"/>
        <v>0</v>
      </c>
      <c r="BX213" s="489">
        <f t="shared" si="217"/>
        <v>0</v>
      </c>
      <c r="BY213" s="489">
        <f t="shared" si="217"/>
        <v>0</v>
      </c>
      <c r="BZ213" s="489">
        <f t="shared" si="217"/>
        <v>0</v>
      </c>
      <c r="CA213" s="489">
        <f t="shared" si="217"/>
        <v>0</v>
      </c>
      <c r="CB213" s="489">
        <f t="shared" si="217"/>
        <v>0</v>
      </c>
      <c r="CC213" s="489">
        <f t="shared" si="217"/>
        <v>0</v>
      </c>
      <c r="CD213" s="489">
        <f t="shared" si="217"/>
        <v>0</v>
      </c>
      <c r="CE213" s="489">
        <f t="shared" si="217"/>
        <v>0</v>
      </c>
      <c r="CF213" s="489">
        <f t="shared" si="217"/>
        <v>0</v>
      </c>
      <c r="CG213" s="489">
        <f t="shared" si="217"/>
        <v>0</v>
      </c>
      <c r="CH213" s="489">
        <f t="shared" si="217"/>
        <v>0</v>
      </c>
      <c r="CI213" s="489">
        <f t="shared" si="217"/>
        <v>0</v>
      </c>
      <c r="CJ213" s="489">
        <f t="shared" si="217"/>
        <v>0</v>
      </c>
      <c r="CK213" s="489">
        <f t="shared" si="217"/>
        <v>0</v>
      </c>
      <c r="CL213" s="489">
        <f t="shared" si="217"/>
        <v>0</v>
      </c>
      <c r="CM213" s="489">
        <f t="shared" si="217"/>
        <v>0</v>
      </c>
      <c r="CN213" s="489">
        <f t="shared" si="217"/>
        <v>0</v>
      </c>
      <c r="CO213" s="489">
        <f t="shared" si="217"/>
        <v>0</v>
      </c>
      <c r="CP213" s="489">
        <f t="shared" si="217"/>
        <v>0</v>
      </c>
      <c r="CQ213" s="489">
        <f t="shared" si="217"/>
        <v>0</v>
      </c>
      <c r="CR213" s="489">
        <f t="shared" si="217"/>
        <v>0</v>
      </c>
      <c r="CS213" s="489">
        <f t="shared" si="217"/>
        <v>0</v>
      </c>
      <c r="CT213" s="489">
        <f t="shared" si="217"/>
        <v>0</v>
      </c>
      <c r="CU213" s="489">
        <f t="shared" si="217"/>
        <v>0</v>
      </c>
      <c r="CV213" s="489">
        <f t="shared" si="217"/>
        <v>0</v>
      </c>
      <c r="CW213" s="489">
        <f t="shared" si="217"/>
        <v>0</v>
      </c>
      <c r="CX213" s="489">
        <f t="shared" si="217"/>
        <v>0</v>
      </c>
      <c r="CY213" s="489">
        <f t="shared" si="217"/>
        <v>0</v>
      </c>
      <c r="CZ213" s="489">
        <f t="shared" si="217"/>
        <v>0</v>
      </c>
      <c r="DA213" s="489">
        <f t="shared" si="217"/>
        <v>0</v>
      </c>
      <c r="DB213" s="489">
        <f t="shared" si="217"/>
        <v>0</v>
      </c>
      <c r="DC213" s="489">
        <f t="shared" si="217"/>
        <v>0</v>
      </c>
      <c r="DD213" s="489">
        <f t="shared" si="217"/>
        <v>0</v>
      </c>
      <c r="DE213" s="489">
        <f t="shared" si="217"/>
        <v>0</v>
      </c>
      <c r="DF213" s="489">
        <f t="shared" si="217"/>
        <v>0</v>
      </c>
      <c r="DG213" s="489">
        <f t="shared" si="217"/>
        <v>0</v>
      </c>
      <c r="DH213" s="489">
        <f t="shared" si="217"/>
        <v>0</v>
      </c>
      <c r="DI213" s="489">
        <f t="shared" si="217"/>
        <v>0</v>
      </c>
      <c r="DJ213" s="489">
        <f t="shared" si="217"/>
        <v>0</v>
      </c>
      <c r="DK213" s="489">
        <f t="shared" si="217"/>
        <v>0</v>
      </c>
      <c r="DL213" s="489">
        <f t="shared" si="217"/>
        <v>0</v>
      </c>
      <c r="DM213" s="489">
        <f t="shared" si="217"/>
        <v>0</v>
      </c>
      <c r="DN213" s="489">
        <f t="shared" si="217"/>
        <v>0</v>
      </c>
      <c r="DO213" s="489">
        <f t="shared" si="217"/>
        <v>0</v>
      </c>
      <c r="DP213" s="489">
        <f t="shared" si="217"/>
        <v>0</v>
      </c>
      <c r="DQ213" s="489">
        <f t="shared" si="217"/>
        <v>0</v>
      </c>
      <c r="DR213" s="489">
        <f t="shared" si="217"/>
        <v>0</v>
      </c>
      <c r="DS213" s="489">
        <f t="shared" si="217"/>
        <v>0</v>
      </c>
      <c r="DT213" s="489">
        <f t="shared" si="217"/>
        <v>0</v>
      </c>
      <c r="DU213" s="489">
        <f t="shared" si="217"/>
        <v>0</v>
      </c>
      <c r="DV213" s="489">
        <f t="shared" si="217"/>
        <v>0</v>
      </c>
      <c r="DW213" s="322" t="s">
        <v>372</v>
      </c>
    </row>
    <row r="214" spans="3:127" ht="17.25" hidden="1" outlineLevel="1" thickTop="1" x14ac:dyDescent="0.3">
      <c r="C214" s="360"/>
      <c r="D214" s="360"/>
      <c r="E214" s="360"/>
      <c r="F214" s="360"/>
      <c r="G214" s="360"/>
      <c r="H214" s="360"/>
      <c r="I214" s="360"/>
      <c r="J214" s="360"/>
      <c r="K214" s="360"/>
      <c r="L214" s="360"/>
      <c r="M214" s="360"/>
      <c r="N214" s="360"/>
      <c r="O214" s="360"/>
      <c r="P214" s="360"/>
      <c r="Q214" s="360"/>
      <c r="R214" s="360"/>
      <c r="S214" s="360"/>
      <c r="T214" s="360"/>
      <c r="U214" s="360"/>
      <c r="V214" s="360"/>
      <c r="W214" s="360"/>
      <c r="X214" s="360"/>
      <c r="Y214" s="360"/>
      <c r="Z214" s="360"/>
      <c r="AA214" s="360"/>
      <c r="AB214" s="360"/>
      <c r="AC214" s="360"/>
      <c r="AD214" s="360"/>
      <c r="AE214" s="360"/>
      <c r="AF214" s="360"/>
      <c r="AG214" s="360"/>
      <c r="AH214" s="360"/>
      <c r="AI214" s="360"/>
      <c r="AJ214" s="360"/>
      <c r="AK214" s="360"/>
      <c r="AL214" s="360"/>
      <c r="AM214" s="360"/>
      <c r="AN214" s="360"/>
      <c r="AO214" s="360"/>
      <c r="AP214" s="360"/>
      <c r="AQ214" s="360"/>
      <c r="AR214" s="360"/>
      <c r="AS214" s="360"/>
      <c r="AT214" s="360"/>
      <c r="AU214" s="360"/>
      <c r="AV214" s="360"/>
      <c r="AW214" s="360"/>
      <c r="AX214" s="360"/>
      <c r="AY214" s="360"/>
      <c r="AZ214" s="360"/>
      <c r="BA214" s="360"/>
      <c r="BB214" s="360"/>
      <c r="BC214" s="360"/>
      <c r="BD214" s="360"/>
      <c r="BE214" s="360"/>
      <c r="BF214" s="360"/>
      <c r="BG214" s="360"/>
      <c r="BH214" s="360"/>
      <c r="BI214" s="360"/>
      <c r="BJ214" s="360"/>
      <c r="BK214" s="360"/>
      <c r="BL214" s="360"/>
      <c r="BM214" s="360"/>
      <c r="BN214" s="360"/>
      <c r="BO214" s="360"/>
      <c r="BP214" s="360"/>
      <c r="BQ214" s="360"/>
      <c r="BR214" s="360"/>
      <c r="BS214" s="360"/>
      <c r="BT214" s="360"/>
      <c r="BU214" s="360"/>
      <c r="BV214" s="360"/>
      <c r="BW214" s="360"/>
      <c r="BX214" s="360"/>
      <c r="BY214" s="360"/>
      <c r="BZ214" s="360"/>
      <c r="CA214" s="360"/>
      <c r="CB214" s="360"/>
      <c r="CC214" s="360"/>
      <c r="CD214" s="360"/>
      <c r="CE214" s="360"/>
      <c r="CF214" s="360"/>
      <c r="CG214" s="360"/>
      <c r="CH214" s="360"/>
      <c r="CI214" s="360"/>
      <c r="CJ214" s="360"/>
      <c r="CK214" s="360"/>
      <c r="CL214" s="360"/>
      <c r="CM214" s="360"/>
      <c r="CN214" s="360"/>
      <c r="CO214" s="360"/>
      <c r="CP214" s="360"/>
      <c r="CQ214" s="360"/>
      <c r="CR214" s="360"/>
      <c r="CS214" s="360"/>
      <c r="CT214" s="360"/>
      <c r="CU214" s="360"/>
      <c r="CV214" s="360"/>
      <c r="CW214" s="360"/>
      <c r="CX214" s="360"/>
      <c r="CY214" s="360"/>
      <c r="CZ214" s="360"/>
      <c r="DA214" s="360"/>
      <c r="DB214" s="360"/>
      <c r="DC214" s="360"/>
      <c r="DD214" s="360"/>
      <c r="DE214" s="360"/>
      <c r="DF214" s="360"/>
      <c r="DG214" s="360"/>
      <c r="DH214" s="360"/>
      <c r="DI214" s="360"/>
      <c r="DJ214" s="360"/>
      <c r="DK214" s="360"/>
      <c r="DL214" s="360"/>
      <c r="DM214" s="360"/>
      <c r="DN214" s="360"/>
      <c r="DO214" s="360"/>
      <c r="DP214" s="360"/>
      <c r="DQ214" s="360"/>
      <c r="DR214" s="360"/>
      <c r="DS214" s="360"/>
      <c r="DT214" s="360"/>
      <c r="DU214" s="360"/>
      <c r="DV214" s="360"/>
      <c r="DW214" s="322" t="s">
        <v>372</v>
      </c>
    </row>
    <row r="215" spans="3:127" hidden="1" outlineLevel="1" x14ac:dyDescent="0.3">
      <c r="C215" s="382" t="s">
        <v>391</v>
      </c>
      <c r="D215" s="382"/>
      <c r="E215" s="395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58"/>
      <c r="AF215" s="458"/>
      <c r="AG215" s="458"/>
      <c r="AH215" s="458"/>
      <c r="AI215" s="458"/>
      <c r="AJ215" s="458"/>
      <c r="AK215" s="458"/>
      <c r="AL215" s="458"/>
      <c r="AM215" s="458"/>
      <c r="AN215" s="458"/>
      <c r="AO215" s="458"/>
      <c r="AP215" s="458"/>
      <c r="AQ215" s="458"/>
      <c r="AR215" s="458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58"/>
      <c r="CO215" s="458"/>
      <c r="CP215" s="458"/>
      <c r="CQ215" s="458"/>
      <c r="CR215" s="458"/>
      <c r="CS215" s="458"/>
      <c r="CT215" s="458"/>
      <c r="CU215" s="458"/>
      <c r="CV215" s="458"/>
      <c r="CW215" s="458"/>
      <c r="CX215" s="458"/>
      <c r="CY215" s="458"/>
      <c r="CZ215" s="458"/>
      <c r="DA215" s="458"/>
      <c r="DB215" s="458"/>
      <c r="DC215" s="458"/>
      <c r="DD215" s="458"/>
      <c r="DE215" s="458"/>
      <c r="DF215" s="458"/>
      <c r="DG215" s="458"/>
      <c r="DH215" s="458"/>
      <c r="DI215" s="458"/>
      <c r="DJ215" s="458"/>
      <c r="DK215" s="458"/>
      <c r="DL215" s="458"/>
      <c r="DM215" s="458"/>
      <c r="DN215" s="458"/>
      <c r="DO215" s="458"/>
      <c r="DP215" s="458"/>
      <c r="DQ215" s="458"/>
      <c r="DR215" s="458"/>
      <c r="DS215" s="458"/>
      <c r="DT215" s="458"/>
      <c r="DU215" s="458"/>
      <c r="DV215" s="458"/>
      <c r="DW215" s="322" t="s">
        <v>372</v>
      </c>
    </row>
    <row r="216" spans="3:127" hidden="1" outlineLevel="1" x14ac:dyDescent="0.3">
      <c r="C216" s="485" t="s">
        <v>405</v>
      </c>
      <c r="D216" s="374"/>
      <c r="E216" s="463"/>
      <c r="F216" s="374"/>
      <c r="G216" s="374"/>
      <c r="H216" s="463"/>
      <c r="I216" s="463"/>
      <c r="J216" s="463"/>
      <c r="K216" s="463"/>
      <c r="L216" s="463"/>
      <c r="M216" s="463"/>
      <c r="N216" s="463"/>
      <c r="O216" s="463"/>
      <c r="P216" s="463"/>
      <c r="Q216" s="463"/>
      <c r="R216" s="463"/>
      <c r="S216" s="463"/>
      <c r="T216" s="463"/>
      <c r="U216" s="463"/>
      <c r="V216" s="463"/>
      <c r="W216" s="463"/>
      <c r="X216" s="463"/>
      <c r="Y216" s="463"/>
      <c r="Z216" s="463"/>
      <c r="AA216" s="463"/>
      <c r="AB216" s="463"/>
      <c r="AC216" s="463"/>
      <c r="AD216" s="463"/>
      <c r="AE216" s="463"/>
      <c r="AF216" s="463"/>
      <c r="AG216" s="463"/>
      <c r="AH216" s="463"/>
      <c r="AI216" s="463"/>
      <c r="AJ216" s="463"/>
      <c r="AK216" s="463"/>
      <c r="AL216" s="463"/>
      <c r="AM216" s="463"/>
      <c r="AN216" s="463"/>
      <c r="AO216" s="463"/>
      <c r="AP216" s="463"/>
      <c r="AQ216" s="463"/>
      <c r="AR216" s="463"/>
      <c r="AS216" s="463"/>
      <c r="AT216" s="463"/>
      <c r="AU216" s="463"/>
      <c r="AV216" s="463"/>
      <c r="AW216" s="463"/>
      <c r="AX216" s="463"/>
      <c r="AY216" s="463"/>
      <c r="AZ216" s="463"/>
      <c r="BA216" s="463"/>
      <c r="BB216" s="463"/>
      <c r="BC216" s="463"/>
      <c r="BD216" s="463"/>
      <c r="BE216" s="463"/>
      <c r="BF216" s="463"/>
      <c r="BG216" s="463"/>
      <c r="BH216" s="463"/>
      <c r="BI216" s="463"/>
      <c r="BJ216" s="463"/>
      <c r="BK216" s="463"/>
      <c r="BL216" s="463"/>
      <c r="BM216" s="463"/>
      <c r="BN216" s="463"/>
      <c r="BO216" s="463"/>
      <c r="BP216" s="463"/>
      <c r="BQ216" s="463"/>
      <c r="BR216" s="463"/>
      <c r="BS216" s="463"/>
      <c r="BT216" s="463"/>
      <c r="BU216" s="463"/>
      <c r="BV216" s="463"/>
      <c r="BW216" s="463"/>
      <c r="BX216" s="463"/>
      <c r="BY216" s="463"/>
      <c r="BZ216" s="463"/>
      <c r="CA216" s="463"/>
      <c r="CB216" s="463"/>
      <c r="CC216" s="463"/>
      <c r="CD216" s="463"/>
      <c r="CE216" s="463"/>
      <c r="CF216" s="463"/>
      <c r="CG216" s="463"/>
      <c r="CH216" s="463"/>
      <c r="CI216" s="463"/>
      <c r="CJ216" s="463"/>
      <c r="CK216" s="463"/>
      <c r="CL216" s="463"/>
      <c r="CM216" s="463"/>
      <c r="CN216" s="463"/>
      <c r="CO216" s="463"/>
      <c r="CP216" s="463"/>
      <c r="CQ216" s="463"/>
      <c r="CR216" s="463"/>
      <c r="CS216" s="463"/>
      <c r="CT216" s="463"/>
      <c r="CU216" s="463"/>
      <c r="CV216" s="463"/>
      <c r="CW216" s="463"/>
      <c r="CX216" s="463"/>
      <c r="CY216" s="463"/>
      <c r="CZ216" s="463"/>
      <c r="DA216" s="463"/>
      <c r="DB216" s="463"/>
      <c r="DC216" s="463"/>
      <c r="DD216" s="463"/>
      <c r="DE216" s="463"/>
      <c r="DF216" s="463"/>
      <c r="DG216" s="463"/>
      <c r="DH216" s="463"/>
      <c r="DI216" s="463"/>
      <c r="DJ216" s="463"/>
      <c r="DK216" s="463"/>
      <c r="DL216" s="463"/>
      <c r="DM216" s="463"/>
      <c r="DN216" s="463"/>
      <c r="DO216" s="463"/>
      <c r="DP216" s="463"/>
      <c r="DQ216" s="463"/>
      <c r="DR216" s="463"/>
      <c r="DS216" s="463"/>
      <c r="DT216" s="463"/>
      <c r="DU216" s="463"/>
      <c r="DV216" s="463"/>
      <c r="DW216" s="322" t="s">
        <v>372</v>
      </c>
    </row>
    <row r="217" spans="3:127" hidden="1" outlineLevel="1" x14ac:dyDescent="0.3">
      <c r="C217" s="374" t="str">
        <f>C208</f>
        <v>LP Equity</v>
      </c>
      <c r="D217" s="486">
        <f>H42</f>
        <v>0.58500000000000008</v>
      </c>
      <c r="E217" s="466">
        <f>SUM(F217:DV217)</f>
        <v>0</v>
      </c>
      <c r="F217" s="466">
        <f t="shared" ref="F217:U219" si="218">F$213*$D217</f>
        <v>0</v>
      </c>
      <c r="G217" s="466">
        <f t="shared" si="218"/>
        <v>0</v>
      </c>
      <c r="H217" s="466">
        <f t="shared" si="218"/>
        <v>0</v>
      </c>
      <c r="I217" s="466">
        <f t="shared" si="218"/>
        <v>0</v>
      </c>
      <c r="J217" s="466">
        <f t="shared" si="218"/>
        <v>0</v>
      </c>
      <c r="K217" s="466">
        <f t="shared" si="218"/>
        <v>0</v>
      </c>
      <c r="L217" s="466">
        <f t="shared" si="218"/>
        <v>0</v>
      </c>
      <c r="M217" s="466">
        <f t="shared" si="218"/>
        <v>0</v>
      </c>
      <c r="N217" s="466">
        <f t="shared" si="218"/>
        <v>0</v>
      </c>
      <c r="O217" s="466">
        <f t="shared" si="218"/>
        <v>0</v>
      </c>
      <c r="P217" s="466">
        <f t="shared" si="218"/>
        <v>0</v>
      </c>
      <c r="Q217" s="466">
        <f t="shared" si="218"/>
        <v>0</v>
      </c>
      <c r="R217" s="466">
        <f t="shared" si="218"/>
        <v>0</v>
      </c>
      <c r="S217" s="466">
        <f t="shared" si="218"/>
        <v>0</v>
      </c>
      <c r="T217" s="466">
        <f t="shared" si="218"/>
        <v>0</v>
      </c>
      <c r="U217" s="466">
        <f t="shared" si="218"/>
        <v>0</v>
      </c>
      <c r="V217" s="466">
        <f t="shared" ref="V217:AK219" si="219">V$213*$D217</f>
        <v>0</v>
      </c>
      <c r="W217" s="466">
        <f t="shared" si="219"/>
        <v>0</v>
      </c>
      <c r="X217" s="466">
        <f t="shared" si="219"/>
        <v>0</v>
      </c>
      <c r="Y217" s="466">
        <f t="shared" si="219"/>
        <v>0</v>
      </c>
      <c r="Z217" s="466">
        <f t="shared" si="219"/>
        <v>0</v>
      </c>
      <c r="AA217" s="466">
        <f t="shared" si="219"/>
        <v>0</v>
      </c>
      <c r="AB217" s="466">
        <f t="shared" si="219"/>
        <v>0</v>
      </c>
      <c r="AC217" s="466">
        <f t="shared" si="219"/>
        <v>0</v>
      </c>
      <c r="AD217" s="466">
        <f t="shared" si="219"/>
        <v>0</v>
      </c>
      <c r="AE217" s="466">
        <f t="shared" si="219"/>
        <v>0</v>
      </c>
      <c r="AF217" s="466">
        <f t="shared" si="219"/>
        <v>0</v>
      </c>
      <c r="AG217" s="466">
        <f t="shared" si="219"/>
        <v>0</v>
      </c>
      <c r="AH217" s="466">
        <f t="shared" si="219"/>
        <v>0</v>
      </c>
      <c r="AI217" s="466">
        <f t="shared" si="219"/>
        <v>0</v>
      </c>
      <c r="AJ217" s="466">
        <f t="shared" si="219"/>
        <v>0</v>
      </c>
      <c r="AK217" s="466">
        <f t="shared" si="219"/>
        <v>0</v>
      </c>
      <c r="AL217" s="466">
        <f t="shared" ref="AL217:BA219" si="220">AL$213*$D217</f>
        <v>0</v>
      </c>
      <c r="AM217" s="466">
        <f t="shared" si="220"/>
        <v>0</v>
      </c>
      <c r="AN217" s="466">
        <f t="shared" si="220"/>
        <v>0</v>
      </c>
      <c r="AO217" s="466">
        <f t="shared" si="220"/>
        <v>0</v>
      </c>
      <c r="AP217" s="466">
        <f t="shared" si="220"/>
        <v>0</v>
      </c>
      <c r="AQ217" s="466">
        <f t="shared" si="220"/>
        <v>0</v>
      </c>
      <c r="AR217" s="466">
        <f t="shared" si="220"/>
        <v>0</v>
      </c>
      <c r="AS217" s="466">
        <f t="shared" si="220"/>
        <v>0</v>
      </c>
      <c r="AT217" s="466">
        <f t="shared" si="220"/>
        <v>0</v>
      </c>
      <c r="AU217" s="466">
        <f t="shared" si="220"/>
        <v>0</v>
      </c>
      <c r="AV217" s="466">
        <f t="shared" si="220"/>
        <v>0</v>
      </c>
      <c r="AW217" s="466">
        <f t="shared" si="220"/>
        <v>0</v>
      </c>
      <c r="AX217" s="466">
        <f t="shared" si="220"/>
        <v>0</v>
      </c>
      <c r="AY217" s="466">
        <f t="shared" si="220"/>
        <v>0</v>
      </c>
      <c r="AZ217" s="466">
        <f t="shared" si="220"/>
        <v>0</v>
      </c>
      <c r="BA217" s="466">
        <f t="shared" si="220"/>
        <v>0</v>
      </c>
      <c r="BB217" s="466">
        <f t="shared" ref="BB217:BQ219" si="221">BB$213*$D217</f>
        <v>0</v>
      </c>
      <c r="BC217" s="466">
        <f t="shared" si="221"/>
        <v>0</v>
      </c>
      <c r="BD217" s="466">
        <f t="shared" si="221"/>
        <v>0</v>
      </c>
      <c r="BE217" s="466">
        <f t="shared" si="221"/>
        <v>0</v>
      </c>
      <c r="BF217" s="466">
        <f t="shared" si="221"/>
        <v>0</v>
      </c>
      <c r="BG217" s="466">
        <f t="shared" si="221"/>
        <v>0</v>
      </c>
      <c r="BH217" s="466">
        <f t="shared" si="221"/>
        <v>0</v>
      </c>
      <c r="BI217" s="466">
        <f t="shared" si="221"/>
        <v>0</v>
      </c>
      <c r="BJ217" s="466">
        <f t="shared" si="221"/>
        <v>0</v>
      </c>
      <c r="BK217" s="466">
        <f t="shared" si="221"/>
        <v>0</v>
      </c>
      <c r="BL217" s="466">
        <f t="shared" si="221"/>
        <v>0</v>
      </c>
      <c r="BM217" s="466">
        <f t="shared" si="221"/>
        <v>0</v>
      </c>
      <c r="BN217" s="466">
        <f t="shared" si="221"/>
        <v>0</v>
      </c>
      <c r="BO217" s="466">
        <f t="shared" si="221"/>
        <v>0</v>
      </c>
      <c r="BP217" s="466">
        <f t="shared" si="221"/>
        <v>0</v>
      </c>
      <c r="BQ217" s="466">
        <f t="shared" si="221"/>
        <v>0</v>
      </c>
      <c r="BR217" s="466">
        <f t="shared" ref="BR217:DV219" si="222">BR$213*$D217</f>
        <v>0</v>
      </c>
      <c r="BS217" s="466">
        <f t="shared" si="222"/>
        <v>0</v>
      </c>
      <c r="BT217" s="466">
        <f t="shared" si="222"/>
        <v>0</v>
      </c>
      <c r="BU217" s="466">
        <f t="shared" si="222"/>
        <v>0</v>
      </c>
      <c r="BV217" s="466">
        <f t="shared" si="222"/>
        <v>0</v>
      </c>
      <c r="BW217" s="466">
        <f t="shared" si="222"/>
        <v>0</v>
      </c>
      <c r="BX217" s="466">
        <f t="shared" si="222"/>
        <v>0</v>
      </c>
      <c r="BY217" s="466">
        <f t="shared" si="222"/>
        <v>0</v>
      </c>
      <c r="BZ217" s="466">
        <f t="shared" si="222"/>
        <v>0</v>
      </c>
      <c r="CA217" s="466">
        <f t="shared" si="222"/>
        <v>0</v>
      </c>
      <c r="CB217" s="466">
        <f t="shared" si="222"/>
        <v>0</v>
      </c>
      <c r="CC217" s="466">
        <f t="shared" si="222"/>
        <v>0</v>
      </c>
      <c r="CD217" s="466">
        <f t="shared" si="222"/>
        <v>0</v>
      </c>
      <c r="CE217" s="466">
        <f t="shared" si="222"/>
        <v>0</v>
      </c>
      <c r="CF217" s="466">
        <f t="shared" si="222"/>
        <v>0</v>
      </c>
      <c r="CG217" s="466">
        <f t="shared" si="222"/>
        <v>0</v>
      </c>
      <c r="CH217" s="466">
        <f t="shared" si="222"/>
        <v>0</v>
      </c>
      <c r="CI217" s="466">
        <f t="shared" si="222"/>
        <v>0</v>
      </c>
      <c r="CJ217" s="466">
        <f t="shared" si="222"/>
        <v>0</v>
      </c>
      <c r="CK217" s="466">
        <f t="shared" si="222"/>
        <v>0</v>
      </c>
      <c r="CL217" s="466">
        <f t="shared" si="222"/>
        <v>0</v>
      </c>
      <c r="CM217" s="466">
        <f t="shared" si="222"/>
        <v>0</v>
      </c>
      <c r="CN217" s="466">
        <f t="shared" si="222"/>
        <v>0</v>
      </c>
      <c r="CO217" s="466">
        <f t="shared" si="222"/>
        <v>0</v>
      </c>
      <c r="CP217" s="466">
        <f t="shared" si="222"/>
        <v>0</v>
      </c>
      <c r="CQ217" s="466">
        <f t="shared" si="222"/>
        <v>0</v>
      </c>
      <c r="CR217" s="466">
        <f t="shared" si="222"/>
        <v>0</v>
      </c>
      <c r="CS217" s="466">
        <f t="shared" si="222"/>
        <v>0</v>
      </c>
      <c r="CT217" s="466">
        <f t="shared" si="222"/>
        <v>0</v>
      </c>
      <c r="CU217" s="466">
        <f t="shared" si="222"/>
        <v>0</v>
      </c>
      <c r="CV217" s="466">
        <f t="shared" si="222"/>
        <v>0</v>
      </c>
      <c r="CW217" s="466">
        <f t="shared" si="222"/>
        <v>0</v>
      </c>
      <c r="CX217" s="466">
        <f t="shared" si="222"/>
        <v>0</v>
      </c>
      <c r="CY217" s="466">
        <f t="shared" si="222"/>
        <v>0</v>
      </c>
      <c r="CZ217" s="466">
        <f t="shared" si="222"/>
        <v>0</v>
      </c>
      <c r="DA217" s="466">
        <f t="shared" si="222"/>
        <v>0</v>
      </c>
      <c r="DB217" s="466">
        <f t="shared" si="222"/>
        <v>0</v>
      </c>
      <c r="DC217" s="466">
        <f t="shared" si="222"/>
        <v>0</v>
      </c>
      <c r="DD217" s="466">
        <f t="shared" si="222"/>
        <v>0</v>
      </c>
      <c r="DE217" s="466">
        <f t="shared" si="222"/>
        <v>0</v>
      </c>
      <c r="DF217" s="466">
        <f t="shared" si="222"/>
        <v>0</v>
      </c>
      <c r="DG217" s="466">
        <f t="shared" si="222"/>
        <v>0</v>
      </c>
      <c r="DH217" s="466">
        <f t="shared" si="222"/>
        <v>0</v>
      </c>
      <c r="DI217" s="466">
        <f t="shared" si="222"/>
        <v>0</v>
      </c>
      <c r="DJ217" s="466">
        <f t="shared" si="222"/>
        <v>0</v>
      </c>
      <c r="DK217" s="466">
        <f t="shared" si="222"/>
        <v>0</v>
      </c>
      <c r="DL217" s="466">
        <f t="shared" si="222"/>
        <v>0</v>
      </c>
      <c r="DM217" s="466">
        <f t="shared" si="222"/>
        <v>0</v>
      </c>
      <c r="DN217" s="466">
        <f t="shared" si="222"/>
        <v>0</v>
      </c>
      <c r="DO217" s="466">
        <f t="shared" si="222"/>
        <v>0</v>
      </c>
      <c r="DP217" s="466">
        <f t="shared" si="222"/>
        <v>0</v>
      </c>
      <c r="DQ217" s="466">
        <f t="shared" si="222"/>
        <v>0</v>
      </c>
      <c r="DR217" s="466">
        <f t="shared" si="222"/>
        <v>0</v>
      </c>
      <c r="DS217" s="466">
        <f t="shared" si="222"/>
        <v>0</v>
      </c>
      <c r="DT217" s="466">
        <f t="shared" si="222"/>
        <v>0</v>
      </c>
      <c r="DU217" s="466">
        <f t="shared" si="222"/>
        <v>0</v>
      </c>
      <c r="DV217" s="466">
        <f t="shared" si="222"/>
        <v>0</v>
      </c>
      <c r="DW217" s="322" t="s">
        <v>372</v>
      </c>
    </row>
    <row r="218" spans="3:127" hidden="1" outlineLevel="1" x14ac:dyDescent="0.3">
      <c r="C218" s="374" t="str">
        <f>C209</f>
        <v>Granite Park Equity</v>
      </c>
      <c r="D218" s="486">
        <f>1-SUM(D217,D219)</f>
        <v>6.4999999999999947E-2</v>
      </c>
      <c r="E218" s="468">
        <f>SUM(F218:DV218)</f>
        <v>0</v>
      </c>
      <c r="F218" s="468">
        <f t="shared" si="218"/>
        <v>0</v>
      </c>
      <c r="G218" s="468">
        <f t="shared" si="218"/>
        <v>0</v>
      </c>
      <c r="H218" s="468">
        <f t="shared" si="218"/>
        <v>0</v>
      </c>
      <c r="I218" s="468">
        <f t="shared" si="218"/>
        <v>0</v>
      </c>
      <c r="J218" s="468">
        <f t="shared" si="218"/>
        <v>0</v>
      </c>
      <c r="K218" s="468">
        <f t="shared" si="218"/>
        <v>0</v>
      </c>
      <c r="L218" s="468">
        <f t="shared" si="218"/>
        <v>0</v>
      </c>
      <c r="M218" s="468">
        <f t="shared" si="218"/>
        <v>0</v>
      </c>
      <c r="N218" s="468">
        <f t="shared" si="218"/>
        <v>0</v>
      </c>
      <c r="O218" s="468">
        <f t="shared" si="218"/>
        <v>0</v>
      </c>
      <c r="P218" s="468">
        <f t="shared" si="218"/>
        <v>0</v>
      </c>
      <c r="Q218" s="468">
        <f t="shared" si="218"/>
        <v>0</v>
      </c>
      <c r="R218" s="468">
        <f t="shared" si="218"/>
        <v>0</v>
      </c>
      <c r="S218" s="468">
        <f t="shared" si="218"/>
        <v>0</v>
      </c>
      <c r="T218" s="468">
        <f t="shared" si="218"/>
        <v>0</v>
      </c>
      <c r="U218" s="468">
        <f t="shared" si="218"/>
        <v>0</v>
      </c>
      <c r="V218" s="468">
        <f t="shared" si="219"/>
        <v>0</v>
      </c>
      <c r="W218" s="468">
        <f t="shared" si="219"/>
        <v>0</v>
      </c>
      <c r="X218" s="468">
        <f t="shared" si="219"/>
        <v>0</v>
      </c>
      <c r="Y218" s="468">
        <f t="shared" si="219"/>
        <v>0</v>
      </c>
      <c r="Z218" s="468">
        <f t="shared" si="219"/>
        <v>0</v>
      </c>
      <c r="AA218" s="468">
        <f t="shared" si="219"/>
        <v>0</v>
      </c>
      <c r="AB218" s="468">
        <f t="shared" si="219"/>
        <v>0</v>
      </c>
      <c r="AC218" s="468">
        <f t="shared" si="219"/>
        <v>0</v>
      </c>
      <c r="AD218" s="468">
        <f t="shared" si="219"/>
        <v>0</v>
      </c>
      <c r="AE218" s="468">
        <f t="shared" si="219"/>
        <v>0</v>
      </c>
      <c r="AF218" s="468">
        <f t="shared" si="219"/>
        <v>0</v>
      </c>
      <c r="AG218" s="468">
        <f t="shared" si="219"/>
        <v>0</v>
      </c>
      <c r="AH218" s="468">
        <f t="shared" si="219"/>
        <v>0</v>
      </c>
      <c r="AI218" s="468">
        <f t="shared" si="219"/>
        <v>0</v>
      </c>
      <c r="AJ218" s="468">
        <f t="shared" si="219"/>
        <v>0</v>
      </c>
      <c r="AK218" s="468">
        <f t="shared" si="219"/>
        <v>0</v>
      </c>
      <c r="AL218" s="468">
        <f t="shared" si="220"/>
        <v>0</v>
      </c>
      <c r="AM218" s="468">
        <f t="shared" si="220"/>
        <v>0</v>
      </c>
      <c r="AN218" s="468">
        <f t="shared" si="220"/>
        <v>0</v>
      </c>
      <c r="AO218" s="468">
        <f t="shared" si="220"/>
        <v>0</v>
      </c>
      <c r="AP218" s="468">
        <f t="shared" si="220"/>
        <v>0</v>
      </c>
      <c r="AQ218" s="468">
        <f t="shared" si="220"/>
        <v>0</v>
      </c>
      <c r="AR218" s="468">
        <f t="shared" si="220"/>
        <v>0</v>
      </c>
      <c r="AS218" s="468">
        <f t="shared" si="220"/>
        <v>0</v>
      </c>
      <c r="AT218" s="468">
        <f t="shared" si="220"/>
        <v>0</v>
      </c>
      <c r="AU218" s="468">
        <f t="shared" si="220"/>
        <v>0</v>
      </c>
      <c r="AV218" s="468">
        <f t="shared" si="220"/>
        <v>0</v>
      </c>
      <c r="AW218" s="468">
        <f t="shared" si="220"/>
        <v>0</v>
      </c>
      <c r="AX218" s="468">
        <f t="shared" si="220"/>
        <v>0</v>
      </c>
      <c r="AY218" s="468">
        <f t="shared" si="220"/>
        <v>0</v>
      </c>
      <c r="AZ218" s="468">
        <f t="shared" si="220"/>
        <v>0</v>
      </c>
      <c r="BA218" s="468">
        <f t="shared" si="220"/>
        <v>0</v>
      </c>
      <c r="BB218" s="468">
        <f t="shared" si="221"/>
        <v>0</v>
      </c>
      <c r="BC218" s="468">
        <f t="shared" si="221"/>
        <v>0</v>
      </c>
      <c r="BD218" s="468">
        <f t="shared" si="221"/>
        <v>0</v>
      </c>
      <c r="BE218" s="468">
        <f t="shared" si="221"/>
        <v>0</v>
      </c>
      <c r="BF218" s="468">
        <f t="shared" si="221"/>
        <v>0</v>
      </c>
      <c r="BG218" s="468">
        <f t="shared" si="221"/>
        <v>0</v>
      </c>
      <c r="BH218" s="468">
        <f t="shared" si="221"/>
        <v>0</v>
      </c>
      <c r="BI218" s="468">
        <f t="shared" si="221"/>
        <v>0</v>
      </c>
      <c r="BJ218" s="468">
        <f t="shared" si="221"/>
        <v>0</v>
      </c>
      <c r="BK218" s="468">
        <f t="shared" si="221"/>
        <v>0</v>
      </c>
      <c r="BL218" s="468">
        <f t="shared" si="221"/>
        <v>0</v>
      </c>
      <c r="BM218" s="468">
        <f t="shared" si="221"/>
        <v>0</v>
      </c>
      <c r="BN218" s="468">
        <f t="shared" si="221"/>
        <v>0</v>
      </c>
      <c r="BO218" s="468">
        <f t="shared" si="221"/>
        <v>0</v>
      </c>
      <c r="BP218" s="468">
        <f t="shared" si="221"/>
        <v>0</v>
      </c>
      <c r="BQ218" s="468">
        <f t="shared" si="221"/>
        <v>0</v>
      </c>
      <c r="BR218" s="468">
        <f t="shared" si="222"/>
        <v>0</v>
      </c>
      <c r="BS218" s="468">
        <f t="shared" si="222"/>
        <v>0</v>
      </c>
      <c r="BT218" s="468">
        <f t="shared" si="222"/>
        <v>0</v>
      </c>
      <c r="BU218" s="468">
        <f t="shared" si="222"/>
        <v>0</v>
      </c>
      <c r="BV218" s="468">
        <f t="shared" si="222"/>
        <v>0</v>
      </c>
      <c r="BW218" s="468">
        <f t="shared" si="222"/>
        <v>0</v>
      </c>
      <c r="BX218" s="468">
        <f t="shared" si="222"/>
        <v>0</v>
      </c>
      <c r="BY218" s="468">
        <f t="shared" si="222"/>
        <v>0</v>
      </c>
      <c r="BZ218" s="468">
        <f t="shared" si="222"/>
        <v>0</v>
      </c>
      <c r="CA218" s="468">
        <f t="shared" si="222"/>
        <v>0</v>
      </c>
      <c r="CB218" s="468">
        <f t="shared" si="222"/>
        <v>0</v>
      </c>
      <c r="CC218" s="468">
        <f t="shared" si="222"/>
        <v>0</v>
      </c>
      <c r="CD218" s="468">
        <f t="shared" si="222"/>
        <v>0</v>
      </c>
      <c r="CE218" s="468">
        <f t="shared" si="222"/>
        <v>0</v>
      </c>
      <c r="CF218" s="468">
        <f t="shared" si="222"/>
        <v>0</v>
      </c>
      <c r="CG218" s="468">
        <f t="shared" si="222"/>
        <v>0</v>
      </c>
      <c r="CH218" s="468">
        <f t="shared" si="222"/>
        <v>0</v>
      </c>
      <c r="CI218" s="468">
        <f t="shared" si="222"/>
        <v>0</v>
      </c>
      <c r="CJ218" s="468">
        <f t="shared" si="222"/>
        <v>0</v>
      </c>
      <c r="CK218" s="468">
        <f t="shared" si="222"/>
        <v>0</v>
      </c>
      <c r="CL218" s="468">
        <f t="shared" si="222"/>
        <v>0</v>
      </c>
      <c r="CM218" s="468">
        <f t="shared" si="222"/>
        <v>0</v>
      </c>
      <c r="CN218" s="468">
        <f t="shared" si="222"/>
        <v>0</v>
      </c>
      <c r="CO218" s="468">
        <f t="shared" si="222"/>
        <v>0</v>
      </c>
      <c r="CP218" s="468">
        <f t="shared" si="222"/>
        <v>0</v>
      </c>
      <c r="CQ218" s="468">
        <f t="shared" si="222"/>
        <v>0</v>
      </c>
      <c r="CR218" s="468">
        <f t="shared" si="222"/>
        <v>0</v>
      </c>
      <c r="CS218" s="468">
        <f t="shared" si="222"/>
        <v>0</v>
      </c>
      <c r="CT218" s="468">
        <f t="shared" si="222"/>
        <v>0</v>
      </c>
      <c r="CU218" s="468">
        <f t="shared" si="222"/>
        <v>0</v>
      </c>
      <c r="CV218" s="468">
        <f t="shared" si="222"/>
        <v>0</v>
      </c>
      <c r="CW218" s="468">
        <f t="shared" si="222"/>
        <v>0</v>
      </c>
      <c r="CX218" s="468">
        <f t="shared" si="222"/>
        <v>0</v>
      </c>
      <c r="CY218" s="468">
        <f t="shared" si="222"/>
        <v>0</v>
      </c>
      <c r="CZ218" s="468">
        <f t="shared" si="222"/>
        <v>0</v>
      </c>
      <c r="DA218" s="468">
        <f t="shared" si="222"/>
        <v>0</v>
      </c>
      <c r="DB218" s="468">
        <f t="shared" si="222"/>
        <v>0</v>
      </c>
      <c r="DC218" s="468">
        <f t="shared" si="222"/>
        <v>0</v>
      </c>
      <c r="DD218" s="468">
        <f t="shared" si="222"/>
        <v>0</v>
      </c>
      <c r="DE218" s="468">
        <f t="shared" si="222"/>
        <v>0</v>
      </c>
      <c r="DF218" s="468">
        <f t="shared" si="222"/>
        <v>0</v>
      </c>
      <c r="DG218" s="468">
        <f t="shared" si="222"/>
        <v>0</v>
      </c>
      <c r="DH218" s="468">
        <f t="shared" si="222"/>
        <v>0</v>
      </c>
      <c r="DI218" s="468">
        <f t="shared" si="222"/>
        <v>0</v>
      </c>
      <c r="DJ218" s="468">
        <f t="shared" si="222"/>
        <v>0</v>
      </c>
      <c r="DK218" s="468">
        <f t="shared" si="222"/>
        <v>0</v>
      </c>
      <c r="DL218" s="468">
        <f t="shared" si="222"/>
        <v>0</v>
      </c>
      <c r="DM218" s="468">
        <f t="shared" si="222"/>
        <v>0</v>
      </c>
      <c r="DN218" s="468">
        <f t="shared" si="222"/>
        <v>0</v>
      </c>
      <c r="DO218" s="468">
        <f t="shared" si="222"/>
        <v>0</v>
      </c>
      <c r="DP218" s="468">
        <f t="shared" si="222"/>
        <v>0</v>
      </c>
      <c r="DQ218" s="468">
        <f t="shared" si="222"/>
        <v>0</v>
      </c>
      <c r="DR218" s="468">
        <f t="shared" si="222"/>
        <v>0</v>
      </c>
      <c r="DS218" s="468">
        <f t="shared" si="222"/>
        <v>0</v>
      </c>
      <c r="DT218" s="468">
        <f t="shared" si="222"/>
        <v>0</v>
      </c>
      <c r="DU218" s="468">
        <f t="shared" si="222"/>
        <v>0</v>
      </c>
      <c r="DV218" s="468">
        <f t="shared" si="222"/>
        <v>0</v>
      </c>
      <c r="DW218" s="322" t="s">
        <v>372</v>
      </c>
    </row>
    <row r="219" spans="3:127" hidden="1" outlineLevel="1" x14ac:dyDescent="0.3">
      <c r="C219" s="374" t="str">
        <f>C210</f>
        <v>Granite Park Promote</v>
      </c>
      <c r="D219" s="486">
        <f>G42</f>
        <v>0.35</v>
      </c>
      <c r="E219" s="468">
        <f>SUM(F219:DV219)</f>
        <v>0</v>
      </c>
      <c r="F219" s="468">
        <f t="shared" si="218"/>
        <v>0</v>
      </c>
      <c r="G219" s="468">
        <f t="shared" si="218"/>
        <v>0</v>
      </c>
      <c r="H219" s="468">
        <f t="shared" si="218"/>
        <v>0</v>
      </c>
      <c r="I219" s="468">
        <f t="shared" si="218"/>
        <v>0</v>
      </c>
      <c r="J219" s="468">
        <f t="shared" si="218"/>
        <v>0</v>
      </c>
      <c r="K219" s="468">
        <f t="shared" si="218"/>
        <v>0</v>
      </c>
      <c r="L219" s="468">
        <f t="shared" si="218"/>
        <v>0</v>
      </c>
      <c r="M219" s="468">
        <f t="shared" si="218"/>
        <v>0</v>
      </c>
      <c r="N219" s="468">
        <f t="shared" si="218"/>
        <v>0</v>
      </c>
      <c r="O219" s="468">
        <f t="shared" si="218"/>
        <v>0</v>
      </c>
      <c r="P219" s="468">
        <f t="shared" si="218"/>
        <v>0</v>
      </c>
      <c r="Q219" s="468">
        <f t="shared" si="218"/>
        <v>0</v>
      </c>
      <c r="R219" s="468">
        <f t="shared" si="218"/>
        <v>0</v>
      </c>
      <c r="S219" s="468">
        <f t="shared" si="218"/>
        <v>0</v>
      </c>
      <c r="T219" s="468">
        <f t="shared" si="218"/>
        <v>0</v>
      </c>
      <c r="U219" s="468">
        <f t="shared" si="218"/>
        <v>0</v>
      </c>
      <c r="V219" s="468">
        <f t="shared" si="219"/>
        <v>0</v>
      </c>
      <c r="W219" s="468">
        <f t="shared" si="219"/>
        <v>0</v>
      </c>
      <c r="X219" s="468">
        <f t="shared" si="219"/>
        <v>0</v>
      </c>
      <c r="Y219" s="468">
        <f t="shared" si="219"/>
        <v>0</v>
      </c>
      <c r="Z219" s="468">
        <f t="shared" si="219"/>
        <v>0</v>
      </c>
      <c r="AA219" s="468">
        <f t="shared" si="219"/>
        <v>0</v>
      </c>
      <c r="AB219" s="468">
        <f t="shared" si="219"/>
        <v>0</v>
      </c>
      <c r="AC219" s="468">
        <f t="shared" si="219"/>
        <v>0</v>
      </c>
      <c r="AD219" s="468">
        <f t="shared" si="219"/>
        <v>0</v>
      </c>
      <c r="AE219" s="468">
        <f t="shared" si="219"/>
        <v>0</v>
      </c>
      <c r="AF219" s="468">
        <f t="shared" si="219"/>
        <v>0</v>
      </c>
      <c r="AG219" s="468">
        <f t="shared" si="219"/>
        <v>0</v>
      </c>
      <c r="AH219" s="468">
        <f t="shared" si="219"/>
        <v>0</v>
      </c>
      <c r="AI219" s="468">
        <f t="shared" si="219"/>
        <v>0</v>
      </c>
      <c r="AJ219" s="468">
        <f t="shared" si="219"/>
        <v>0</v>
      </c>
      <c r="AK219" s="468">
        <f t="shared" si="219"/>
        <v>0</v>
      </c>
      <c r="AL219" s="468">
        <f t="shared" si="220"/>
        <v>0</v>
      </c>
      <c r="AM219" s="468">
        <f t="shared" si="220"/>
        <v>0</v>
      </c>
      <c r="AN219" s="468">
        <f t="shared" si="220"/>
        <v>0</v>
      </c>
      <c r="AO219" s="468">
        <f t="shared" si="220"/>
        <v>0</v>
      </c>
      <c r="AP219" s="468">
        <f t="shared" si="220"/>
        <v>0</v>
      </c>
      <c r="AQ219" s="468">
        <f t="shared" si="220"/>
        <v>0</v>
      </c>
      <c r="AR219" s="468">
        <f t="shared" si="220"/>
        <v>0</v>
      </c>
      <c r="AS219" s="468">
        <f t="shared" si="220"/>
        <v>0</v>
      </c>
      <c r="AT219" s="468">
        <f t="shared" si="220"/>
        <v>0</v>
      </c>
      <c r="AU219" s="468">
        <f t="shared" si="220"/>
        <v>0</v>
      </c>
      <c r="AV219" s="468">
        <f t="shared" si="220"/>
        <v>0</v>
      </c>
      <c r="AW219" s="468">
        <f t="shared" si="220"/>
        <v>0</v>
      </c>
      <c r="AX219" s="468">
        <f t="shared" si="220"/>
        <v>0</v>
      </c>
      <c r="AY219" s="468">
        <f t="shared" si="220"/>
        <v>0</v>
      </c>
      <c r="AZ219" s="468">
        <f t="shared" si="220"/>
        <v>0</v>
      </c>
      <c r="BA219" s="468">
        <f t="shared" si="220"/>
        <v>0</v>
      </c>
      <c r="BB219" s="468">
        <f t="shared" si="221"/>
        <v>0</v>
      </c>
      <c r="BC219" s="468">
        <f t="shared" si="221"/>
        <v>0</v>
      </c>
      <c r="BD219" s="468">
        <f t="shared" si="221"/>
        <v>0</v>
      </c>
      <c r="BE219" s="468">
        <f t="shared" si="221"/>
        <v>0</v>
      </c>
      <c r="BF219" s="468">
        <f t="shared" si="221"/>
        <v>0</v>
      </c>
      <c r="BG219" s="468">
        <f t="shared" si="221"/>
        <v>0</v>
      </c>
      <c r="BH219" s="468">
        <f t="shared" si="221"/>
        <v>0</v>
      </c>
      <c r="BI219" s="468">
        <f t="shared" si="221"/>
        <v>0</v>
      </c>
      <c r="BJ219" s="468">
        <f t="shared" si="221"/>
        <v>0</v>
      </c>
      <c r="BK219" s="468">
        <f t="shared" si="221"/>
        <v>0</v>
      </c>
      <c r="BL219" s="468">
        <f t="shared" si="221"/>
        <v>0</v>
      </c>
      <c r="BM219" s="468">
        <f t="shared" si="221"/>
        <v>0</v>
      </c>
      <c r="BN219" s="468">
        <f t="shared" si="221"/>
        <v>0</v>
      </c>
      <c r="BO219" s="468">
        <f t="shared" si="221"/>
        <v>0</v>
      </c>
      <c r="BP219" s="468">
        <f t="shared" si="221"/>
        <v>0</v>
      </c>
      <c r="BQ219" s="468">
        <f t="shared" si="221"/>
        <v>0</v>
      </c>
      <c r="BR219" s="468">
        <f t="shared" si="222"/>
        <v>0</v>
      </c>
      <c r="BS219" s="468">
        <f t="shared" si="222"/>
        <v>0</v>
      </c>
      <c r="BT219" s="468">
        <f t="shared" si="222"/>
        <v>0</v>
      </c>
      <c r="BU219" s="468">
        <f t="shared" si="222"/>
        <v>0</v>
      </c>
      <c r="BV219" s="468">
        <f t="shared" si="222"/>
        <v>0</v>
      </c>
      <c r="BW219" s="468">
        <f t="shared" si="222"/>
        <v>0</v>
      </c>
      <c r="BX219" s="468">
        <f t="shared" si="222"/>
        <v>0</v>
      </c>
      <c r="BY219" s="468">
        <f t="shared" si="222"/>
        <v>0</v>
      </c>
      <c r="BZ219" s="468">
        <f t="shared" si="222"/>
        <v>0</v>
      </c>
      <c r="CA219" s="468">
        <f t="shared" si="222"/>
        <v>0</v>
      </c>
      <c r="CB219" s="468">
        <f t="shared" si="222"/>
        <v>0</v>
      </c>
      <c r="CC219" s="468">
        <f t="shared" si="222"/>
        <v>0</v>
      </c>
      <c r="CD219" s="468">
        <f t="shared" si="222"/>
        <v>0</v>
      </c>
      <c r="CE219" s="468">
        <f t="shared" si="222"/>
        <v>0</v>
      </c>
      <c r="CF219" s="468">
        <f t="shared" si="222"/>
        <v>0</v>
      </c>
      <c r="CG219" s="468">
        <f t="shared" si="222"/>
        <v>0</v>
      </c>
      <c r="CH219" s="468">
        <f t="shared" si="222"/>
        <v>0</v>
      </c>
      <c r="CI219" s="468">
        <f t="shared" si="222"/>
        <v>0</v>
      </c>
      <c r="CJ219" s="468">
        <f t="shared" si="222"/>
        <v>0</v>
      </c>
      <c r="CK219" s="468">
        <f t="shared" si="222"/>
        <v>0</v>
      </c>
      <c r="CL219" s="468">
        <f t="shared" si="222"/>
        <v>0</v>
      </c>
      <c r="CM219" s="468">
        <f t="shared" si="222"/>
        <v>0</v>
      </c>
      <c r="CN219" s="468">
        <f t="shared" si="222"/>
        <v>0</v>
      </c>
      <c r="CO219" s="468">
        <f t="shared" si="222"/>
        <v>0</v>
      </c>
      <c r="CP219" s="468">
        <f t="shared" si="222"/>
        <v>0</v>
      </c>
      <c r="CQ219" s="468">
        <f t="shared" si="222"/>
        <v>0</v>
      </c>
      <c r="CR219" s="468">
        <f t="shared" si="222"/>
        <v>0</v>
      </c>
      <c r="CS219" s="468">
        <f t="shared" si="222"/>
        <v>0</v>
      </c>
      <c r="CT219" s="468">
        <f t="shared" si="222"/>
        <v>0</v>
      </c>
      <c r="CU219" s="468">
        <f t="shared" si="222"/>
        <v>0</v>
      </c>
      <c r="CV219" s="468">
        <f t="shared" si="222"/>
        <v>0</v>
      </c>
      <c r="CW219" s="468">
        <f t="shared" si="222"/>
        <v>0</v>
      </c>
      <c r="CX219" s="468">
        <f t="shared" si="222"/>
        <v>0</v>
      </c>
      <c r="CY219" s="468">
        <f t="shared" si="222"/>
        <v>0</v>
      </c>
      <c r="CZ219" s="468">
        <f t="shared" si="222"/>
        <v>0</v>
      </c>
      <c r="DA219" s="468">
        <f t="shared" si="222"/>
        <v>0</v>
      </c>
      <c r="DB219" s="468">
        <f t="shared" si="222"/>
        <v>0</v>
      </c>
      <c r="DC219" s="468">
        <f t="shared" si="222"/>
        <v>0</v>
      </c>
      <c r="DD219" s="468">
        <f t="shared" si="222"/>
        <v>0</v>
      </c>
      <c r="DE219" s="468">
        <f t="shared" si="222"/>
        <v>0</v>
      </c>
      <c r="DF219" s="468">
        <f t="shared" si="222"/>
        <v>0</v>
      </c>
      <c r="DG219" s="468">
        <f t="shared" si="222"/>
        <v>0</v>
      </c>
      <c r="DH219" s="468">
        <f t="shared" si="222"/>
        <v>0</v>
      </c>
      <c r="DI219" s="468">
        <f t="shared" si="222"/>
        <v>0</v>
      </c>
      <c r="DJ219" s="468">
        <f t="shared" si="222"/>
        <v>0</v>
      </c>
      <c r="DK219" s="468">
        <f t="shared" si="222"/>
        <v>0</v>
      </c>
      <c r="DL219" s="468">
        <f t="shared" si="222"/>
        <v>0</v>
      </c>
      <c r="DM219" s="468">
        <f t="shared" si="222"/>
        <v>0</v>
      </c>
      <c r="DN219" s="468">
        <f t="shared" si="222"/>
        <v>0</v>
      </c>
      <c r="DO219" s="468">
        <f t="shared" si="222"/>
        <v>0</v>
      </c>
      <c r="DP219" s="468">
        <f t="shared" si="222"/>
        <v>0</v>
      </c>
      <c r="DQ219" s="468">
        <f t="shared" si="222"/>
        <v>0</v>
      </c>
      <c r="DR219" s="468">
        <f t="shared" si="222"/>
        <v>0</v>
      </c>
      <c r="DS219" s="468">
        <f t="shared" si="222"/>
        <v>0</v>
      </c>
      <c r="DT219" s="468">
        <f t="shared" si="222"/>
        <v>0</v>
      </c>
      <c r="DU219" s="468">
        <f t="shared" si="222"/>
        <v>0</v>
      </c>
      <c r="DV219" s="468">
        <f t="shared" si="222"/>
        <v>0</v>
      </c>
      <c r="DW219" s="322" t="s">
        <v>372</v>
      </c>
    </row>
    <row r="220" spans="3:127" ht="17.25" hidden="1" outlineLevel="1" thickBot="1" x14ac:dyDescent="0.35">
      <c r="C220" s="365" t="s">
        <v>406</v>
      </c>
      <c r="D220" s="486"/>
      <c r="E220" s="415">
        <f t="shared" ref="E220:BP220" si="223">SUM(E217:E219)</f>
        <v>0</v>
      </c>
      <c r="F220" s="415">
        <f t="shared" si="223"/>
        <v>0</v>
      </c>
      <c r="G220" s="415">
        <f t="shared" si="223"/>
        <v>0</v>
      </c>
      <c r="H220" s="415">
        <f t="shared" si="223"/>
        <v>0</v>
      </c>
      <c r="I220" s="415">
        <f t="shared" si="223"/>
        <v>0</v>
      </c>
      <c r="J220" s="415">
        <f t="shared" si="223"/>
        <v>0</v>
      </c>
      <c r="K220" s="415">
        <f t="shared" si="223"/>
        <v>0</v>
      </c>
      <c r="L220" s="415">
        <f t="shared" si="223"/>
        <v>0</v>
      </c>
      <c r="M220" s="415">
        <f t="shared" si="223"/>
        <v>0</v>
      </c>
      <c r="N220" s="415">
        <f t="shared" si="223"/>
        <v>0</v>
      </c>
      <c r="O220" s="415">
        <f t="shared" si="223"/>
        <v>0</v>
      </c>
      <c r="P220" s="415">
        <f t="shared" si="223"/>
        <v>0</v>
      </c>
      <c r="Q220" s="415">
        <f t="shared" si="223"/>
        <v>0</v>
      </c>
      <c r="R220" s="415">
        <f t="shared" si="223"/>
        <v>0</v>
      </c>
      <c r="S220" s="415">
        <f t="shared" si="223"/>
        <v>0</v>
      </c>
      <c r="T220" s="415">
        <f t="shared" si="223"/>
        <v>0</v>
      </c>
      <c r="U220" s="415">
        <f t="shared" si="223"/>
        <v>0</v>
      </c>
      <c r="V220" s="415">
        <f t="shared" si="223"/>
        <v>0</v>
      </c>
      <c r="W220" s="415">
        <f t="shared" si="223"/>
        <v>0</v>
      </c>
      <c r="X220" s="415">
        <f t="shared" si="223"/>
        <v>0</v>
      </c>
      <c r="Y220" s="415">
        <f t="shared" si="223"/>
        <v>0</v>
      </c>
      <c r="Z220" s="415">
        <f t="shared" si="223"/>
        <v>0</v>
      </c>
      <c r="AA220" s="415">
        <f t="shared" si="223"/>
        <v>0</v>
      </c>
      <c r="AB220" s="415">
        <f t="shared" si="223"/>
        <v>0</v>
      </c>
      <c r="AC220" s="415">
        <f t="shared" si="223"/>
        <v>0</v>
      </c>
      <c r="AD220" s="415">
        <f t="shared" si="223"/>
        <v>0</v>
      </c>
      <c r="AE220" s="415">
        <f t="shared" si="223"/>
        <v>0</v>
      </c>
      <c r="AF220" s="415">
        <f t="shared" si="223"/>
        <v>0</v>
      </c>
      <c r="AG220" s="415">
        <f t="shared" si="223"/>
        <v>0</v>
      </c>
      <c r="AH220" s="415">
        <f t="shared" si="223"/>
        <v>0</v>
      </c>
      <c r="AI220" s="415">
        <f t="shared" si="223"/>
        <v>0</v>
      </c>
      <c r="AJ220" s="415">
        <f t="shared" si="223"/>
        <v>0</v>
      </c>
      <c r="AK220" s="415">
        <f t="shared" si="223"/>
        <v>0</v>
      </c>
      <c r="AL220" s="415">
        <f t="shared" si="223"/>
        <v>0</v>
      </c>
      <c r="AM220" s="415">
        <f t="shared" si="223"/>
        <v>0</v>
      </c>
      <c r="AN220" s="415">
        <f t="shared" si="223"/>
        <v>0</v>
      </c>
      <c r="AO220" s="415">
        <f t="shared" si="223"/>
        <v>0</v>
      </c>
      <c r="AP220" s="415">
        <f t="shared" si="223"/>
        <v>0</v>
      </c>
      <c r="AQ220" s="415">
        <f t="shared" si="223"/>
        <v>0</v>
      </c>
      <c r="AR220" s="415">
        <f t="shared" si="223"/>
        <v>0</v>
      </c>
      <c r="AS220" s="415">
        <f t="shared" si="223"/>
        <v>0</v>
      </c>
      <c r="AT220" s="415">
        <f t="shared" si="223"/>
        <v>0</v>
      </c>
      <c r="AU220" s="415">
        <f t="shared" si="223"/>
        <v>0</v>
      </c>
      <c r="AV220" s="415">
        <f t="shared" si="223"/>
        <v>0</v>
      </c>
      <c r="AW220" s="415">
        <f t="shared" si="223"/>
        <v>0</v>
      </c>
      <c r="AX220" s="415">
        <f t="shared" si="223"/>
        <v>0</v>
      </c>
      <c r="AY220" s="415">
        <f t="shared" si="223"/>
        <v>0</v>
      </c>
      <c r="AZ220" s="415">
        <f t="shared" si="223"/>
        <v>0</v>
      </c>
      <c r="BA220" s="415">
        <f t="shared" si="223"/>
        <v>0</v>
      </c>
      <c r="BB220" s="415">
        <f t="shared" si="223"/>
        <v>0</v>
      </c>
      <c r="BC220" s="415">
        <f t="shared" si="223"/>
        <v>0</v>
      </c>
      <c r="BD220" s="415">
        <f t="shared" si="223"/>
        <v>0</v>
      </c>
      <c r="BE220" s="415">
        <f t="shared" si="223"/>
        <v>0</v>
      </c>
      <c r="BF220" s="415">
        <f t="shared" si="223"/>
        <v>0</v>
      </c>
      <c r="BG220" s="415">
        <f t="shared" si="223"/>
        <v>0</v>
      </c>
      <c r="BH220" s="415">
        <f t="shared" si="223"/>
        <v>0</v>
      </c>
      <c r="BI220" s="415">
        <f t="shared" si="223"/>
        <v>0</v>
      </c>
      <c r="BJ220" s="415">
        <f t="shared" si="223"/>
        <v>0</v>
      </c>
      <c r="BK220" s="415">
        <f t="shared" si="223"/>
        <v>0</v>
      </c>
      <c r="BL220" s="415">
        <f t="shared" si="223"/>
        <v>0</v>
      </c>
      <c r="BM220" s="415">
        <f t="shared" si="223"/>
        <v>0</v>
      </c>
      <c r="BN220" s="415">
        <f t="shared" si="223"/>
        <v>0</v>
      </c>
      <c r="BO220" s="415">
        <f t="shared" si="223"/>
        <v>0</v>
      </c>
      <c r="BP220" s="415">
        <f t="shared" si="223"/>
        <v>0</v>
      </c>
      <c r="BQ220" s="415">
        <f t="shared" ref="BQ220:DV220" si="224">SUM(BQ217:BQ219)</f>
        <v>0</v>
      </c>
      <c r="BR220" s="415">
        <f t="shared" si="224"/>
        <v>0</v>
      </c>
      <c r="BS220" s="415">
        <f t="shared" si="224"/>
        <v>0</v>
      </c>
      <c r="BT220" s="415">
        <f t="shared" si="224"/>
        <v>0</v>
      </c>
      <c r="BU220" s="415">
        <f t="shared" si="224"/>
        <v>0</v>
      </c>
      <c r="BV220" s="415">
        <f t="shared" si="224"/>
        <v>0</v>
      </c>
      <c r="BW220" s="415">
        <f t="shared" si="224"/>
        <v>0</v>
      </c>
      <c r="BX220" s="415">
        <f t="shared" si="224"/>
        <v>0</v>
      </c>
      <c r="BY220" s="415">
        <f t="shared" si="224"/>
        <v>0</v>
      </c>
      <c r="BZ220" s="415">
        <f t="shared" si="224"/>
        <v>0</v>
      </c>
      <c r="CA220" s="415">
        <f t="shared" si="224"/>
        <v>0</v>
      </c>
      <c r="CB220" s="415">
        <f t="shared" si="224"/>
        <v>0</v>
      </c>
      <c r="CC220" s="415">
        <f t="shared" si="224"/>
        <v>0</v>
      </c>
      <c r="CD220" s="415">
        <f t="shared" si="224"/>
        <v>0</v>
      </c>
      <c r="CE220" s="415">
        <f t="shared" si="224"/>
        <v>0</v>
      </c>
      <c r="CF220" s="415">
        <f t="shared" si="224"/>
        <v>0</v>
      </c>
      <c r="CG220" s="415">
        <f t="shared" si="224"/>
        <v>0</v>
      </c>
      <c r="CH220" s="415">
        <f t="shared" si="224"/>
        <v>0</v>
      </c>
      <c r="CI220" s="415">
        <f t="shared" si="224"/>
        <v>0</v>
      </c>
      <c r="CJ220" s="415">
        <f t="shared" si="224"/>
        <v>0</v>
      </c>
      <c r="CK220" s="415">
        <f t="shared" si="224"/>
        <v>0</v>
      </c>
      <c r="CL220" s="415">
        <f t="shared" si="224"/>
        <v>0</v>
      </c>
      <c r="CM220" s="415">
        <f t="shared" si="224"/>
        <v>0</v>
      </c>
      <c r="CN220" s="415">
        <f t="shared" si="224"/>
        <v>0</v>
      </c>
      <c r="CO220" s="415">
        <f t="shared" si="224"/>
        <v>0</v>
      </c>
      <c r="CP220" s="415">
        <f t="shared" si="224"/>
        <v>0</v>
      </c>
      <c r="CQ220" s="415">
        <f t="shared" si="224"/>
        <v>0</v>
      </c>
      <c r="CR220" s="415">
        <f t="shared" si="224"/>
        <v>0</v>
      </c>
      <c r="CS220" s="415">
        <f t="shared" si="224"/>
        <v>0</v>
      </c>
      <c r="CT220" s="415">
        <f t="shared" si="224"/>
        <v>0</v>
      </c>
      <c r="CU220" s="415">
        <f t="shared" si="224"/>
        <v>0</v>
      </c>
      <c r="CV220" s="415">
        <f t="shared" si="224"/>
        <v>0</v>
      </c>
      <c r="CW220" s="415">
        <f t="shared" si="224"/>
        <v>0</v>
      </c>
      <c r="CX220" s="415">
        <f t="shared" si="224"/>
        <v>0</v>
      </c>
      <c r="CY220" s="415">
        <f t="shared" si="224"/>
        <v>0</v>
      </c>
      <c r="CZ220" s="415">
        <f t="shared" si="224"/>
        <v>0</v>
      </c>
      <c r="DA220" s="415">
        <f t="shared" si="224"/>
        <v>0</v>
      </c>
      <c r="DB220" s="415">
        <f t="shared" si="224"/>
        <v>0</v>
      </c>
      <c r="DC220" s="415">
        <f t="shared" si="224"/>
        <v>0</v>
      </c>
      <c r="DD220" s="415">
        <f t="shared" si="224"/>
        <v>0</v>
      </c>
      <c r="DE220" s="415">
        <f t="shared" si="224"/>
        <v>0</v>
      </c>
      <c r="DF220" s="415">
        <f t="shared" si="224"/>
        <v>0</v>
      </c>
      <c r="DG220" s="415">
        <f t="shared" si="224"/>
        <v>0</v>
      </c>
      <c r="DH220" s="415">
        <f t="shared" si="224"/>
        <v>0</v>
      </c>
      <c r="DI220" s="415">
        <f t="shared" si="224"/>
        <v>0</v>
      </c>
      <c r="DJ220" s="415">
        <f t="shared" si="224"/>
        <v>0</v>
      </c>
      <c r="DK220" s="415">
        <f t="shared" si="224"/>
        <v>0</v>
      </c>
      <c r="DL220" s="415">
        <f t="shared" si="224"/>
        <v>0</v>
      </c>
      <c r="DM220" s="415">
        <f t="shared" si="224"/>
        <v>0</v>
      </c>
      <c r="DN220" s="415">
        <f t="shared" si="224"/>
        <v>0</v>
      </c>
      <c r="DO220" s="415">
        <f t="shared" si="224"/>
        <v>0</v>
      </c>
      <c r="DP220" s="415">
        <f t="shared" si="224"/>
        <v>0</v>
      </c>
      <c r="DQ220" s="415">
        <f t="shared" si="224"/>
        <v>0</v>
      </c>
      <c r="DR220" s="415">
        <f t="shared" si="224"/>
        <v>0</v>
      </c>
      <c r="DS220" s="415">
        <f t="shared" si="224"/>
        <v>0</v>
      </c>
      <c r="DT220" s="415">
        <f t="shared" si="224"/>
        <v>0</v>
      </c>
      <c r="DU220" s="415">
        <f t="shared" si="224"/>
        <v>0</v>
      </c>
      <c r="DV220" s="415">
        <f t="shared" si="224"/>
        <v>0</v>
      </c>
      <c r="DW220" s="322" t="s">
        <v>372</v>
      </c>
    </row>
    <row r="221" spans="3:127" ht="17.25" hidden="1" outlineLevel="1" thickTop="1" x14ac:dyDescent="0.3">
      <c r="C221" s="360"/>
      <c r="D221" s="360"/>
      <c r="E221" s="360"/>
      <c r="F221" s="360"/>
      <c r="G221" s="360"/>
      <c r="H221" s="360"/>
      <c r="I221" s="360"/>
      <c r="J221" s="360"/>
      <c r="K221" s="360"/>
      <c r="L221" s="360"/>
      <c r="M221" s="360"/>
      <c r="N221" s="360"/>
      <c r="O221" s="360"/>
      <c r="P221" s="360"/>
      <c r="Q221" s="360"/>
      <c r="R221" s="360"/>
      <c r="S221" s="360"/>
      <c r="T221" s="360"/>
      <c r="U221" s="360"/>
      <c r="V221" s="360"/>
      <c r="W221" s="360"/>
      <c r="X221" s="360"/>
      <c r="Y221" s="360"/>
      <c r="Z221" s="360"/>
      <c r="AA221" s="360"/>
      <c r="AB221" s="360"/>
      <c r="AC221" s="360"/>
      <c r="AD221" s="360"/>
      <c r="AE221" s="360"/>
      <c r="AF221" s="360"/>
      <c r="AG221" s="360"/>
      <c r="AH221" s="360"/>
      <c r="AI221" s="360"/>
      <c r="AJ221" s="360"/>
      <c r="AK221" s="360"/>
      <c r="AL221" s="360"/>
      <c r="AM221" s="360"/>
      <c r="AN221" s="360"/>
      <c r="AO221" s="360"/>
      <c r="AP221" s="360"/>
      <c r="AQ221" s="360"/>
      <c r="AR221" s="360"/>
      <c r="AS221" s="360"/>
      <c r="AT221" s="360"/>
      <c r="AU221" s="360"/>
      <c r="AV221" s="360"/>
      <c r="AW221" s="360"/>
      <c r="AX221" s="360"/>
      <c r="AY221" s="360"/>
      <c r="AZ221" s="360"/>
      <c r="BA221" s="360"/>
      <c r="BB221" s="360"/>
      <c r="BC221" s="360"/>
      <c r="BD221" s="360"/>
      <c r="BE221" s="360"/>
      <c r="BF221" s="360"/>
      <c r="BG221" s="360"/>
      <c r="BH221" s="360"/>
      <c r="BI221" s="360"/>
      <c r="BJ221" s="360"/>
      <c r="BK221" s="360"/>
      <c r="BL221" s="360"/>
      <c r="BM221" s="360"/>
      <c r="BN221" s="360"/>
      <c r="BO221" s="360"/>
      <c r="BP221" s="360"/>
      <c r="BQ221" s="360"/>
      <c r="BR221" s="360"/>
      <c r="BS221" s="360"/>
      <c r="BT221" s="360"/>
      <c r="BU221" s="360"/>
      <c r="BV221" s="360"/>
      <c r="BW221" s="360"/>
      <c r="BX221" s="360"/>
      <c r="BY221" s="360"/>
      <c r="BZ221" s="360"/>
      <c r="CA221" s="360"/>
      <c r="CB221" s="360"/>
      <c r="CC221" s="360"/>
      <c r="CD221" s="360"/>
      <c r="CE221" s="360"/>
      <c r="CF221" s="360"/>
      <c r="CG221" s="360"/>
      <c r="CH221" s="360"/>
      <c r="CI221" s="360"/>
      <c r="CJ221" s="360"/>
      <c r="CK221" s="360"/>
      <c r="CL221" s="360"/>
      <c r="CM221" s="360"/>
      <c r="CN221" s="360"/>
      <c r="CO221" s="360"/>
      <c r="CP221" s="360"/>
      <c r="CQ221" s="360"/>
      <c r="CR221" s="360"/>
      <c r="CS221" s="360"/>
      <c r="CT221" s="360"/>
      <c r="CU221" s="360"/>
      <c r="CV221" s="360"/>
      <c r="CW221" s="360"/>
      <c r="CX221" s="360"/>
      <c r="CY221" s="360"/>
      <c r="CZ221" s="360"/>
      <c r="DA221" s="360"/>
      <c r="DB221" s="360"/>
      <c r="DC221" s="360"/>
      <c r="DD221" s="360"/>
      <c r="DE221" s="360"/>
      <c r="DF221" s="360"/>
      <c r="DG221" s="360"/>
      <c r="DH221" s="360"/>
      <c r="DI221" s="360"/>
      <c r="DJ221" s="360"/>
      <c r="DK221" s="360"/>
      <c r="DL221" s="360"/>
      <c r="DM221" s="360"/>
      <c r="DN221" s="360"/>
      <c r="DO221" s="360"/>
      <c r="DP221" s="360"/>
      <c r="DQ221" s="360"/>
      <c r="DR221" s="360"/>
      <c r="DS221" s="360"/>
      <c r="DT221" s="360"/>
      <c r="DU221" s="360"/>
      <c r="DV221" s="360"/>
      <c r="DW221" s="322" t="s">
        <v>372</v>
      </c>
    </row>
    <row r="222" spans="3:127" ht="17.25" hidden="1" outlineLevel="1" thickBot="1" x14ac:dyDescent="0.35">
      <c r="C222" s="365" t="s">
        <v>407</v>
      </c>
      <c r="D222" s="487"/>
      <c r="E222" s="489">
        <f>SUM(F222:DV222)</f>
        <v>0</v>
      </c>
      <c r="F222" s="489">
        <v>0</v>
      </c>
      <c r="G222" s="489">
        <f t="shared" ref="G222:BR222" si="225">G213-G220</f>
        <v>0</v>
      </c>
      <c r="H222" s="489">
        <f t="shared" si="225"/>
        <v>0</v>
      </c>
      <c r="I222" s="489">
        <f t="shared" si="225"/>
        <v>0</v>
      </c>
      <c r="J222" s="489">
        <f t="shared" si="225"/>
        <v>0</v>
      </c>
      <c r="K222" s="489">
        <f t="shared" si="225"/>
        <v>0</v>
      </c>
      <c r="L222" s="489">
        <f t="shared" si="225"/>
        <v>0</v>
      </c>
      <c r="M222" s="489">
        <f t="shared" si="225"/>
        <v>0</v>
      </c>
      <c r="N222" s="489">
        <f t="shared" si="225"/>
        <v>0</v>
      </c>
      <c r="O222" s="489">
        <f t="shared" si="225"/>
        <v>0</v>
      </c>
      <c r="P222" s="489">
        <f t="shared" si="225"/>
        <v>0</v>
      </c>
      <c r="Q222" s="489">
        <f t="shared" si="225"/>
        <v>0</v>
      </c>
      <c r="R222" s="489">
        <f t="shared" si="225"/>
        <v>0</v>
      </c>
      <c r="S222" s="489">
        <f t="shared" si="225"/>
        <v>0</v>
      </c>
      <c r="T222" s="489">
        <f t="shared" si="225"/>
        <v>0</v>
      </c>
      <c r="U222" s="489">
        <f t="shared" si="225"/>
        <v>0</v>
      </c>
      <c r="V222" s="489">
        <f t="shared" si="225"/>
        <v>0</v>
      </c>
      <c r="W222" s="489">
        <f t="shared" si="225"/>
        <v>0</v>
      </c>
      <c r="X222" s="489">
        <f t="shared" si="225"/>
        <v>0</v>
      </c>
      <c r="Y222" s="489">
        <f t="shared" si="225"/>
        <v>0</v>
      </c>
      <c r="Z222" s="489">
        <f t="shared" si="225"/>
        <v>0</v>
      </c>
      <c r="AA222" s="489">
        <f t="shared" si="225"/>
        <v>0</v>
      </c>
      <c r="AB222" s="489">
        <f t="shared" si="225"/>
        <v>0</v>
      </c>
      <c r="AC222" s="489">
        <f t="shared" si="225"/>
        <v>0</v>
      </c>
      <c r="AD222" s="489">
        <f t="shared" si="225"/>
        <v>0</v>
      </c>
      <c r="AE222" s="489">
        <f t="shared" si="225"/>
        <v>0</v>
      </c>
      <c r="AF222" s="489">
        <f t="shared" si="225"/>
        <v>0</v>
      </c>
      <c r="AG222" s="489">
        <f t="shared" si="225"/>
        <v>0</v>
      </c>
      <c r="AH222" s="489">
        <f t="shared" si="225"/>
        <v>0</v>
      </c>
      <c r="AI222" s="489">
        <f t="shared" si="225"/>
        <v>0</v>
      </c>
      <c r="AJ222" s="489">
        <f t="shared" si="225"/>
        <v>0</v>
      </c>
      <c r="AK222" s="489">
        <f t="shared" si="225"/>
        <v>0</v>
      </c>
      <c r="AL222" s="489">
        <f t="shared" si="225"/>
        <v>0</v>
      </c>
      <c r="AM222" s="489">
        <f t="shared" si="225"/>
        <v>0</v>
      </c>
      <c r="AN222" s="489">
        <f t="shared" si="225"/>
        <v>0</v>
      </c>
      <c r="AO222" s="489">
        <f t="shared" si="225"/>
        <v>0</v>
      </c>
      <c r="AP222" s="489">
        <f t="shared" si="225"/>
        <v>0</v>
      </c>
      <c r="AQ222" s="489">
        <f t="shared" si="225"/>
        <v>0</v>
      </c>
      <c r="AR222" s="489">
        <f t="shared" si="225"/>
        <v>0</v>
      </c>
      <c r="AS222" s="489">
        <f t="shared" si="225"/>
        <v>0</v>
      </c>
      <c r="AT222" s="489">
        <f t="shared" si="225"/>
        <v>0</v>
      </c>
      <c r="AU222" s="489">
        <f t="shared" si="225"/>
        <v>0</v>
      </c>
      <c r="AV222" s="489">
        <f t="shared" si="225"/>
        <v>0</v>
      </c>
      <c r="AW222" s="489">
        <f t="shared" si="225"/>
        <v>0</v>
      </c>
      <c r="AX222" s="489">
        <f t="shared" si="225"/>
        <v>0</v>
      </c>
      <c r="AY222" s="489">
        <f t="shared" si="225"/>
        <v>0</v>
      </c>
      <c r="AZ222" s="489">
        <f t="shared" si="225"/>
        <v>0</v>
      </c>
      <c r="BA222" s="489">
        <f t="shared" si="225"/>
        <v>0</v>
      </c>
      <c r="BB222" s="489">
        <f t="shared" si="225"/>
        <v>0</v>
      </c>
      <c r="BC222" s="489">
        <f t="shared" si="225"/>
        <v>0</v>
      </c>
      <c r="BD222" s="489">
        <f t="shared" si="225"/>
        <v>0</v>
      </c>
      <c r="BE222" s="489">
        <f t="shared" si="225"/>
        <v>0</v>
      </c>
      <c r="BF222" s="489">
        <f t="shared" si="225"/>
        <v>0</v>
      </c>
      <c r="BG222" s="489">
        <f t="shared" si="225"/>
        <v>0</v>
      </c>
      <c r="BH222" s="489">
        <f t="shared" si="225"/>
        <v>0</v>
      </c>
      <c r="BI222" s="489">
        <f t="shared" si="225"/>
        <v>0</v>
      </c>
      <c r="BJ222" s="489">
        <f t="shared" si="225"/>
        <v>0</v>
      </c>
      <c r="BK222" s="489">
        <f t="shared" si="225"/>
        <v>0</v>
      </c>
      <c r="BL222" s="489">
        <f t="shared" si="225"/>
        <v>0</v>
      </c>
      <c r="BM222" s="489">
        <f t="shared" si="225"/>
        <v>0</v>
      </c>
      <c r="BN222" s="489">
        <f t="shared" si="225"/>
        <v>0</v>
      </c>
      <c r="BO222" s="489">
        <f t="shared" si="225"/>
        <v>0</v>
      </c>
      <c r="BP222" s="489">
        <f t="shared" si="225"/>
        <v>0</v>
      </c>
      <c r="BQ222" s="489">
        <f t="shared" si="225"/>
        <v>0</v>
      </c>
      <c r="BR222" s="489">
        <f t="shared" si="225"/>
        <v>0</v>
      </c>
      <c r="BS222" s="489">
        <f t="shared" ref="BS222:DV222" si="226">BS213-BS220</f>
        <v>0</v>
      </c>
      <c r="BT222" s="489">
        <f t="shared" si="226"/>
        <v>0</v>
      </c>
      <c r="BU222" s="489">
        <f t="shared" si="226"/>
        <v>0</v>
      </c>
      <c r="BV222" s="489">
        <f t="shared" si="226"/>
        <v>0</v>
      </c>
      <c r="BW222" s="489">
        <f t="shared" si="226"/>
        <v>0</v>
      </c>
      <c r="BX222" s="489">
        <f t="shared" si="226"/>
        <v>0</v>
      </c>
      <c r="BY222" s="489">
        <f t="shared" si="226"/>
        <v>0</v>
      </c>
      <c r="BZ222" s="489">
        <f t="shared" si="226"/>
        <v>0</v>
      </c>
      <c r="CA222" s="489">
        <f t="shared" si="226"/>
        <v>0</v>
      </c>
      <c r="CB222" s="489">
        <f t="shared" si="226"/>
        <v>0</v>
      </c>
      <c r="CC222" s="489">
        <f t="shared" si="226"/>
        <v>0</v>
      </c>
      <c r="CD222" s="489">
        <f t="shared" si="226"/>
        <v>0</v>
      </c>
      <c r="CE222" s="489">
        <f t="shared" si="226"/>
        <v>0</v>
      </c>
      <c r="CF222" s="489">
        <f t="shared" si="226"/>
        <v>0</v>
      </c>
      <c r="CG222" s="489">
        <f t="shared" si="226"/>
        <v>0</v>
      </c>
      <c r="CH222" s="489">
        <f t="shared" si="226"/>
        <v>0</v>
      </c>
      <c r="CI222" s="489">
        <f t="shared" si="226"/>
        <v>0</v>
      </c>
      <c r="CJ222" s="489">
        <f t="shared" si="226"/>
        <v>0</v>
      </c>
      <c r="CK222" s="489">
        <f t="shared" si="226"/>
        <v>0</v>
      </c>
      <c r="CL222" s="489">
        <f t="shared" si="226"/>
        <v>0</v>
      </c>
      <c r="CM222" s="489">
        <f t="shared" si="226"/>
        <v>0</v>
      </c>
      <c r="CN222" s="489">
        <f t="shared" si="226"/>
        <v>0</v>
      </c>
      <c r="CO222" s="489">
        <f t="shared" si="226"/>
        <v>0</v>
      </c>
      <c r="CP222" s="489">
        <f t="shared" si="226"/>
        <v>0</v>
      </c>
      <c r="CQ222" s="489">
        <f t="shared" si="226"/>
        <v>0</v>
      </c>
      <c r="CR222" s="489">
        <f t="shared" si="226"/>
        <v>0</v>
      </c>
      <c r="CS222" s="489">
        <f t="shared" si="226"/>
        <v>0</v>
      </c>
      <c r="CT222" s="489">
        <f t="shared" si="226"/>
        <v>0</v>
      </c>
      <c r="CU222" s="489">
        <f t="shared" si="226"/>
        <v>0</v>
      </c>
      <c r="CV222" s="489">
        <f t="shared" si="226"/>
        <v>0</v>
      </c>
      <c r="CW222" s="489">
        <f t="shared" si="226"/>
        <v>0</v>
      </c>
      <c r="CX222" s="489">
        <f t="shared" si="226"/>
        <v>0</v>
      </c>
      <c r="CY222" s="489">
        <f t="shared" si="226"/>
        <v>0</v>
      </c>
      <c r="CZ222" s="489">
        <f t="shared" si="226"/>
        <v>0</v>
      </c>
      <c r="DA222" s="489">
        <f t="shared" si="226"/>
        <v>0</v>
      </c>
      <c r="DB222" s="489">
        <f t="shared" si="226"/>
        <v>0</v>
      </c>
      <c r="DC222" s="489">
        <f t="shared" si="226"/>
        <v>0</v>
      </c>
      <c r="DD222" s="489">
        <f t="shared" si="226"/>
        <v>0</v>
      </c>
      <c r="DE222" s="489">
        <f t="shared" si="226"/>
        <v>0</v>
      </c>
      <c r="DF222" s="489">
        <f t="shared" si="226"/>
        <v>0</v>
      </c>
      <c r="DG222" s="489">
        <f t="shared" si="226"/>
        <v>0</v>
      </c>
      <c r="DH222" s="489">
        <f t="shared" si="226"/>
        <v>0</v>
      </c>
      <c r="DI222" s="489">
        <f t="shared" si="226"/>
        <v>0</v>
      </c>
      <c r="DJ222" s="489">
        <f t="shared" si="226"/>
        <v>0</v>
      </c>
      <c r="DK222" s="489">
        <f t="shared" si="226"/>
        <v>0</v>
      </c>
      <c r="DL222" s="489">
        <f t="shared" si="226"/>
        <v>0</v>
      </c>
      <c r="DM222" s="489">
        <f t="shared" si="226"/>
        <v>0</v>
      </c>
      <c r="DN222" s="489">
        <f t="shared" si="226"/>
        <v>0</v>
      </c>
      <c r="DO222" s="489">
        <f t="shared" si="226"/>
        <v>0</v>
      </c>
      <c r="DP222" s="489">
        <f t="shared" si="226"/>
        <v>0</v>
      </c>
      <c r="DQ222" s="489">
        <f t="shared" si="226"/>
        <v>0</v>
      </c>
      <c r="DR222" s="489">
        <f t="shared" si="226"/>
        <v>0</v>
      </c>
      <c r="DS222" s="489">
        <f t="shared" si="226"/>
        <v>0</v>
      </c>
      <c r="DT222" s="489">
        <f t="shared" si="226"/>
        <v>0</v>
      </c>
      <c r="DU222" s="489">
        <f t="shared" si="226"/>
        <v>0</v>
      </c>
      <c r="DV222" s="489">
        <f t="shared" si="226"/>
        <v>0</v>
      </c>
      <c r="DW222" s="322" t="s">
        <v>372</v>
      </c>
    </row>
    <row r="223" spans="3:127" collapsed="1" x14ac:dyDescent="0.3">
      <c r="C223" s="365"/>
      <c r="D223" s="487"/>
      <c r="E223" s="492"/>
      <c r="F223" s="492"/>
      <c r="G223" s="492"/>
      <c r="H223" s="492"/>
      <c r="I223" s="492"/>
      <c r="J223" s="492"/>
      <c r="K223" s="492"/>
      <c r="L223" s="492"/>
      <c r="M223" s="492"/>
      <c r="N223" s="492"/>
      <c r="O223" s="492"/>
      <c r="P223" s="492"/>
      <c r="Q223" s="492"/>
      <c r="R223" s="492"/>
      <c r="S223" s="492"/>
      <c r="T223" s="492"/>
      <c r="U223" s="492"/>
      <c r="V223" s="492"/>
      <c r="W223" s="492"/>
      <c r="X223" s="492"/>
      <c r="Y223" s="492"/>
      <c r="Z223" s="492"/>
      <c r="AA223" s="492"/>
      <c r="AB223" s="492"/>
      <c r="AC223" s="492"/>
      <c r="AD223" s="492"/>
      <c r="AE223" s="492"/>
      <c r="AF223" s="492"/>
      <c r="AG223" s="492"/>
      <c r="AH223" s="492"/>
      <c r="AI223" s="492"/>
      <c r="AJ223" s="492"/>
      <c r="AK223" s="492"/>
      <c r="AL223" s="492"/>
      <c r="AM223" s="492"/>
      <c r="AN223" s="492"/>
      <c r="AO223" s="492"/>
      <c r="AP223" s="492"/>
      <c r="AQ223" s="492"/>
      <c r="AR223" s="492"/>
      <c r="AS223" s="492"/>
      <c r="AT223" s="492"/>
      <c r="AU223" s="492"/>
      <c r="AV223" s="492"/>
      <c r="AW223" s="492"/>
      <c r="AX223" s="492"/>
      <c r="AY223" s="492"/>
      <c r="AZ223" s="492"/>
      <c r="BA223" s="492"/>
      <c r="BB223" s="492"/>
      <c r="BC223" s="492"/>
      <c r="BD223" s="492"/>
      <c r="BE223" s="492"/>
      <c r="BF223" s="492"/>
      <c r="BG223" s="492"/>
      <c r="BH223" s="492"/>
      <c r="BI223" s="492"/>
      <c r="BJ223" s="492"/>
      <c r="BK223" s="492"/>
      <c r="BL223" s="492"/>
      <c r="BM223" s="492"/>
      <c r="BN223" s="492"/>
      <c r="BO223" s="492"/>
      <c r="BP223" s="492"/>
      <c r="BQ223" s="492"/>
      <c r="BR223" s="492"/>
      <c r="BS223" s="492"/>
      <c r="BT223" s="492"/>
      <c r="BU223" s="492"/>
      <c r="BV223" s="492"/>
      <c r="BW223" s="492"/>
      <c r="BX223" s="492"/>
      <c r="BY223" s="492"/>
      <c r="BZ223" s="492"/>
      <c r="CA223" s="492"/>
      <c r="CB223" s="492"/>
      <c r="CC223" s="492"/>
      <c r="CD223" s="492"/>
      <c r="CE223" s="492"/>
      <c r="CF223" s="492"/>
      <c r="CG223" s="492"/>
      <c r="CH223" s="492"/>
      <c r="CI223" s="492"/>
      <c r="CJ223" s="492"/>
      <c r="CK223" s="492"/>
      <c r="CL223" s="492"/>
      <c r="CM223" s="492"/>
      <c r="CN223" s="492"/>
      <c r="CO223" s="492"/>
      <c r="CP223" s="492"/>
      <c r="CQ223" s="492"/>
      <c r="CR223" s="492"/>
      <c r="CS223" s="492"/>
      <c r="CT223" s="492"/>
      <c r="CU223" s="492"/>
      <c r="CV223" s="492"/>
      <c r="CW223" s="492"/>
      <c r="CX223" s="492"/>
      <c r="CY223" s="492"/>
      <c r="CZ223" s="492"/>
      <c r="DA223" s="492"/>
      <c r="DB223" s="492"/>
      <c r="DC223" s="492"/>
      <c r="DD223" s="492"/>
      <c r="DE223" s="492"/>
      <c r="DF223" s="492"/>
      <c r="DG223" s="492"/>
      <c r="DH223" s="492"/>
      <c r="DI223" s="492"/>
      <c r="DJ223" s="492"/>
      <c r="DK223" s="492"/>
      <c r="DL223" s="492"/>
      <c r="DM223" s="492"/>
      <c r="DN223" s="492"/>
      <c r="DO223" s="492"/>
      <c r="DP223" s="492"/>
      <c r="DQ223" s="492"/>
      <c r="DR223" s="492"/>
      <c r="DS223" s="492"/>
      <c r="DT223" s="492"/>
      <c r="DU223" s="492"/>
      <c r="DV223" s="492"/>
      <c r="DW223" s="322" t="s">
        <v>372</v>
      </c>
    </row>
    <row r="224" spans="3:127" x14ac:dyDescent="0.3">
      <c r="C224" s="365"/>
      <c r="D224" s="487"/>
      <c r="E224" s="492"/>
      <c r="F224" s="492"/>
      <c r="G224" s="492"/>
      <c r="H224" s="492"/>
      <c r="I224" s="492"/>
      <c r="J224" s="492"/>
      <c r="K224" s="492"/>
      <c r="L224" s="492"/>
      <c r="M224" s="492"/>
      <c r="N224" s="492"/>
      <c r="O224" s="492"/>
      <c r="P224" s="492"/>
      <c r="Q224" s="492"/>
      <c r="R224" s="492"/>
      <c r="S224" s="492"/>
      <c r="T224" s="492"/>
      <c r="U224" s="492"/>
      <c r="V224" s="492"/>
      <c r="W224" s="492"/>
      <c r="X224" s="492"/>
      <c r="Y224" s="492"/>
      <c r="Z224" s="492"/>
      <c r="AA224" s="492"/>
      <c r="AB224" s="492"/>
      <c r="AC224" s="492"/>
      <c r="AD224" s="492"/>
      <c r="AE224" s="492"/>
      <c r="AF224" s="492"/>
      <c r="AG224" s="492"/>
      <c r="AH224" s="492"/>
      <c r="AI224" s="492"/>
      <c r="AJ224" s="492"/>
      <c r="AK224" s="492"/>
      <c r="AL224" s="492"/>
      <c r="AM224" s="492"/>
      <c r="AN224" s="492"/>
      <c r="AO224" s="492"/>
      <c r="AP224" s="492"/>
      <c r="AQ224" s="492"/>
      <c r="AR224" s="492"/>
      <c r="AS224" s="492"/>
      <c r="AT224" s="492"/>
      <c r="AU224" s="492"/>
      <c r="AV224" s="492"/>
      <c r="AW224" s="492"/>
      <c r="AX224" s="492"/>
      <c r="AY224" s="492"/>
      <c r="AZ224" s="492"/>
      <c r="BA224" s="492"/>
      <c r="BB224" s="492"/>
      <c r="BC224" s="492"/>
      <c r="BD224" s="492"/>
      <c r="BE224" s="492"/>
      <c r="BF224" s="492"/>
      <c r="BG224" s="492"/>
      <c r="BH224" s="492"/>
      <c r="BI224" s="492"/>
      <c r="BJ224" s="492"/>
      <c r="BK224" s="492"/>
      <c r="BL224" s="492"/>
      <c r="BM224" s="492"/>
      <c r="BN224" s="492"/>
      <c r="BO224" s="492"/>
      <c r="BP224" s="492"/>
      <c r="BQ224" s="492"/>
      <c r="BR224" s="492"/>
      <c r="BS224" s="492"/>
      <c r="BT224" s="492"/>
      <c r="BU224" s="492"/>
      <c r="BV224" s="492"/>
      <c r="BW224" s="492"/>
      <c r="BX224" s="492"/>
      <c r="BY224" s="492"/>
      <c r="BZ224" s="492"/>
      <c r="CA224" s="492"/>
      <c r="CB224" s="492"/>
      <c r="CC224" s="492"/>
      <c r="CD224" s="492"/>
      <c r="CE224" s="492"/>
      <c r="CF224" s="492"/>
      <c r="CG224" s="492"/>
      <c r="CH224" s="492"/>
      <c r="CI224" s="492"/>
      <c r="CJ224" s="492"/>
      <c r="CK224" s="492"/>
      <c r="CL224" s="492"/>
      <c r="CM224" s="492"/>
      <c r="CN224" s="492"/>
      <c r="CO224" s="492"/>
      <c r="CP224" s="492"/>
      <c r="CQ224" s="492"/>
      <c r="CR224" s="492"/>
      <c r="CS224" s="492"/>
      <c r="CT224" s="492"/>
      <c r="CU224" s="492"/>
      <c r="CV224" s="492"/>
      <c r="CW224" s="492"/>
      <c r="CX224" s="492"/>
      <c r="CY224" s="492"/>
      <c r="CZ224" s="492"/>
      <c r="DA224" s="492"/>
      <c r="DB224" s="492"/>
      <c r="DC224" s="492"/>
      <c r="DD224" s="492"/>
      <c r="DE224" s="492"/>
      <c r="DF224" s="492"/>
      <c r="DG224" s="492"/>
      <c r="DH224" s="492"/>
      <c r="DI224" s="492"/>
      <c r="DJ224" s="492"/>
      <c r="DK224" s="492"/>
      <c r="DL224" s="492"/>
      <c r="DM224" s="492"/>
      <c r="DN224" s="492"/>
      <c r="DO224" s="492"/>
      <c r="DP224" s="492"/>
      <c r="DQ224" s="492"/>
      <c r="DR224" s="492"/>
      <c r="DS224" s="492"/>
      <c r="DT224" s="492"/>
      <c r="DU224" s="492"/>
      <c r="DV224" s="492"/>
      <c r="DW224" s="322" t="s">
        <v>372</v>
      </c>
    </row>
  </sheetData>
  <conditionalFormatting sqref="D15:E15">
    <cfRule type="expression" dxfId="1" priority="1">
      <formula>#REF!=1</formula>
    </cfRule>
  </conditionalFormatting>
  <conditionalFormatting sqref="D22:E22">
    <cfRule type="expression" dxfId="0" priority="2">
      <formula>#REF!=1</formula>
    </cfRule>
  </conditionalFormatting>
  <dataValidations disablePrompts="1" count="1">
    <dataValidation type="list" allowBlank="1" showInputMessage="1" showErrorMessage="1" sqref="C27" xr:uid="{8D77F8B6-B088-4A28-9F54-0D6EABBF1C20}">
      <formula1>"0,1"</formula1>
    </dataValidation>
  </dataValidations>
  <pageMargins left="0.7" right="0.7" top="0.75" bottom="0.75" header="0.3" footer="0.3"/>
  <pageSetup scale="1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7204-D707-4C0B-A268-72AE6A26E421}">
  <sheetPr>
    <tabColor theme="0" tint="-4.9989318521683403E-2"/>
    <pageSetUpPr fitToPage="1"/>
  </sheetPr>
  <dimension ref="B1:U55"/>
  <sheetViews>
    <sheetView showGridLines="0" view="pageBreakPreview" zoomScale="85" zoomScaleNormal="100" zoomScaleSheetLayoutView="85" workbookViewId="0"/>
  </sheetViews>
  <sheetFormatPr defaultColWidth="9.140625" defaultRowHeight="16.5" outlineLevelRow="1" outlineLevelCol="1" x14ac:dyDescent="0.3"/>
  <cols>
    <col min="1" max="1" width="2.140625" style="322" customWidth="1"/>
    <col min="2" max="2" width="14" style="322" customWidth="1"/>
    <col min="3" max="3" width="14.28515625" style="322" bestFit="1" customWidth="1"/>
    <col min="4" max="4" width="20.7109375" style="322" customWidth="1" outlineLevel="1"/>
    <col min="5" max="9" width="20.7109375" style="322" customWidth="1"/>
    <col min="10" max="19" width="20.7109375" style="322" hidden="1" customWidth="1" outlineLevel="1"/>
    <col min="20" max="20" width="20.7109375" style="322" customWidth="1" collapsed="1"/>
    <col min="21" max="33" width="18.140625" style="322" bestFit="1" customWidth="1"/>
    <col min="34" max="16384" width="9.140625" style="322"/>
  </cols>
  <sheetData>
    <row r="1" spans="2:21" ht="17.25" thickBot="1" x14ac:dyDescent="0.35">
      <c r="U1" s="322" t="s">
        <v>372</v>
      </c>
    </row>
    <row r="2" spans="2:21" ht="24" thickTop="1" x14ac:dyDescent="0.35">
      <c r="B2" s="277" t="str">
        <f>'Promote Cash Flow'!C2</f>
        <v>Granite Park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2" t="s">
        <v>372</v>
      </c>
    </row>
    <row r="3" spans="2:21" ht="17.25" thickBot="1" x14ac:dyDescent="0.35">
      <c r="B3" s="326" t="s">
        <v>386</v>
      </c>
      <c r="C3" s="327"/>
      <c r="D3" s="327"/>
      <c r="E3" s="327"/>
      <c r="F3" s="327"/>
      <c r="G3" s="327"/>
      <c r="H3" s="327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493">
        <f ca="1">TODAY()</f>
        <v>46065</v>
      </c>
      <c r="U3" s="322" t="s">
        <v>372</v>
      </c>
    </row>
    <row r="4" spans="2:21" ht="15" customHeight="1" thickTop="1" x14ac:dyDescent="0.3">
      <c r="U4" s="322" t="s">
        <v>372</v>
      </c>
    </row>
    <row r="5" spans="2:21" ht="17.25" customHeight="1" x14ac:dyDescent="0.3">
      <c r="B5" s="494" t="s">
        <v>384</v>
      </c>
      <c r="C5" s="495"/>
      <c r="D5" s="527"/>
      <c r="E5" s="528"/>
      <c r="F5" s="528"/>
      <c r="G5" s="528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22" t="s">
        <v>372</v>
      </c>
    </row>
    <row r="6" spans="2:21" ht="17.25" customHeight="1" x14ac:dyDescent="0.3">
      <c r="B6" s="496" t="s">
        <v>385</v>
      </c>
      <c r="C6" s="364" t="s">
        <v>412</v>
      </c>
      <c r="D6" s="365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22" t="s">
        <v>372</v>
      </c>
    </row>
    <row r="7" spans="2:21" x14ac:dyDescent="0.3">
      <c r="B7" s="497" t="str">
        <f>'Promote Cash Flow'!C31</f>
        <v>LP</v>
      </c>
      <c r="C7" s="367">
        <f>'Promote Cash Flow'!D31</f>
        <v>0.75</v>
      </c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22" t="s">
        <v>372</v>
      </c>
    </row>
    <row r="8" spans="2:21" x14ac:dyDescent="0.3">
      <c r="B8" s="498" t="str">
        <f>'Promote Cash Flow'!C32</f>
        <v>Granite Park</v>
      </c>
      <c r="C8" s="370">
        <f>'Promote Cash Flow'!D32</f>
        <v>0.25</v>
      </c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22" t="s">
        <v>372</v>
      </c>
    </row>
    <row r="9" spans="2:21" ht="17.25" thickBot="1" x14ac:dyDescent="0.35">
      <c r="B9" s="499" t="s">
        <v>65</v>
      </c>
      <c r="C9" s="373">
        <f>SUM(C7:C8)</f>
        <v>1</v>
      </c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22" t="s">
        <v>372</v>
      </c>
    </row>
    <row r="10" spans="2:21" ht="17.25" thickTop="1" x14ac:dyDescent="0.3">
      <c r="B10" s="360"/>
      <c r="C10" s="360"/>
      <c r="D10" s="360"/>
      <c r="E10" s="360"/>
      <c r="F10" s="360"/>
      <c r="G10" s="374"/>
      <c r="H10" s="374"/>
      <c r="I10" s="360"/>
      <c r="J10" s="365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22" t="s">
        <v>372</v>
      </c>
    </row>
    <row r="11" spans="2:21" x14ac:dyDescent="0.3">
      <c r="B11" s="375" t="s">
        <v>413</v>
      </c>
      <c r="C11" s="403"/>
      <c r="D11" s="403"/>
      <c r="E11" s="403"/>
      <c r="F11" s="403"/>
      <c r="G11" s="403"/>
      <c r="H11" s="374"/>
      <c r="I11" s="360"/>
      <c r="J11" s="365"/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22" t="s">
        <v>372</v>
      </c>
    </row>
    <row r="12" spans="2:21" x14ac:dyDescent="0.3">
      <c r="B12" s="376"/>
      <c r="C12" s="500"/>
      <c r="D12" s="378"/>
      <c r="E12" s="501"/>
      <c r="F12" s="500" t="s">
        <v>357</v>
      </c>
      <c r="G12" s="379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0"/>
      <c r="T12" s="360"/>
      <c r="U12" s="322" t="s">
        <v>372</v>
      </c>
    </row>
    <row r="13" spans="2:21" x14ac:dyDescent="0.3">
      <c r="B13" s="502" t="s">
        <v>389</v>
      </c>
      <c r="C13" s="503" t="s">
        <v>356</v>
      </c>
      <c r="D13" s="504" t="s">
        <v>290</v>
      </c>
      <c r="E13" s="505" t="s">
        <v>360</v>
      </c>
      <c r="F13" s="503" t="str">
        <f>'Partnership Terms + Fees'!F7</f>
        <v>LP</v>
      </c>
      <c r="G13" s="506" t="str">
        <f>'Partnership Terms + Fees'!G7</f>
        <v>Granite Park</v>
      </c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22" t="s">
        <v>372</v>
      </c>
    </row>
    <row r="14" spans="2:21" x14ac:dyDescent="0.3">
      <c r="B14" s="406" t="str">
        <f>'Promote Cash Flow'!C38</f>
        <v>Tier I</v>
      </c>
      <c r="C14" s="391">
        <f>'Promote Cash Flow'!D38</f>
        <v>0.08</v>
      </c>
      <c r="D14" s="507">
        <f>'Promote Cash Flow'!F38</f>
        <v>0</v>
      </c>
      <c r="E14" s="536" t="str">
        <f>'Promote Cash Flow'!G38</f>
        <v>Pari-Passu</v>
      </c>
      <c r="F14" s="391">
        <f>'Promote Cash Flow'!H38</f>
        <v>0.75</v>
      </c>
      <c r="G14" s="370">
        <f>'Promote Cash Flow'!I38</f>
        <v>0.25</v>
      </c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22" t="s">
        <v>372</v>
      </c>
    </row>
    <row r="15" spans="2:21" x14ac:dyDescent="0.3">
      <c r="B15" s="406" t="s">
        <v>363</v>
      </c>
      <c r="C15" s="391">
        <f>'Promote Cash Flow'!D39</f>
        <v>0.15</v>
      </c>
      <c r="D15" s="507">
        <f>'Promote Cash Flow'!F39</f>
        <v>1.7</v>
      </c>
      <c r="E15" s="394">
        <f>'Promote Cash Flow'!G39</f>
        <v>0.2</v>
      </c>
      <c r="F15" s="391">
        <f>'Promote Cash Flow'!H39</f>
        <v>0.72000000000000008</v>
      </c>
      <c r="G15" s="370">
        <f>'Promote Cash Flow'!I39</f>
        <v>0.27999999999999992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22" t="s">
        <v>372</v>
      </c>
    </row>
    <row r="16" spans="2:21" x14ac:dyDescent="0.3">
      <c r="B16" s="406" t="s">
        <v>364</v>
      </c>
      <c r="C16" s="391">
        <f>'Promote Cash Flow'!D40</f>
        <v>0.2</v>
      </c>
      <c r="D16" s="507">
        <f>'Promote Cash Flow'!F40</f>
        <v>2</v>
      </c>
      <c r="E16" s="394">
        <f>'Promote Cash Flow'!G40</f>
        <v>0.25</v>
      </c>
      <c r="F16" s="391">
        <f>'Promote Cash Flow'!H40</f>
        <v>0.67500000000000004</v>
      </c>
      <c r="G16" s="370">
        <f>'Promote Cash Flow'!I40</f>
        <v>0.32499999999999996</v>
      </c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22" t="s">
        <v>372</v>
      </c>
    </row>
    <row r="17" spans="2:21" outlineLevel="1" x14ac:dyDescent="0.3">
      <c r="B17" s="406" t="s">
        <v>365</v>
      </c>
      <c r="C17" s="391">
        <f>'Promote Cash Flow'!D41</f>
        <v>1.5</v>
      </c>
      <c r="D17" s="393">
        <f>'Promote Cash Flow'!F41</f>
        <v>0</v>
      </c>
      <c r="E17" s="394">
        <f>'Promote Cash Flow'!G41</f>
        <v>0.3</v>
      </c>
      <c r="F17" s="391">
        <f>'Promote Cash Flow'!H41</f>
        <v>0.63</v>
      </c>
      <c r="G17" s="370">
        <f>'Promote Cash Flow'!I41</f>
        <v>0.37</v>
      </c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22" t="s">
        <v>372</v>
      </c>
    </row>
    <row r="18" spans="2:21" x14ac:dyDescent="0.3">
      <c r="B18" s="508" t="s">
        <v>366</v>
      </c>
      <c r="C18" s="399"/>
      <c r="D18" s="397">
        <f>'Promote Cash Flow'!F42</f>
        <v>0</v>
      </c>
      <c r="E18" s="398">
        <f>'Promote Cash Flow'!G41</f>
        <v>0.3</v>
      </c>
      <c r="F18" s="399">
        <f>'Promote Cash Flow'!H42</f>
        <v>0.58500000000000008</v>
      </c>
      <c r="G18" s="400">
        <f>'Promote Cash Flow'!I42</f>
        <v>0.41499999999999992</v>
      </c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22" t="s">
        <v>372</v>
      </c>
    </row>
    <row r="19" spans="2:21" x14ac:dyDescent="0.3">
      <c r="B19" s="360"/>
      <c r="C19" s="360"/>
      <c r="D19" s="360"/>
      <c r="E19" s="360"/>
      <c r="F19" s="360"/>
      <c r="G19" s="360"/>
      <c r="H19" s="360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22" t="s">
        <v>372</v>
      </c>
    </row>
    <row r="20" spans="2:21" x14ac:dyDescent="0.3">
      <c r="B20" s="509" t="str">
        <f>'Promote Cash Flow'!C44</f>
        <v>LP Cash Flow Summary</v>
      </c>
      <c r="C20" s="510"/>
      <c r="D20" s="510" t="s">
        <v>414</v>
      </c>
      <c r="E20" s="511">
        <v>1</v>
      </c>
      <c r="F20" s="511">
        <f t="shared" ref="F20:S20" si="0">E20+1</f>
        <v>2</v>
      </c>
      <c r="G20" s="511">
        <f t="shared" si="0"/>
        <v>3</v>
      </c>
      <c r="H20" s="511">
        <f t="shared" si="0"/>
        <v>4</v>
      </c>
      <c r="I20" s="511">
        <f t="shared" si="0"/>
        <v>5</v>
      </c>
      <c r="J20" s="511">
        <f t="shared" si="0"/>
        <v>6</v>
      </c>
      <c r="K20" s="511">
        <f>J20+1</f>
        <v>7</v>
      </c>
      <c r="L20" s="511">
        <f>K20+1</f>
        <v>8</v>
      </c>
      <c r="M20" s="511">
        <f t="shared" si="0"/>
        <v>9</v>
      </c>
      <c r="N20" s="511">
        <f t="shared" si="0"/>
        <v>10</v>
      </c>
      <c r="O20" s="511">
        <f t="shared" si="0"/>
        <v>11</v>
      </c>
      <c r="P20" s="511">
        <f t="shared" si="0"/>
        <v>12</v>
      </c>
      <c r="Q20" s="511">
        <f t="shared" si="0"/>
        <v>13</v>
      </c>
      <c r="R20" s="511">
        <f t="shared" si="0"/>
        <v>14</v>
      </c>
      <c r="S20" s="511">
        <f t="shared" si="0"/>
        <v>15</v>
      </c>
      <c r="T20" s="512" t="s">
        <v>65</v>
      </c>
      <c r="U20" s="322" t="s">
        <v>372</v>
      </c>
    </row>
    <row r="21" spans="2:21" x14ac:dyDescent="0.3">
      <c r="B21" s="406" t="s">
        <v>361</v>
      </c>
      <c r="C21" s="407">
        <f>SUM(D21:M21)</f>
        <v>504564.76249813032</v>
      </c>
      <c r="D21" s="513">
        <f>'Promote Cash Flow'!F45</f>
        <v>-1367250</v>
      </c>
      <c r="E21" s="513">
        <f>SUMIF('Promote Cash Flow'!$G$7:$DV$7,E$20,'Promote Cash Flow'!$G45:$DV45)</f>
        <v>115867.49249999999</v>
      </c>
      <c r="F21" s="513">
        <f>SUMIF('Promote Cash Flow'!$G$7:$DV$7,F$20,'Promote Cash Flow'!$G45:$DV45)</f>
        <v>123917.20477500001</v>
      </c>
      <c r="G21" s="513">
        <f>SUMIF('Promote Cash Flow'!$G$7:$DV$7,G$20,'Promote Cash Flow'!$G45:$DV45)</f>
        <v>132208.40841824995</v>
      </c>
      <c r="H21" s="513">
        <f>SUMIF('Promote Cash Flow'!$G$7:$DV$7,H$20,'Promote Cash Flow'!$G45:$DV45)</f>
        <v>140748.34817079746</v>
      </c>
      <c r="I21" s="513">
        <f>SUMIF('Promote Cash Flow'!$G$7:$DV$7,I$20,'Promote Cash Flow'!$G45:$DV45)</f>
        <v>1359073.308634083</v>
      </c>
      <c r="J21" s="513">
        <f>SUMIF('Promote Cash Flow'!$G$7:$DV$7,J$20,'Promote Cash Flow'!$G45:$DV45)</f>
        <v>0</v>
      </c>
      <c r="K21" s="513">
        <f>SUMIF('Promote Cash Flow'!$G$7:$DV$7,K$20,'Promote Cash Flow'!$G45:$DV45)</f>
        <v>0</v>
      </c>
      <c r="L21" s="513">
        <f>SUMIF('Promote Cash Flow'!$G$7:$DV$7,L$20,'Promote Cash Flow'!$G45:$DV45)</f>
        <v>0</v>
      </c>
      <c r="M21" s="513">
        <f>SUMIF('Promote Cash Flow'!$G$7:$DV$7,M$20,'Promote Cash Flow'!$G45:$DV45)</f>
        <v>0</v>
      </c>
      <c r="N21" s="513">
        <f>SUMIF('Promote Cash Flow'!$G$7:$DV$7,N$20,'Promote Cash Flow'!$G45:$DV45)</f>
        <v>0</v>
      </c>
      <c r="O21" s="513">
        <f>SUMIF('Promote Cash Flow'!$G$7:$DV$7,O$20,'Promote Cash Flow'!$G45:$DV45)</f>
        <v>0</v>
      </c>
      <c r="P21" s="513">
        <f>SUMIF('Promote Cash Flow'!$G$7:$DV$7,P$20,'Promote Cash Flow'!$G45:$DV45)</f>
        <v>0</v>
      </c>
      <c r="Q21" s="513">
        <f>SUMIF('Promote Cash Flow'!$G$7:$DV$7,Q$20,'Promote Cash Flow'!$G45:$DV45)</f>
        <v>0</v>
      </c>
      <c r="R21" s="513">
        <f>SUMIF('Promote Cash Flow'!$G$7:$DV$7,R$20,'Promote Cash Flow'!$G45:$DV45)</f>
        <v>0</v>
      </c>
      <c r="S21" s="513">
        <f>SUMIF('Promote Cash Flow'!$G$7:$DV$7,S$20,'Promote Cash Flow'!$G45:$DV45)</f>
        <v>0</v>
      </c>
      <c r="T21" s="514">
        <f t="shared" ref="T21:T26" si="1">SUM(D21:S21)</f>
        <v>504564.76249813032</v>
      </c>
      <c r="U21" s="322" t="s">
        <v>372</v>
      </c>
    </row>
    <row r="22" spans="2:21" x14ac:dyDescent="0.3">
      <c r="B22" s="406" t="s">
        <v>363</v>
      </c>
      <c r="C22" s="410">
        <f>SUM(D22:M22)</f>
        <v>598971.85878531402</v>
      </c>
      <c r="D22" s="412">
        <f>'Promote Cash Flow'!F46</f>
        <v>0</v>
      </c>
      <c r="E22" s="412">
        <f>SUMIF('Promote Cash Flow'!$G$7:$DV$7,E$20,'Promote Cash Flow'!$G46:$DV46)</f>
        <v>0</v>
      </c>
      <c r="F22" s="412">
        <f>SUMIF('Promote Cash Flow'!$G$7:$DV$7,F$20,'Promote Cash Flow'!$G46:$DV46)</f>
        <v>0</v>
      </c>
      <c r="G22" s="412">
        <f>SUMIF('Promote Cash Flow'!$G$7:$DV$7,G$20,'Promote Cash Flow'!$G46:$DV46)</f>
        <v>0</v>
      </c>
      <c r="H22" s="412">
        <f>SUMIF('Promote Cash Flow'!$G$7:$DV$7,H$20,'Promote Cash Flow'!$G46:$DV46)</f>
        <v>0</v>
      </c>
      <c r="I22" s="412">
        <f>SUMIF('Promote Cash Flow'!$G$7:$DV$7,I$20,'Promote Cash Flow'!$G46:$DV46)</f>
        <v>598971.85878531402</v>
      </c>
      <c r="J22" s="412">
        <f>SUMIF('Promote Cash Flow'!$G$7:$DV$7,J$20,'Promote Cash Flow'!$G46:$DV46)</f>
        <v>0</v>
      </c>
      <c r="K22" s="412">
        <f>SUMIF('Promote Cash Flow'!$G$7:$DV$7,K$20,'Promote Cash Flow'!$G46:$DV46)</f>
        <v>0</v>
      </c>
      <c r="L22" s="412">
        <f>SUMIF('Promote Cash Flow'!$G$7:$DV$7,L$20,'Promote Cash Flow'!$G46:$DV46)</f>
        <v>0</v>
      </c>
      <c r="M22" s="412">
        <f>SUMIF('Promote Cash Flow'!$G$7:$DV$7,M$20,'Promote Cash Flow'!$G46:$DV46)</f>
        <v>0</v>
      </c>
      <c r="N22" s="412">
        <f>SUMIF('Promote Cash Flow'!$G$7:$DV$7,N$20,'Promote Cash Flow'!$G46:$DV46)</f>
        <v>0</v>
      </c>
      <c r="O22" s="412">
        <f>SUMIF('Promote Cash Flow'!$G$7:$DV$7,O$20,'Promote Cash Flow'!$G46:$DV46)</f>
        <v>0</v>
      </c>
      <c r="P22" s="412">
        <f>SUMIF('Promote Cash Flow'!$G$7:$DV$7,P$20,'Promote Cash Flow'!$G46:$DV46)</f>
        <v>0</v>
      </c>
      <c r="Q22" s="412">
        <f>SUMIF('Promote Cash Flow'!$G$7:$DV$7,Q$20,'Promote Cash Flow'!$G46:$DV46)</f>
        <v>0</v>
      </c>
      <c r="R22" s="412">
        <f>SUMIF('Promote Cash Flow'!$G$7:$DV$7,R$20,'Promote Cash Flow'!$G46:$DV46)</f>
        <v>0</v>
      </c>
      <c r="S22" s="412">
        <f>SUMIF('Promote Cash Flow'!$G$7:$DV$7,S$20,'Promote Cash Flow'!$G46:$DV46)</f>
        <v>0</v>
      </c>
      <c r="T22" s="515">
        <f t="shared" si="1"/>
        <v>598971.85878531402</v>
      </c>
      <c r="U22" s="322" t="s">
        <v>372</v>
      </c>
    </row>
    <row r="23" spans="2:21" x14ac:dyDescent="0.3">
      <c r="B23" s="406" t="s">
        <v>364</v>
      </c>
      <c r="C23" s="410">
        <f>SUM(D23:M23)</f>
        <v>536371.61777112889</v>
      </c>
      <c r="D23" s="412">
        <f>'Promote Cash Flow'!F47</f>
        <v>0</v>
      </c>
      <c r="E23" s="412">
        <f>SUMIF('Promote Cash Flow'!$G$7:$DV$7,E$20,'Promote Cash Flow'!$G47:$DV47)</f>
        <v>0</v>
      </c>
      <c r="F23" s="412">
        <f>SUMIF('Promote Cash Flow'!$G$7:$DV$7,F$20,'Promote Cash Flow'!$G47:$DV47)</f>
        <v>0</v>
      </c>
      <c r="G23" s="412">
        <f>SUMIF('Promote Cash Flow'!$G$7:$DV$7,G$20,'Promote Cash Flow'!$G47:$DV47)</f>
        <v>0</v>
      </c>
      <c r="H23" s="412">
        <f>SUMIF('Promote Cash Flow'!$G$7:$DV$7,H$20,'Promote Cash Flow'!$G47:$DV47)</f>
        <v>0</v>
      </c>
      <c r="I23" s="412">
        <f>SUMIF('Promote Cash Flow'!$G$7:$DV$7,I$20,'Promote Cash Flow'!$G47:$DV47)</f>
        <v>536371.61777112889</v>
      </c>
      <c r="J23" s="412">
        <f>SUMIF('Promote Cash Flow'!$G$7:$DV$7,J$20,'Promote Cash Flow'!$G47:$DV47)</f>
        <v>0</v>
      </c>
      <c r="K23" s="412">
        <f>SUMIF('Promote Cash Flow'!$G$7:$DV$7,K$20,'Promote Cash Flow'!$G47:$DV47)</f>
        <v>0</v>
      </c>
      <c r="L23" s="412">
        <f>SUMIF('Promote Cash Flow'!$G$7:$DV$7,L$20,'Promote Cash Flow'!$G47:$DV47)</f>
        <v>0</v>
      </c>
      <c r="M23" s="412">
        <f>SUMIF('Promote Cash Flow'!$G$7:$DV$7,M$20,'Promote Cash Flow'!$G47:$DV47)</f>
        <v>0</v>
      </c>
      <c r="N23" s="412">
        <f>SUMIF('Promote Cash Flow'!$G$7:$DV$7,N$20,'Promote Cash Flow'!$G47:$DV47)</f>
        <v>0</v>
      </c>
      <c r="O23" s="412">
        <f>SUMIF('Promote Cash Flow'!$G$7:$DV$7,O$20,'Promote Cash Flow'!$G47:$DV47)</f>
        <v>0</v>
      </c>
      <c r="P23" s="412">
        <f>SUMIF('Promote Cash Flow'!$G$7:$DV$7,P$20,'Promote Cash Flow'!$G47:$DV47)</f>
        <v>0</v>
      </c>
      <c r="Q23" s="412">
        <f>SUMIF('Promote Cash Flow'!$G$7:$DV$7,Q$20,'Promote Cash Flow'!$G47:$DV47)</f>
        <v>0</v>
      </c>
      <c r="R23" s="412">
        <f>SUMIF('Promote Cash Flow'!$G$7:$DV$7,R$20,'Promote Cash Flow'!$G47:$DV47)</f>
        <v>0</v>
      </c>
      <c r="S23" s="412">
        <f>SUMIF('Promote Cash Flow'!$G$7:$DV$7,S$20,'Promote Cash Flow'!$G47:$DV47)</f>
        <v>0</v>
      </c>
      <c r="T23" s="515">
        <f t="shared" si="1"/>
        <v>536371.61777112889</v>
      </c>
      <c r="U23" s="322" t="s">
        <v>372</v>
      </c>
    </row>
    <row r="24" spans="2:21" outlineLevel="1" x14ac:dyDescent="0.3">
      <c r="B24" s="406" t="s">
        <v>365</v>
      </c>
      <c r="C24" s="410">
        <f>SUM(D24:M24)</f>
        <v>139624.05376643315</v>
      </c>
      <c r="D24" s="412">
        <f>'Promote Cash Flow'!F48</f>
        <v>0</v>
      </c>
      <c r="E24" s="412">
        <f>SUMIF('Promote Cash Flow'!$G$7:$DV$7,E$20,'Promote Cash Flow'!$G48:$DV48)</f>
        <v>0</v>
      </c>
      <c r="F24" s="412">
        <f>SUMIF('Promote Cash Flow'!$G$7:$DV$7,F$20,'Promote Cash Flow'!$G48:$DV48)</f>
        <v>0</v>
      </c>
      <c r="G24" s="412">
        <f>SUMIF('Promote Cash Flow'!$G$7:$DV$7,G$20,'Promote Cash Flow'!$G48:$DV48)</f>
        <v>0</v>
      </c>
      <c r="H24" s="412">
        <f>SUMIF('Promote Cash Flow'!$G$7:$DV$7,H$20,'Promote Cash Flow'!$G48:$DV48)</f>
        <v>0</v>
      </c>
      <c r="I24" s="412">
        <f>SUMIF('Promote Cash Flow'!$G$7:$DV$7,I$20,'Promote Cash Flow'!$G48:$DV48)</f>
        <v>139624.05376643315</v>
      </c>
      <c r="J24" s="412">
        <f>SUMIF('Promote Cash Flow'!$G$7:$DV$7,J$20,'Promote Cash Flow'!$G48:$DV48)</f>
        <v>0</v>
      </c>
      <c r="K24" s="412">
        <f>SUMIF('Promote Cash Flow'!$G$7:$DV$7,K$20,'Promote Cash Flow'!$G48:$DV48)</f>
        <v>0</v>
      </c>
      <c r="L24" s="412">
        <f>SUMIF('Promote Cash Flow'!$G$7:$DV$7,L$20,'Promote Cash Flow'!$G48:$DV48)</f>
        <v>0</v>
      </c>
      <c r="M24" s="412">
        <f>SUMIF('Promote Cash Flow'!$G$7:$DV$7,M$20,'Promote Cash Flow'!$G48:$DV48)</f>
        <v>0</v>
      </c>
      <c r="N24" s="412">
        <f>SUMIF('Promote Cash Flow'!$G$7:$DV$7,N$20,'Promote Cash Flow'!$G48:$DV48)</f>
        <v>0</v>
      </c>
      <c r="O24" s="412">
        <f>SUMIF('Promote Cash Flow'!$G$7:$DV$7,O$20,'Promote Cash Flow'!$G48:$DV48)</f>
        <v>0</v>
      </c>
      <c r="P24" s="412">
        <f>SUMIF('Promote Cash Flow'!$G$7:$DV$7,P$20,'Promote Cash Flow'!$G48:$DV48)</f>
        <v>0</v>
      </c>
      <c r="Q24" s="412">
        <f>SUMIF('Promote Cash Flow'!$G$7:$DV$7,Q$20,'Promote Cash Flow'!$G48:$DV48)</f>
        <v>0</v>
      </c>
      <c r="R24" s="412">
        <f>SUMIF('Promote Cash Flow'!$G$7:$DV$7,R$20,'Promote Cash Flow'!$G48:$DV48)</f>
        <v>0</v>
      </c>
      <c r="S24" s="412">
        <f>SUMIF('Promote Cash Flow'!$G$7:$DV$7,S$20,'Promote Cash Flow'!$G48:$DV48)</f>
        <v>0</v>
      </c>
      <c r="T24" s="515">
        <f t="shared" si="1"/>
        <v>139624.05376643315</v>
      </c>
      <c r="U24" s="322" t="s">
        <v>372</v>
      </c>
    </row>
    <row r="25" spans="2:21" x14ac:dyDescent="0.3">
      <c r="B25" s="406" t="s">
        <v>366</v>
      </c>
      <c r="C25" s="410">
        <f>SUM(D25:M25)</f>
        <v>0</v>
      </c>
      <c r="D25" s="412">
        <f>'Promote Cash Flow'!F49</f>
        <v>0</v>
      </c>
      <c r="E25" s="412">
        <f>SUMIF('Promote Cash Flow'!$G$7:$DV$7,E$20,'Promote Cash Flow'!$G49:$DV49)</f>
        <v>0</v>
      </c>
      <c r="F25" s="412">
        <f>SUMIF('Promote Cash Flow'!$G$7:$DV$7,F$20,'Promote Cash Flow'!$G49:$DV49)</f>
        <v>0</v>
      </c>
      <c r="G25" s="412">
        <f>SUMIF('Promote Cash Flow'!$G$7:$DV$7,G$20,'Promote Cash Flow'!$G49:$DV49)</f>
        <v>0</v>
      </c>
      <c r="H25" s="412">
        <f>SUMIF('Promote Cash Flow'!$G$7:$DV$7,H$20,'Promote Cash Flow'!$G49:$DV49)</f>
        <v>0</v>
      </c>
      <c r="I25" s="412">
        <f>SUMIF('Promote Cash Flow'!$G$7:$DV$7,I$20,'Promote Cash Flow'!$G49:$DV49)</f>
        <v>0</v>
      </c>
      <c r="J25" s="412">
        <f>SUMIF('Promote Cash Flow'!$G$7:$DV$7,J$20,'Promote Cash Flow'!$G49:$DV49)</f>
        <v>0</v>
      </c>
      <c r="K25" s="412">
        <f>SUMIF('Promote Cash Flow'!$G$7:$DV$7,K$20,'Promote Cash Flow'!$G49:$DV49)</f>
        <v>0</v>
      </c>
      <c r="L25" s="412">
        <f>SUMIF('Promote Cash Flow'!$G$7:$DV$7,L$20,'Promote Cash Flow'!$G49:$DV49)</f>
        <v>0</v>
      </c>
      <c r="M25" s="412">
        <f>SUMIF('Promote Cash Flow'!$G$7:$DV$7,M$20,'Promote Cash Flow'!$G49:$DV49)</f>
        <v>0</v>
      </c>
      <c r="N25" s="412">
        <f>SUMIF('Promote Cash Flow'!$G$7:$DV$7,N$20,'Promote Cash Flow'!$G49:$DV49)</f>
        <v>0</v>
      </c>
      <c r="O25" s="412">
        <f>SUMIF('Promote Cash Flow'!$G$7:$DV$7,O$20,'Promote Cash Flow'!$G49:$DV49)</f>
        <v>0</v>
      </c>
      <c r="P25" s="412">
        <f>SUMIF('Promote Cash Flow'!$G$7:$DV$7,P$20,'Promote Cash Flow'!$G49:$DV49)</f>
        <v>0</v>
      </c>
      <c r="Q25" s="412">
        <f>SUMIF('Promote Cash Flow'!$G$7:$DV$7,Q$20,'Promote Cash Flow'!$G49:$DV49)</f>
        <v>0</v>
      </c>
      <c r="R25" s="412">
        <f>SUMIF('Promote Cash Flow'!$G$7:$DV$7,R$20,'Promote Cash Flow'!$G49:$DV49)</f>
        <v>0</v>
      </c>
      <c r="S25" s="412">
        <f>SUMIF('Promote Cash Flow'!$G$7:$DV$7,S$20,'Promote Cash Flow'!$G49:$DV49)</f>
        <v>0</v>
      </c>
      <c r="T25" s="515">
        <f t="shared" si="1"/>
        <v>0</v>
      </c>
      <c r="U25" s="322" t="s">
        <v>372</v>
      </c>
    </row>
    <row r="26" spans="2:21" ht="17.25" thickBot="1" x14ac:dyDescent="0.35">
      <c r="B26" s="499" t="s">
        <v>65</v>
      </c>
      <c r="C26" s="413">
        <f>SUM(C21:C25)</f>
        <v>1779532.2928210064</v>
      </c>
      <c r="D26" s="415">
        <f t="shared" ref="D26:S26" si="2">SUM(D21:D25)</f>
        <v>-1367250</v>
      </c>
      <c r="E26" s="415">
        <f t="shared" si="2"/>
        <v>115867.49249999999</v>
      </c>
      <c r="F26" s="415">
        <f t="shared" si="2"/>
        <v>123917.20477500001</v>
      </c>
      <c r="G26" s="415">
        <f t="shared" si="2"/>
        <v>132208.40841824995</v>
      </c>
      <c r="H26" s="415">
        <f t="shared" si="2"/>
        <v>140748.34817079746</v>
      </c>
      <c r="I26" s="415">
        <f t="shared" si="2"/>
        <v>2634040.8389569591</v>
      </c>
      <c r="J26" s="415">
        <f t="shared" si="2"/>
        <v>0</v>
      </c>
      <c r="K26" s="415">
        <f t="shared" si="2"/>
        <v>0</v>
      </c>
      <c r="L26" s="415">
        <f t="shared" si="2"/>
        <v>0</v>
      </c>
      <c r="M26" s="415">
        <f t="shared" si="2"/>
        <v>0</v>
      </c>
      <c r="N26" s="415">
        <f t="shared" si="2"/>
        <v>0</v>
      </c>
      <c r="O26" s="415">
        <f t="shared" si="2"/>
        <v>0</v>
      </c>
      <c r="P26" s="415">
        <f t="shared" si="2"/>
        <v>0</v>
      </c>
      <c r="Q26" s="415">
        <f t="shared" si="2"/>
        <v>0</v>
      </c>
      <c r="R26" s="415">
        <f t="shared" si="2"/>
        <v>0</v>
      </c>
      <c r="S26" s="415">
        <f t="shared" si="2"/>
        <v>0</v>
      </c>
      <c r="T26" s="516">
        <f t="shared" si="1"/>
        <v>1779532.2928210064</v>
      </c>
      <c r="U26" s="322" t="s">
        <v>372</v>
      </c>
    </row>
    <row r="27" spans="2:21" ht="17.25" thickTop="1" x14ac:dyDescent="0.3">
      <c r="B27" s="360"/>
      <c r="C27" s="360"/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22" t="s">
        <v>372</v>
      </c>
    </row>
    <row r="28" spans="2:21" x14ac:dyDescent="0.3">
      <c r="B28" s="416" t="str">
        <f>B7&amp;" Returns"</f>
        <v>LP Returns</v>
      </c>
      <c r="C28" s="417"/>
      <c r="D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22" t="s">
        <v>372</v>
      </c>
    </row>
    <row r="29" spans="2:21" x14ac:dyDescent="0.3">
      <c r="B29" s="421" t="s">
        <v>291</v>
      </c>
      <c r="C29" s="422">
        <f ca="1">'Promote Cash Flow'!D53</f>
        <v>0.21018254160881047</v>
      </c>
      <c r="D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22" t="s">
        <v>372</v>
      </c>
    </row>
    <row r="30" spans="2:21" x14ac:dyDescent="0.3">
      <c r="B30" s="426" t="s">
        <v>349</v>
      </c>
      <c r="C30" s="427">
        <f>'Promote Cash Flow'!D54</f>
        <v>1779532.2928210052</v>
      </c>
      <c r="D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22" t="s">
        <v>372</v>
      </c>
    </row>
    <row r="31" spans="2:21" x14ac:dyDescent="0.3">
      <c r="B31" s="426" t="str">
        <f>'Promote Cash Flow'!C55</f>
        <v>Equity Multiple</v>
      </c>
      <c r="C31" s="517">
        <f>'Promote Cash Flow'!D55</f>
        <v>2.3015412637198809</v>
      </c>
      <c r="D31" s="360"/>
      <c r="H31" s="360"/>
      <c r="I31" s="360"/>
      <c r="J31" s="360"/>
      <c r="K31" s="360"/>
      <c r="L31" s="360"/>
      <c r="M31" s="360"/>
      <c r="N31" s="360"/>
      <c r="O31" s="360"/>
      <c r="P31" s="360"/>
      <c r="Q31" s="360"/>
      <c r="R31" s="360"/>
      <c r="S31" s="360"/>
      <c r="T31" s="360"/>
      <c r="U31" s="322" t="s">
        <v>372</v>
      </c>
    </row>
    <row r="32" spans="2:21" x14ac:dyDescent="0.3">
      <c r="B32" s="363" t="str">
        <f>'Promote Cash Flow'!C56</f>
        <v>Profit %</v>
      </c>
      <c r="C32" s="435">
        <f>'Promote Cash Flow'!D56</f>
        <v>0.70590912321162003</v>
      </c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22" t="s">
        <v>372</v>
      </c>
    </row>
    <row r="33" spans="2:21" x14ac:dyDescent="0.3">
      <c r="B33" s="360"/>
      <c r="C33" s="360"/>
      <c r="D33" s="360"/>
      <c r="E33" s="360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22" t="s">
        <v>372</v>
      </c>
    </row>
    <row r="34" spans="2:21" x14ac:dyDescent="0.3">
      <c r="U34" s="322" t="s">
        <v>372</v>
      </c>
    </row>
    <row r="35" spans="2:21" x14ac:dyDescent="0.3">
      <c r="B35" s="509" t="str">
        <f>'Promote Cash Flow'!C59</f>
        <v>Granite Park Cash Flow Summary</v>
      </c>
      <c r="C35" s="510"/>
      <c r="D35" s="510" t="s">
        <v>414</v>
      </c>
      <c r="E35" s="511">
        <v>1</v>
      </c>
      <c r="F35" s="511">
        <f t="shared" ref="F35:S35" si="3">E35+1</f>
        <v>2</v>
      </c>
      <c r="G35" s="511">
        <f t="shared" si="3"/>
        <v>3</v>
      </c>
      <c r="H35" s="511">
        <f t="shared" si="3"/>
        <v>4</v>
      </c>
      <c r="I35" s="518">
        <f t="shared" si="3"/>
        <v>5</v>
      </c>
      <c r="J35" s="518">
        <f t="shared" si="3"/>
        <v>6</v>
      </c>
      <c r="K35" s="518">
        <f>J35+1</f>
        <v>7</v>
      </c>
      <c r="L35" s="518">
        <f>K35+1</f>
        <v>8</v>
      </c>
      <c r="M35" s="518">
        <f t="shared" si="3"/>
        <v>9</v>
      </c>
      <c r="N35" s="518">
        <f t="shared" si="3"/>
        <v>10</v>
      </c>
      <c r="O35" s="518">
        <f t="shared" si="3"/>
        <v>11</v>
      </c>
      <c r="P35" s="518">
        <f t="shared" si="3"/>
        <v>12</v>
      </c>
      <c r="Q35" s="518">
        <f t="shared" si="3"/>
        <v>13</v>
      </c>
      <c r="R35" s="518">
        <f t="shared" si="3"/>
        <v>14</v>
      </c>
      <c r="S35" s="518">
        <f t="shared" si="3"/>
        <v>15</v>
      </c>
      <c r="T35" s="512" t="s">
        <v>65</v>
      </c>
      <c r="U35" s="322" t="s">
        <v>372</v>
      </c>
    </row>
    <row r="36" spans="2:21" x14ac:dyDescent="0.3">
      <c r="B36" s="406" t="s">
        <v>361</v>
      </c>
      <c r="C36" s="450">
        <f t="shared" ref="C36:C44" si="4">SUM(D36:M36)</f>
        <v>168188.25416604255</v>
      </c>
      <c r="D36" s="519">
        <f>'Promote Cash Flow'!F60</f>
        <v>-455750</v>
      </c>
      <c r="E36" s="513">
        <f>SUMIF('Promote Cash Flow'!$G$7:$DV$7,E$20,'Promote Cash Flow'!$G60:$DV60)</f>
        <v>38622.497499999998</v>
      </c>
      <c r="F36" s="513">
        <f>SUMIF('Promote Cash Flow'!$G$7:$DV$7,F$20,'Promote Cash Flow'!$G60:$DV60)</f>
        <v>41305.734925000012</v>
      </c>
      <c r="G36" s="513">
        <f>SUMIF('Promote Cash Flow'!$G$7:$DV$7,G$20,'Promote Cash Flow'!$G60:$DV60)</f>
        <v>44069.469472749995</v>
      </c>
      <c r="H36" s="513">
        <f>SUMIF('Promote Cash Flow'!$G$7:$DV$7,H$20,'Promote Cash Flow'!$G60:$DV60)</f>
        <v>46916.116056932478</v>
      </c>
      <c r="I36" s="513">
        <f>SUMIF('Promote Cash Flow'!$G$7:$DV$7,I$20,'Promote Cash Flow'!$G60:$DV60)</f>
        <v>453024.43621136009</v>
      </c>
      <c r="J36" s="513">
        <f>SUMIF('Promote Cash Flow'!$G$7:$DV$7,J$20,'Promote Cash Flow'!$G60:$DV60)</f>
        <v>0</v>
      </c>
      <c r="K36" s="513">
        <f>SUMIF('Promote Cash Flow'!$G$7:$DV$7,K$20,'Promote Cash Flow'!$G60:$DV60)</f>
        <v>0</v>
      </c>
      <c r="L36" s="513">
        <f>SUMIF('Promote Cash Flow'!$G$7:$DV$7,L$20,'Promote Cash Flow'!$G60:$DV60)</f>
        <v>0</v>
      </c>
      <c r="M36" s="513">
        <f>SUMIF('Promote Cash Flow'!$G$7:$DV$7,M$20,'Promote Cash Flow'!$G60:$DV60)</f>
        <v>0</v>
      </c>
      <c r="N36" s="513">
        <f>SUMIF('Promote Cash Flow'!$G$7:$DV$7,N$20,'Promote Cash Flow'!$G60:$DV60)</f>
        <v>0</v>
      </c>
      <c r="O36" s="513">
        <f>SUMIF('Promote Cash Flow'!$G$7:$DV$7,O$20,'Promote Cash Flow'!$G60:$DV60)</f>
        <v>0</v>
      </c>
      <c r="P36" s="513">
        <f>SUMIF('Promote Cash Flow'!$G$7:$DV$7,P$20,'Promote Cash Flow'!$G60:$DV60)</f>
        <v>0</v>
      </c>
      <c r="Q36" s="513">
        <f>SUMIF('Promote Cash Flow'!$G$7:$DV$7,Q$20,'Promote Cash Flow'!$G60:$DV60)</f>
        <v>0</v>
      </c>
      <c r="R36" s="513">
        <f>SUMIF('Promote Cash Flow'!$G$7:$DV$7,R$20,'Promote Cash Flow'!$G60:$DV60)</f>
        <v>0</v>
      </c>
      <c r="S36" s="513">
        <f>SUMIF('Promote Cash Flow'!$G$7:$DV$7,S$20,'Promote Cash Flow'!$G60:$DV60)</f>
        <v>0</v>
      </c>
      <c r="T36" s="514">
        <f t="shared" ref="T36:T45" si="5">SUM(D36:S36)</f>
        <v>168188.25416604255</v>
      </c>
      <c r="U36" s="322" t="s">
        <v>372</v>
      </c>
    </row>
    <row r="37" spans="2:21" x14ac:dyDescent="0.3">
      <c r="B37" s="406" t="s">
        <v>363</v>
      </c>
      <c r="C37" s="410">
        <f t="shared" si="4"/>
        <v>66552.428753923654</v>
      </c>
      <c r="D37" s="438">
        <f>ROUND('Promote Cash Flow'!F61,15)</f>
        <v>0</v>
      </c>
      <c r="E37" s="412">
        <f>SUMIF('Promote Cash Flow'!$G$7:$DV$7,E$20,'Promote Cash Flow'!$G61:$DV61)</f>
        <v>0</v>
      </c>
      <c r="F37" s="412">
        <f>SUMIF('Promote Cash Flow'!$G$7:$DV$7,F$20,'Promote Cash Flow'!$G61:$DV61)</f>
        <v>0</v>
      </c>
      <c r="G37" s="412">
        <f>SUMIF('Promote Cash Flow'!$G$7:$DV$7,G$20,'Promote Cash Flow'!$G61:$DV61)</f>
        <v>0</v>
      </c>
      <c r="H37" s="412">
        <f>SUMIF('Promote Cash Flow'!$G$7:$DV$7,H$20,'Promote Cash Flow'!$G61:$DV61)</f>
        <v>0</v>
      </c>
      <c r="I37" s="412">
        <f>SUMIF('Promote Cash Flow'!$G$7:$DV$7,I$20,'Promote Cash Flow'!$G61:$DV61)</f>
        <v>66552.428753923654</v>
      </c>
      <c r="J37" s="412">
        <f>SUMIF('Promote Cash Flow'!$G$7:$DV$7,J$20,'Promote Cash Flow'!$G61:$DV61)</f>
        <v>0</v>
      </c>
      <c r="K37" s="412">
        <f>SUMIF('Promote Cash Flow'!$G$7:$DV$7,K$20,'Promote Cash Flow'!$G61:$DV61)</f>
        <v>0</v>
      </c>
      <c r="L37" s="412">
        <f>SUMIF('Promote Cash Flow'!$G$7:$DV$7,L$20,'Promote Cash Flow'!$G61:$DV61)</f>
        <v>0</v>
      </c>
      <c r="M37" s="412">
        <f>SUMIF('Promote Cash Flow'!$G$7:$DV$7,M$20,'Promote Cash Flow'!$G61:$DV61)</f>
        <v>0</v>
      </c>
      <c r="N37" s="412">
        <f>SUMIF('Promote Cash Flow'!$G$7:$DV$7,N$20,'Promote Cash Flow'!$G61:$DV61)</f>
        <v>0</v>
      </c>
      <c r="O37" s="412">
        <f>SUMIF('Promote Cash Flow'!$G$7:$DV$7,O$20,'Promote Cash Flow'!$G61:$DV61)</f>
        <v>0</v>
      </c>
      <c r="P37" s="412">
        <f>SUMIF('Promote Cash Flow'!$G$7:$DV$7,P$20,'Promote Cash Flow'!$G61:$DV61)</f>
        <v>0</v>
      </c>
      <c r="Q37" s="412">
        <f>SUMIF('Promote Cash Flow'!$G$7:$DV$7,Q$20,'Promote Cash Flow'!$G61:$DV61)</f>
        <v>0</v>
      </c>
      <c r="R37" s="412">
        <f>SUMIF('Promote Cash Flow'!$G$7:$DV$7,R$20,'Promote Cash Flow'!$G61:$DV61)</f>
        <v>0</v>
      </c>
      <c r="S37" s="412">
        <f>SUMIF('Promote Cash Flow'!$G$7:$DV$7,S$20,'Promote Cash Flow'!$G61:$DV61)</f>
        <v>0</v>
      </c>
      <c r="T37" s="515">
        <f t="shared" si="5"/>
        <v>66552.428753923654</v>
      </c>
      <c r="U37" s="322" t="s">
        <v>372</v>
      </c>
    </row>
    <row r="38" spans="2:21" x14ac:dyDescent="0.3">
      <c r="B38" s="406" t="s">
        <v>393</v>
      </c>
      <c r="C38" s="410">
        <f t="shared" si="4"/>
        <v>166381.07188480944</v>
      </c>
      <c r="D38" s="438">
        <f>'Promote Cash Flow'!F62</f>
        <v>0</v>
      </c>
      <c r="E38" s="412">
        <f>SUMIF('Promote Cash Flow'!$G$7:$DV$7,E$20,'Promote Cash Flow'!$G62:$DV62)</f>
        <v>0</v>
      </c>
      <c r="F38" s="412">
        <f>SUMIF('Promote Cash Flow'!$G$7:$DV$7,F$20,'Promote Cash Flow'!$G62:$DV62)</f>
        <v>0</v>
      </c>
      <c r="G38" s="412">
        <f>SUMIF('Promote Cash Flow'!$G$7:$DV$7,G$20,'Promote Cash Flow'!$G62:$DV62)</f>
        <v>0</v>
      </c>
      <c r="H38" s="412">
        <f>SUMIF('Promote Cash Flow'!$G$7:$DV$7,H$20,'Promote Cash Flow'!$G62:$DV62)</f>
        <v>0</v>
      </c>
      <c r="I38" s="412">
        <f>SUMIF('Promote Cash Flow'!$G$7:$DV$7,I$20,'Promote Cash Flow'!$G62:$DV62)</f>
        <v>166381.07188480944</v>
      </c>
      <c r="J38" s="412">
        <f>SUMIF('Promote Cash Flow'!$G$7:$DV$7,J$20,'Promote Cash Flow'!$G62:$DV62)</f>
        <v>0</v>
      </c>
      <c r="K38" s="412">
        <f>SUMIF('Promote Cash Flow'!$G$7:$DV$7,K$20,'Promote Cash Flow'!$G62:$DV62)</f>
        <v>0</v>
      </c>
      <c r="L38" s="412">
        <f>SUMIF('Promote Cash Flow'!$G$7:$DV$7,L$20,'Promote Cash Flow'!$G62:$DV62)</f>
        <v>0</v>
      </c>
      <c r="M38" s="412">
        <f>SUMIF('Promote Cash Flow'!$G$7:$DV$7,M$20,'Promote Cash Flow'!$G62:$DV62)</f>
        <v>0</v>
      </c>
      <c r="N38" s="412">
        <f>SUMIF('Promote Cash Flow'!$G$7:$DV$7,N$20,'Promote Cash Flow'!$G62:$DV62)</f>
        <v>0</v>
      </c>
      <c r="O38" s="412">
        <f>SUMIF('Promote Cash Flow'!$G$7:$DV$7,O$20,'Promote Cash Flow'!$G62:$DV62)</f>
        <v>0</v>
      </c>
      <c r="P38" s="412">
        <f>SUMIF('Promote Cash Flow'!$G$7:$DV$7,P$20,'Promote Cash Flow'!$G62:$DV62)</f>
        <v>0</v>
      </c>
      <c r="Q38" s="412">
        <f>SUMIF('Promote Cash Flow'!$G$7:$DV$7,Q$20,'Promote Cash Flow'!$G62:$DV62)</f>
        <v>0</v>
      </c>
      <c r="R38" s="412">
        <f>SUMIF('Promote Cash Flow'!$G$7:$DV$7,R$20,'Promote Cash Flow'!$G62:$DV62)</f>
        <v>0</v>
      </c>
      <c r="S38" s="412">
        <f>SUMIF('Promote Cash Flow'!$G$7:$DV$7,S$20,'Promote Cash Flow'!$G62:$DV62)</f>
        <v>0</v>
      </c>
      <c r="T38" s="515">
        <f t="shared" si="5"/>
        <v>166381.07188480944</v>
      </c>
      <c r="U38" s="322" t="s">
        <v>372</v>
      </c>
    </row>
    <row r="39" spans="2:21" x14ac:dyDescent="0.3">
      <c r="B39" s="406" t="s">
        <v>364</v>
      </c>
      <c r="C39" s="410">
        <f t="shared" si="4"/>
        <v>59596.846419014277</v>
      </c>
      <c r="D39" s="438">
        <f>'Promote Cash Flow'!F63</f>
        <v>0</v>
      </c>
      <c r="E39" s="412">
        <f>SUMIF('Promote Cash Flow'!$G$7:$DV$7,E$20,'Promote Cash Flow'!$G63:$DV63)</f>
        <v>0</v>
      </c>
      <c r="F39" s="412">
        <f>SUMIF('Promote Cash Flow'!$G$7:$DV$7,F$20,'Promote Cash Flow'!$G63:$DV63)</f>
        <v>0</v>
      </c>
      <c r="G39" s="412">
        <f>SUMIF('Promote Cash Flow'!$G$7:$DV$7,G$20,'Promote Cash Flow'!$G63:$DV63)</f>
        <v>0</v>
      </c>
      <c r="H39" s="412">
        <f>SUMIF('Promote Cash Flow'!$G$7:$DV$7,H$20,'Promote Cash Flow'!$G63:$DV63)</f>
        <v>0</v>
      </c>
      <c r="I39" s="412">
        <f>SUMIF('Promote Cash Flow'!$G$7:$DV$7,I$20,'Promote Cash Flow'!$G63:$DV63)</f>
        <v>59596.846419014277</v>
      </c>
      <c r="J39" s="412">
        <f>SUMIF('Promote Cash Flow'!$G$7:$DV$7,J$20,'Promote Cash Flow'!$G63:$DV63)</f>
        <v>0</v>
      </c>
      <c r="K39" s="412">
        <f>SUMIF('Promote Cash Flow'!$G$7:$DV$7,K$20,'Promote Cash Flow'!$G63:$DV63)</f>
        <v>0</v>
      </c>
      <c r="L39" s="412">
        <f>SUMIF('Promote Cash Flow'!$G$7:$DV$7,L$20,'Promote Cash Flow'!$G63:$DV63)</f>
        <v>0</v>
      </c>
      <c r="M39" s="412">
        <f>SUMIF('Promote Cash Flow'!$G$7:$DV$7,M$20,'Promote Cash Flow'!$G63:$DV63)</f>
        <v>0</v>
      </c>
      <c r="N39" s="412">
        <f>SUMIF('Promote Cash Flow'!$G$7:$DV$7,N$20,'Promote Cash Flow'!$G63:$DV63)</f>
        <v>0</v>
      </c>
      <c r="O39" s="412">
        <f>SUMIF('Promote Cash Flow'!$G$7:$DV$7,O$20,'Promote Cash Flow'!$G63:$DV63)</f>
        <v>0</v>
      </c>
      <c r="P39" s="412">
        <f>SUMIF('Promote Cash Flow'!$G$7:$DV$7,P$20,'Promote Cash Flow'!$G63:$DV63)</f>
        <v>0</v>
      </c>
      <c r="Q39" s="412">
        <f>SUMIF('Promote Cash Flow'!$G$7:$DV$7,Q$20,'Promote Cash Flow'!$G63:$DV63)</f>
        <v>0</v>
      </c>
      <c r="R39" s="412">
        <f>SUMIF('Promote Cash Flow'!$G$7:$DV$7,R$20,'Promote Cash Flow'!$G63:$DV63)</f>
        <v>0</v>
      </c>
      <c r="S39" s="412">
        <f>SUMIF('Promote Cash Flow'!$G$7:$DV$7,S$20,'Promote Cash Flow'!$G63:$DV63)</f>
        <v>0</v>
      </c>
      <c r="T39" s="515">
        <f t="shared" si="5"/>
        <v>59596.846419014277</v>
      </c>
      <c r="U39" s="322" t="s">
        <v>372</v>
      </c>
    </row>
    <row r="40" spans="2:21" x14ac:dyDescent="0.3">
      <c r="B40" s="406" t="s">
        <v>394</v>
      </c>
      <c r="C40" s="410">
        <f t="shared" si="4"/>
        <v>198656.15473004771</v>
      </c>
      <c r="D40" s="438">
        <f>'Promote Cash Flow'!F64</f>
        <v>0</v>
      </c>
      <c r="E40" s="412">
        <f>SUMIF('Promote Cash Flow'!$G$7:$DV$7,E$20,'Promote Cash Flow'!$G64:$DV64)</f>
        <v>0</v>
      </c>
      <c r="F40" s="412">
        <f>SUMIF('Promote Cash Flow'!$G$7:$DV$7,F$20,'Promote Cash Flow'!$G64:$DV64)</f>
        <v>0</v>
      </c>
      <c r="G40" s="412">
        <f>SUMIF('Promote Cash Flow'!$G$7:$DV$7,G$20,'Promote Cash Flow'!$G64:$DV64)</f>
        <v>0</v>
      </c>
      <c r="H40" s="412">
        <f>SUMIF('Promote Cash Flow'!$G$7:$DV$7,H$20,'Promote Cash Flow'!$G64:$DV64)</f>
        <v>0</v>
      </c>
      <c r="I40" s="412">
        <f>SUMIF('Promote Cash Flow'!$G$7:$DV$7,I$20,'Promote Cash Flow'!$G64:$DV64)</f>
        <v>198656.15473004771</v>
      </c>
      <c r="J40" s="412">
        <f>SUMIF('Promote Cash Flow'!$G$7:$DV$7,J$20,'Promote Cash Flow'!$G64:$DV64)</f>
        <v>0</v>
      </c>
      <c r="K40" s="412">
        <f>SUMIF('Promote Cash Flow'!$G$7:$DV$7,K$20,'Promote Cash Flow'!$G64:$DV64)</f>
        <v>0</v>
      </c>
      <c r="L40" s="412">
        <f>SUMIF('Promote Cash Flow'!$G$7:$DV$7,L$20,'Promote Cash Flow'!$G64:$DV64)</f>
        <v>0</v>
      </c>
      <c r="M40" s="412">
        <f>SUMIF('Promote Cash Flow'!$G$7:$DV$7,M$20,'Promote Cash Flow'!$G64:$DV64)</f>
        <v>0</v>
      </c>
      <c r="N40" s="412">
        <f>SUMIF('Promote Cash Flow'!$G$7:$DV$7,N$20,'Promote Cash Flow'!$G64:$DV64)</f>
        <v>0</v>
      </c>
      <c r="O40" s="412">
        <f>SUMIF('Promote Cash Flow'!$G$7:$DV$7,O$20,'Promote Cash Flow'!$G64:$DV64)</f>
        <v>0</v>
      </c>
      <c r="P40" s="412">
        <f>SUMIF('Promote Cash Flow'!$G$7:$DV$7,P$20,'Promote Cash Flow'!$G64:$DV64)</f>
        <v>0</v>
      </c>
      <c r="Q40" s="412">
        <f>SUMIF('Promote Cash Flow'!$G$7:$DV$7,Q$20,'Promote Cash Flow'!$G64:$DV64)</f>
        <v>0</v>
      </c>
      <c r="R40" s="412">
        <f>SUMIF('Promote Cash Flow'!$G$7:$DV$7,R$20,'Promote Cash Flow'!$G64:$DV64)</f>
        <v>0</v>
      </c>
      <c r="S40" s="412">
        <f>SUMIF('Promote Cash Flow'!$G$7:$DV$7,S$20,'Promote Cash Flow'!$G64:$DV64)</f>
        <v>0</v>
      </c>
      <c r="T40" s="515">
        <f t="shared" si="5"/>
        <v>198656.15473004771</v>
      </c>
      <c r="U40" s="322" t="s">
        <v>372</v>
      </c>
    </row>
    <row r="41" spans="2:21" outlineLevel="1" x14ac:dyDescent="0.3">
      <c r="B41" s="406" t="s">
        <v>365</v>
      </c>
      <c r="C41" s="410">
        <f t="shared" si="4"/>
        <v>15513.783751825918</v>
      </c>
      <c r="D41" s="438">
        <f>'Promote Cash Flow'!F65</f>
        <v>0</v>
      </c>
      <c r="E41" s="412">
        <f>SUMIF('Promote Cash Flow'!$G$7:$DV$7,E$20,'Promote Cash Flow'!$G65:$DV65)</f>
        <v>0</v>
      </c>
      <c r="F41" s="412">
        <f>SUMIF('Promote Cash Flow'!$G$7:$DV$7,F$20,'Promote Cash Flow'!$G65:$DV65)</f>
        <v>0</v>
      </c>
      <c r="G41" s="412">
        <f>SUMIF('Promote Cash Flow'!$G$7:$DV$7,G$20,'Promote Cash Flow'!$G65:$DV65)</f>
        <v>0</v>
      </c>
      <c r="H41" s="412">
        <f>SUMIF('Promote Cash Flow'!$G$7:$DV$7,H$20,'Promote Cash Flow'!$G65:$DV65)</f>
        <v>0</v>
      </c>
      <c r="I41" s="412">
        <f>SUMIF('Promote Cash Flow'!$G$7:$DV$7,I$20,'Promote Cash Flow'!$G65:$DV65)</f>
        <v>15513.783751825918</v>
      </c>
      <c r="J41" s="412">
        <f>SUMIF('Promote Cash Flow'!$G$7:$DV$7,J$20,'Promote Cash Flow'!$G65:$DV65)</f>
        <v>0</v>
      </c>
      <c r="K41" s="412">
        <f>SUMIF('Promote Cash Flow'!$G$7:$DV$7,K$20,'Promote Cash Flow'!$G65:$DV65)</f>
        <v>0</v>
      </c>
      <c r="L41" s="412">
        <f>SUMIF('Promote Cash Flow'!$G$7:$DV$7,L$20,'Promote Cash Flow'!$G65:$DV65)</f>
        <v>0</v>
      </c>
      <c r="M41" s="412">
        <f>SUMIF('Promote Cash Flow'!$G$7:$DV$7,M$20,'Promote Cash Flow'!$G65:$DV65)</f>
        <v>0</v>
      </c>
      <c r="N41" s="412">
        <f>SUMIF('Promote Cash Flow'!$G$7:$DV$7,N$20,'Promote Cash Flow'!$G65:$DV65)</f>
        <v>0</v>
      </c>
      <c r="O41" s="412">
        <f>SUMIF('Promote Cash Flow'!$G$7:$DV$7,O$20,'Promote Cash Flow'!$G65:$DV65)</f>
        <v>0</v>
      </c>
      <c r="P41" s="412">
        <f>SUMIF('Promote Cash Flow'!$G$7:$DV$7,P$20,'Promote Cash Flow'!$G65:$DV65)</f>
        <v>0</v>
      </c>
      <c r="Q41" s="412">
        <f>SUMIF('Promote Cash Flow'!$G$7:$DV$7,Q$20,'Promote Cash Flow'!$G65:$DV65)</f>
        <v>0</v>
      </c>
      <c r="R41" s="412">
        <f>SUMIF('Promote Cash Flow'!$G$7:$DV$7,R$20,'Promote Cash Flow'!$G65:$DV65)</f>
        <v>0</v>
      </c>
      <c r="S41" s="412">
        <f>SUMIF('Promote Cash Flow'!$G$7:$DV$7,S$20,'Promote Cash Flow'!$G65:$DV65)</f>
        <v>0</v>
      </c>
      <c r="T41" s="515">
        <f t="shared" si="5"/>
        <v>15513.783751825918</v>
      </c>
      <c r="U41" s="322" t="s">
        <v>372</v>
      </c>
    </row>
    <row r="42" spans="2:21" outlineLevel="1" x14ac:dyDescent="0.3">
      <c r="B42" s="406" t="s">
        <v>395</v>
      </c>
      <c r="C42" s="410">
        <f t="shared" si="4"/>
        <v>66487.644650682443</v>
      </c>
      <c r="D42" s="438">
        <f>'Promote Cash Flow'!F66</f>
        <v>0</v>
      </c>
      <c r="E42" s="412">
        <f>SUMIF('Promote Cash Flow'!$G$7:$DV$7,E$20,'Promote Cash Flow'!$G66:$DV66)</f>
        <v>0</v>
      </c>
      <c r="F42" s="412">
        <f>SUMIF('Promote Cash Flow'!$G$7:$DV$7,F$20,'Promote Cash Flow'!$G66:$DV66)</f>
        <v>0</v>
      </c>
      <c r="G42" s="412">
        <f>SUMIF('Promote Cash Flow'!$G$7:$DV$7,G$20,'Promote Cash Flow'!$G66:$DV66)</f>
        <v>0</v>
      </c>
      <c r="H42" s="412">
        <f>SUMIF('Promote Cash Flow'!$G$7:$DV$7,H$20,'Promote Cash Flow'!$G66:$DV66)</f>
        <v>0</v>
      </c>
      <c r="I42" s="412">
        <f>SUMIF('Promote Cash Flow'!$G$7:$DV$7,I$20,'Promote Cash Flow'!$G66:$DV66)</f>
        <v>66487.644650682443</v>
      </c>
      <c r="J42" s="412">
        <f>SUMIF('Promote Cash Flow'!$G$7:$DV$7,J$20,'Promote Cash Flow'!$G66:$DV66)</f>
        <v>0</v>
      </c>
      <c r="K42" s="412">
        <f>SUMIF('Promote Cash Flow'!$G$7:$DV$7,K$20,'Promote Cash Flow'!$G66:$DV66)</f>
        <v>0</v>
      </c>
      <c r="L42" s="412">
        <f>SUMIF('Promote Cash Flow'!$G$7:$DV$7,L$20,'Promote Cash Flow'!$G66:$DV66)</f>
        <v>0</v>
      </c>
      <c r="M42" s="412">
        <f>SUMIF('Promote Cash Flow'!$G$7:$DV$7,M$20,'Promote Cash Flow'!$G66:$DV66)</f>
        <v>0</v>
      </c>
      <c r="N42" s="412">
        <f>SUMIF('Promote Cash Flow'!$G$7:$DV$7,N$20,'Promote Cash Flow'!$G66:$DV66)</f>
        <v>0</v>
      </c>
      <c r="O42" s="412">
        <f>SUMIF('Promote Cash Flow'!$G$7:$DV$7,O$20,'Promote Cash Flow'!$G66:$DV66)</f>
        <v>0</v>
      </c>
      <c r="P42" s="412">
        <f>SUMIF('Promote Cash Flow'!$G$7:$DV$7,P$20,'Promote Cash Flow'!$G66:$DV66)</f>
        <v>0</v>
      </c>
      <c r="Q42" s="412">
        <f>SUMIF('Promote Cash Flow'!$G$7:$DV$7,Q$20,'Promote Cash Flow'!$G66:$DV66)</f>
        <v>0</v>
      </c>
      <c r="R42" s="412">
        <f>SUMIF('Promote Cash Flow'!$G$7:$DV$7,R$20,'Promote Cash Flow'!$G66:$DV66)</f>
        <v>0</v>
      </c>
      <c r="S42" s="412">
        <f>SUMIF('Promote Cash Flow'!$G$7:$DV$7,S$20,'Promote Cash Flow'!$G66:$DV66)</f>
        <v>0</v>
      </c>
      <c r="T42" s="515">
        <f t="shared" si="5"/>
        <v>66487.644650682443</v>
      </c>
      <c r="U42" s="322" t="s">
        <v>372</v>
      </c>
    </row>
    <row r="43" spans="2:21" x14ac:dyDescent="0.3">
      <c r="B43" s="406" t="s">
        <v>366</v>
      </c>
      <c r="C43" s="410">
        <f t="shared" si="4"/>
        <v>0</v>
      </c>
      <c r="D43" s="438">
        <f>'Promote Cash Flow'!F67</f>
        <v>0</v>
      </c>
      <c r="E43" s="412">
        <f>SUMIF('Promote Cash Flow'!$G$7:$DV$7,E$20,'Promote Cash Flow'!$G67:$DV67)</f>
        <v>0</v>
      </c>
      <c r="F43" s="412">
        <f>SUMIF('Promote Cash Flow'!$G$7:$DV$7,F$20,'Promote Cash Flow'!$G67:$DV67)</f>
        <v>0</v>
      </c>
      <c r="G43" s="412">
        <f>SUMIF('Promote Cash Flow'!$G$7:$DV$7,G$20,'Promote Cash Flow'!$G67:$DV67)</f>
        <v>0</v>
      </c>
      <c r="H43" s="412">
        <f>SUMIF('Promote Cash Flow'!$G$7:$DV$7,H$20,'Promote Cash Flow'!$G67:$DV67)</f>
        <v>0</v>
      </c>
      <c r="I43" s="412">
        <f>SUMIF('Promote Cash Flow'!$G$7:$DV$7,I$20,'Promote Cash Flow'!$G67:$DV67)</f>
        <v>0</v>
      </c>
      <c r="J43" s="412">
        <f>SUMIF('Promote Cash Flow'!$G$7:$DV$7,J$20,'Promote Cash Flow'!$G67:$DV67)</f>
        <v>0</v>
      </c>
      <c r="K43" s="412">
        <f>SUMIF('Promote Cash Flow'!$G$7:$DV$7,K$20,'Promote Cash Flow'!$G67:$DV67)</f>
        <v>0</v>
      </c>
      <c r="L43" s="412">
        <f>SUMIF('Promote Cash Flow'!$G$7:$DV$7,L$20,'Promote Cash Flow'!$G67:$DV67)</f>
        <v>0</v>
      </c>
      <c r="M43" s="412">
        <f>SUMIF('Promote Cash Flow'!$G$7:$DV$7,M$20,'Promote Cash Flow'!$G67:$DV67)</f>
        <v>0</v>
      </c>
      <c r="N43" s="412">
        <f>SUMIF('Promote Cash Flow'!$G$7:$DV$7,N$20,'Promote Cash Flow'!$G67:$DV67)</f>
        <v>0</v>
      </c>
      <c r="O43" s="412">
        <f>SUMIF('Promote Cash Flow'!$G$7:$DV$7,O$20,'Promote Cash Flow'!$G67:$DV67)</f>
        <v>0</v>
      </c>
      <c r="P43" s="412">
        <f>SUMIF('Promote Cash Flow'!$G$7:$DV$7,P$20,'Promote Cash Flow'!$G67:$DV67)</f>
        <v>0</v>
      </c>
      <c r="Q43" s="412">
        <f>SUMIF('Promote Cash Flow'!$G$7:$DV$7,Q$20,'Promote Cash Flow'!$G67:$DV67)</f>
        <v>0</v>
      </c>
      <c r="R43" s="412">
        <f>SUMIF('Promote Cash Flow'!$G$7:$DV$7,R$20,'Promote Cash Flow'!$G67:$DV67)</f>
        <v>0</v>
      </c>
      <c r="S43" s="412">
        <f>SUMIF('Promote Cash Flow'!$G$7:$DV$7,S$20,'Promote Cash Flow'!$G67:$DV67)</f>
        <v>0</v>
      </c>
      <c r="T43" s="515">
        <f t="shared" si="5"/>
        <v>0</v>
      </c>
      <c r="U43" s="322" t="s">
        <v>372</v>
      </c>
    </row>
    <row r="44" spans="2:21" x14ac:dyDescent="0.3">
      <c r="B44" s="406" t="str">
        <f>B43&amp;" Promote"</f>
        <v>Thereafter Promote</v>
      </c>
      <c r="C44" s="410">
        <f t="shared" si="4"/>
        <v>0</v>
      </c>
      <c r="D44" s="439">
        <f>'Promote Cash Flow'!F68</f>
        <v>0</v>
      </c>
      <c r="E44" s="440">
        <f>SUMIF('Promote Cash Flow'!$G$7:$DV$7,E$20,'Promote Cash Flow'!$G68:$DV68)</f>
        <v>0</v>
      </c>
      <c r="F44" s="440">
        <f>SUMIF('Promote Cash Flow'!$G$7:$DV$7,F$20,'Promote Cash Flow'!$G68:$DV68)</f>
        <v>0</v>
      </c>
      <c r="G44" s="440">
        <f>SUMIF('Promote Cash Flow'!$G$7:$DV$7,G$20,'Promote Cash Flow'!$G68:$DV68)</f>
        <v>0</v>
      </c>
      <c r="H44" s="440">
        <f>SUMIF('Promote Cash Flow'!$G$7:$DV$7,H$20,'Promote Cash Flow'!$G68:$DV68)</f>
        <v>0</v>
      </c>
      <c r="I44" s="440">
        <f>SUMIF('Promote Cash Flow'!$G$7:$DV$7,I$20,'Promote Cash Flow'!$G68:$DV68)</f>
        <v>0</v>
      </c>
      <c r="J44" s="440">
        <f>SUMIF('Promote Cash Flow'!$G$7:$DV$7,J$20,'Promote Cash Flow'!$G68:$DV68)</f>
        <v>0</v>
      </c>
      <c r="K44" s="440">
        <f>SUMIF('Promote Cash Flow'!$G$7:$DV$7,K$20,'Promote Cash Flow'!$G68:$DV68)</f>
        <v>0</v>
      </c>
      <c r="L44" s="440">
        <f>SUMIF('Promote Cash Flow'!$G$7:$DV$7,L$20,'Promote Cash Flow'!$G68:$DV68)</f>
        <v>0</v>
      </c>
      <c r="M44" s="440">
        <f>SUMIF('Promote Cash Flow'!$G$7:$DV$7,M$20,'Promote Cash Flow'!$G68:$DV68)</f>
        <v>0</v>
      </c>
      <c r="N44" s="440">
        <f>SUMIF('Promote Cash Flow'!$G$7:$DV$7,N$20,'Promote Cash Flow'!$G68:$DV68)</f>
        <v>0</v>
      </c>
      <c r="O44" s="440">
        <f>SUMIF('Promote Cash Flow'!$G$7:$DV$7,O$20,'Promote Cash Flow'!$G68:$DV68)</f>
        <v>0</v>
      </c>
      <c r="P44" s="440">
        <f>SUMIF('Promote Cash Flow'!$G$7:$DV$7,P$20,'Promote Cash Flow'!$G68:$DV68)</f>
        <v>0</v>
      </c>
      <c r="Q44" s="440">
        <f>SUMIF('Promote Cash Flow'!$G$7:$DV$7,Q$20,'Promote Cash Flow'!$G68:$DV68)</f>
        <v>0</v>
      </c>
      <c r="R44" s="440">
        <f>SUMIF('Promote Cash Flow'!$G$7:$DV$7,R$20,'Promote Cash Flow'!$G68:$DV68)</f>
        <v>0</v>
      </c>
      <c r="S44" s="440">
        <f>SUMIF('Promote Cash Flow'!$G$7:$DV$7,S$20,'Promote Cash Flow'!$G68:$DV68)</f>
        <v>0</v>
      </c>
      <c r="T44" s="515">
        <f t="shared" si="5"/>
        <v>0</v>
      </c>
      <c r="U44" s="322" t="s">
        <v>372</v>
      </c>
    </row>
    <row r="45" spans="2:21" ht="17.25" thickBot="1" x14ac:dyDescent="0.35">
      <c r="B45" s="499" t="s">
        <v>65</v>
      </c>
      <c r="C45" s="413">
        <f>SUM(C36:C44)</f>
        <v>741376.18435634603</v>
      </c>
      <c r="D45" s="415">
        <f t="shared" ref="D45:S45" si="6">SUM(D36:D44)</f>
        <v>-455750</v>
      </c>
      <c r="E45" s="415">
        <f t="shared" si="6"/>
        <v>38622.497499999998</v>
      </c>
      <c r="F45" s="415">
        <f t="shared" si="6"/>
        <v>41305.734925000012</v>
      </c>
      <c r="G45" s="415">
        <f t="shared" si="6"/>
        <v>44069.469472749995</v>
      </c>
      <c r="H45" s="415">
        <f t="shared" si="6"/>
        <v>46916.116056932478</v>
      </c>
      <c r="I45" s="415">
        <f t="shared" si="6"/>
        <v>1026212.3664016635</v>
      </c>
      <c r="J45" s="415">
        <f t="shared" si="6"/>
        <v>0</v>
      </c>
      <c r="K45" s="415">
        <f t="shared" si="6"/>
        <v>0</v>
      </c>
      <c r="L45" s="415">
        <f t="shared" si="6"/>
        <v>0</v>
      </c>
      <c r="M45" s="415">
        <f t="shared" si="6"/>
        <v>0</v>
      </c>
      <c r="N45" s="415">
        <f t="shared" si="6"/>
        <v>0</v>
      </c>
      <c r="O45" s="415">
        <f t="shared" si="6"/>
        <v>0</v>
      </c>
      <c r="P45" s="415">
        <f t="shared" si="6"/>
        <v>0</v>
      </c>
      <c r="Q45" s="415">
        <f t="shared" si="6"/>
        <v>0</v>
      </c>
      <c r="R45" s="415">
        <f t="shared" si="6"/>
        <v>0</v>
      </c>
      <c r="S45" s="415">
        <f t="shared" si="6"/>
        <v>0</v>
      </c>
      <c r="T45" s="516">
        <f t="shared" si="5"/>
        <v>741376.18435634603</v>
      </c>
      <c r="U45" s="322" t="s">
        <v>372</v>
      </c>
    </row>
    <row r="46" spans="2:21" ht="17.25" thickTop="1" x14ac:dyDescent="0.3">
      <c r="B46" s="360"/>
      <c r="C46" s="360"/>
      <c r="D46" s="360"/>
      <c r="E46" s="360"/>
      <c r="F46" s="360"/>
      <c r="G46" s="360"/>
      <c r="H46" s="360"/>
      <c r="I46" s="360"/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22" t="s">
        <v>372</v>
      </c>
    </row>
    <row r="47" spans="2:21" x14ac:dyDescent="0.3">
      <c r="B47" s="416" t="str">
        <f>B8&amp;" Returns"</f>
        <v>Granite Park Returns</v>
      </c>
      <c r="C47" s="417"/>
      <c r="D47" s="360"/>
      <c r="E47" s="418"/>
      <c r="F47" s="360"/>
      <c r="G47" s="360"/>
      <c r="H47" s="360"/>
      <c r="I47" s="360"/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22" t="s">
        <v>372</v>
      </c>
    </row>
    <row r="48" spans="2:21" x14ac:dyDescent="0.3">
      <c r="B48" s="421" t="s">
        <v>291</v>
      </c>
      <c r="C48" s="422">
        <f ca="1">'Promote Cash Flow'!D72</f>
        <v>0.24423472285270692</v>
      </c>
      <c r="D48" s="360"/>
      <c r="E48" s="445"/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22" t="s">
        <v>372</v>
      </c>
    </row>
    <row r="49" spans="2:21" x14ac:dyDescent="0.3">
      <c r="B49" s="426" t="s">
        <v>349</v>
      </c>
      <c r="C49" s="427">
        <f>'Promote Cash Flow'!D73</f>
        <v>741376.1843563458</v>
      </c>
      <c r="D49" s="360"/>
      <c r="E49" s="446"/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22" t="s">
        <v>372</v>
      </c>
    </row>
    <row r="50" spans="2:21" x14ac:dyDescent="0.3">
      <c r="B50" s="426" t="str">
        <f>'Promote Cash Flow'!C74</f>
        <v>Equity Multiple</v>
      </c>
      <c r="C50" s="517">
        <f>'Promote Cash Flow'!D74</f>
        <v>2.6267168060479342</v>
      </c>
      <c r="D50" s="360"/>
      <c r="E50" s="447"/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22" t="s">
        <v>372</v>
      </c>
    </row>
    <row r="51" spans="2:21" x14ac:dyDescent="0.3">
      <c r="B51" s="363" t="str">
        <f>'Promote Cash Flow'!C75</f>
        <v>Profit %</v>
      </c>
      <c r="C51" s="435">
        <f>'Promote Cash Flow'!D75</f>
        <v>0.29409087678837931</v>
      </c>
      <c r="D51" s="360"/>
      <c r="E51" s="448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22" t="s">
        <v>372</v>
      </c>
    </row>
    <row r="52" spans="2:21" x14ac:dyDescent="0.3">
      <c r="B52" s="360"/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22" t="s">
        <v>372</v>
      </c>
    </row>
    <row r="54" spans="2:21" x14ac:dyDescent="0.3">
      <c r="B54" s="520" t="s">
        <v>415</v>
      </c>
      <c r="C54" s="521"/>
    </row>
    <row r="55" spans="2:21" x14ac:dyDescent="0.3">
      <c r="B55" s="522" t="s">
        <v>289</v>
      </c>
      <c r="C55" s="523" t="b">
        <f>ROUND(SUM(C49,C30),5)=ROUND('Promote Cash Flow'!D25,5)</f>
        <v>1</v>
      </c>
    </row>
  </sheetData>
  <pageMargins left="0.2" right="0.2" top="0.25" bottom="0.25" header="0.3" footer="0.3"/>
  <pageSetup scale="71" fitToWidth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29A1-632A-42F1-9A6D-1D4F642F7E5B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>
    <row r="1" spans="1:1" x14ac:dyDescent="0.25">
      <c r="A1" t="s">
        <v>347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724FA111BC0F4FADA53928B22C8A49" ma:contentTypeVersion="11" ma:contentTypeDescription="Create a new document." ma:contentTypeScope="" ma:versionID="7fc9ee32ff70aa0d463dff41c748b1e1">
  <xsd:schema xmlns:xsd="http://www.w3.org/2001/XMLSchema" xmlns:xs="http://www.w3.org/2001/XMLSchema" xmlns:p="http://schemas.microsoft.com/office/2006/metadata/properties" xmlns:ns2="e22a9a21-778f-465d-9bb3-5ce935a9860d" targetNamespace="http://schemas.microsoft.com/office/2006/metadata/properties" ma:root="true" ma:fieldsID="e929cfd6eb9d424f1937c4c3b1f66ad9" ns2:_="">
    <xsd:import namespace="e22a9a21-778f-465d-9bb3-5ce935a986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a9a21-778f-465d-9bb3-5ce935a98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C32BDA-2E6A-454D-AED5-144A517E3E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2a9a21-778f-465d-9bb3-5ce935a98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CD27F9-1278-4229-A5E5-CBC243CC8F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A3687C-B12C-49D4-8AB7-A49FAC5E4A8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8</vt:i4>
      </vt:variant>
    </vt:vector>
  </HeadingPairs>
  <TitlesOfParts>
    <vt:vector size="26" baseType="lpstr">
      <vt:lpstr>Cover Page</vt:lpstr>
      <vt:lpstr>Dashboard</vt:lpstr>
      <vt:lpstr>Models --&gt;</vt:lpstr>
      <vt:lpstr>Scenario 0</vt:lpstr>
      <vt:lpstr>Scenario 1</vt:lpstr>
      <vt:lpstr>Scenario 2</vt:lpstr>
      <vt:lpstr>Scenario 3</vt:lpstr>
      <vt:lpstr>Rent Roll Calcs --&gt;</vt:lpstr>
      <vt:lpstr>Unit Mix</vt:lpstr>
      <vt:lpstr>Rent Roll</vt:lpstr>
      <vt:lpstr>Summary Outputs --&gt;</vt:lpstr>
      <vt:lpstr>Op Ex per Unit</vt:lpstr>
      <vt:lpstr>Return Summary</vt:lpstr>
      <vt:lpstr>Waterfall --&gt;</vt:lpstr>
      <vt:lpstr>Partnership Terms + Fees</vt:lpstr>
      <vt:lpstr>Promote Cash Flow</vt:lpstr>
      <vt:lpstr>Waterfall Summary</vt:lpstr>
      <vt:lpstr>T-12 and Financials --&gt;</vt:lpstr>
      <vt:lpstr>Dashboard!Print_Area</vt:lpstr>
      <vt:lpstr>'Partnership Terms + Fees'!Print_Area</vt:lpstr>
      <vt:lpstr>'Promote Cash Flow'!Print_Area</vt:lpstr>
      <vt:lpstr>'Scenario 0'!Print_Area</vt:lpstr>
      <vt:lpstr>'Scenario 1'!Print_Area</vt:lpstr>
      <vt:lpstr>'Scenario 2'!Print_Area</vt:lpstr>
      <vt:lpstr>'Scenario 3'!Print_Area</vt:lpstr>
      <vt:lpstr>'Waterfall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Shaffer</dc:creator>
  <cp:lastModifiedBy>Abraham Rose</cp:lastModifiedBy>
  <cp:lastPrinted>2021-03-24T17:33:55Z</cp:lastPrinted>
  <dcterms:created xsi:type="dcterms:W3CDTF">2021-01-11T17:52:26Z</dcterms:created>
  <dcterms:modified xsi:type="dcterms:W3CDTF">2026-02-12T18:56:43Z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0x01010017724FA111BC0F4FADA53928B22C8A49</vt:lpwstr>
  </property>
</Properties>
</file>